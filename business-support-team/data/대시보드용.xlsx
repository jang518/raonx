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comments5.xml" ContentType="application/vnd.openxmlformats-officedocument.spreadsheetml.comments+xml"/>
  <Override PartName="/xl/threadedComments/threadedComment4.xml" ContentType="application/vnd.ms-excel.threaded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threadedComments/threadedComment5.xml" ContentType="application/vnd.ms-excel.threaded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threadedComments/threadedComment6.xml" ContentType="application/vnd.ms-excel.threadedcomments+xml"/>
  <Override PartName="/xl/comments1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01_work\02_project\03_raonx\2026\AI활용아이템\경영지원\01_materials\"/>
    </mc:Choice>
  </mc:AlternateContent>
  <xr:revisionPtr revIDLastSave="0" documentId="13_ncr:1_{9D497423-E475-44B0-A126-E888BE515E7D}" xr6:coauthVersionLast="47" xr6:coauthVersionMax="47" xr10:uidLastSave="{00000000-0000-0000-0000-000000000000}"/>
  <bookViews>
    <workbookView xWindow="-38505" yWindow="-21900" windowWidth="38640" windowHeight="21120" tabRatio="894" xr2:uid="{00000000-000D-0000-FFFF-FFFF00000000}"/>
  </bookViews>
  <sheets>
    <sheet name="목표" sheetId="57" r:id="rId1"/>
    <sheet name="팀별실적" sheetId="39" r:id="rId2"/>
    <sheet name="SDT" sheetId="41" r:id="rId3"/>
    <sheet name="TST1" sheetId="24" r:id="rId4"/>
    <sheet name="TST2" sheetId="51" r:id="rId5"/>
    <sheet name="MKT" sheetId="31" r:id="rId6"/>
    <sheet name="JGChoi" sheetId="49" r:id="rId7"/>
    <sheet name="SYShin" sheetId="50" r:id="rId8"/>
    <sheet name="TST" sheetId="40" r:id="rId9"/>
    <sheet name="EST1" sheetId="27" r:id="rId10"/>
    <sheet name="EST2" sheetId="4" r:id="rId11"/>
    <sheet name="EST3" sheetId="25" r:id="rId12"/>
    <sheet name="JHAHN" sheetId="28" r:id="rId13"/>
    <sheet name="TSG" sheetId="33" r:id="rId14"/>
    <sheet name="SBLEE" sheetId="26" r:id="rId15"/>
    <sheet name="FNA" sheetId="30" r:id="rId16"/>
    <sheet name="간접" sheetId="20" r:id="rId17"/>
    <sheet name="total" sheetId="3" r:id="rId18"/>
    <sheet name="경영현황비교" sheetId="43" r:id="rId19"/>
    <sheet name="실적(23~26)" sheetId="56" r:id="rId20"/>
  </sheets>
  <externalReferences>
    <externalReference r:id="rId21"/>
  </externalReferences>
  <definedNames>
    <definedName name="_low1" localSheetId="18">#REF!</definedName>
    <definedName name="_low1">#REF!</definedName>
    <definedName name="_low2" localSheetId="18">#REF!</definedName>
    <definedName name="_low2">#REF!</definedName>
    <definedName name="_LOW3" localSheetId="18">#REF!</definedName>
    <definedName name="_LOW3">#REF!</definedName>
    <definedName name="_pl1" localSheetId="18">#REF!</definedName>
    <definedName name="_pl1">#REF!</definedName>
    <definedName name="_XX37" localSheetId="18">#REF!</definedName>
    <definedName name="_XX37">#REF!</definedName>
    <definedName name="_XX39" localSheetId="18">#REF!</definedName>
    <definedName name="_XX39">#REF!</definedName>
    <definedName name="bs" localSheetId="18">#REF!</definedName>
    <definedName name="bs">#REF!</definedName>
    <definedName name="bscf1" localSheetId="18">#REF!</definedName>
    <definedName name="bscf1">#REF!</definedName>
    <definedName name="bscf2" localSheetId="18">#REF!</definedName>
    <definedName name="bscf2">#REF!</definedName>
    <definedName name="BSCF3" localSheetId="18">#REF!</definedName>
    <definedName name="BSCF3">#REF!</definedName>
    <definedName name="content" localSheetId="18">#REF!</definedName>
    <definedName name="content">#REF!</definedName>
    <definedName name="date" localSheetId="18">#REF!</definedName>
    <definedName name="date">#REF!</definedName>
    <definedName name="dicf" localSheetId="18">#REF!</definedName>
    <definedName name="dicf">#REF!</definedName>
    <definedName name="expenses" localSheetId="18">#REF!</definedName>
    <definedName name="expenses">#REF!</definedName>
    <definedName name="file" localSheetId="18">#REF!</definedName>
    <definedName name="file">#REF!</definedName>
    <definedName name="file1" localSheetId="18">#REF!</definedName>
    <definedName name="file1">#REF!</definedName>
    <definedName name="_xlnm.Print_Area" localSheetId="9">'EST1'!$A$1:$V$118</definedName>
    <definedName name="_xlnm.Print_Area" localSheetId="10">'EST2'!$A$1:$V$118</definedName>
    <definedName name="_xlnm.Print_Area" localSheetId="11">'EST3'!$A$1:$V$118</definedName>
    <definedName name="_xlnm.Print_Area" localSheetId="15">FNA!$A$1:$V$116</definedName>
    <definedName name="_xlnm.Print_Area" localSheetId="6">JGChoi!$A$1:$V$118</definedName>
    <definedName name="_xlnm.Print_Area" localSheetId="12">JHAHN!$A$1:$V$118</definedName>
    <definedName name="_xlnm.Print_Area" localSheetId="5">MKT!$A$1:$V$116</definedName>
    <definedName name="_xlnm.Print_Area" localSheetId="14">SBLEE!$A$1:$V$116</definedName>
    <definedName name="_xlnm.Print_Area" localSheetId="2">SDT!$A$1:$V$118</definedName>
    <definedName name="_xlnm.Print_Area" localSheetId="7">SYShin!$A$1:$V$118</definedName>
    <definedName name="_xlnm.Print_Area" localSheetId="17">total!$A$1:$AO$119</definedName>
    <definedName name="_xlnm.Print_Area" localSheetId="13">TSG!$A$1:$V$118</definedName>
    <definedName name="_xlnm.Print_Area" localSheetId="8">TST!$A$1:$V$118</definedName>
    <definedName name="_xlnm.Print_Area" localSheetId="3">'TST1'!$A$1:$V$118</definedName>
    <definedName name="_xlnm.Print_Area" localSheetId="4">'TST2'!$A$1:$V$118</definedName>
    <definedName name="_xlnm.Print_Area" localSheetId="16">간접!$A$1:$V$117</definedName>
    <definedName name="_xlnm.Print_Titles" localSheetId="9">'EST1'!$1:$2</definedName>
    <definedName name="_xlnm.Print_Titles" localSheetId="10">'EST2'!$1:$2</definedName>
    <definedName name="_xlnm.Print_Titles" localSheetId="11">'EST3'!$1:$2</definedName>
    <definedName name="_xlnm.Print_Titles" localSheetId="15">FNA!$1:$2</definedName>
    <definedName name="_xlnm.Print_Titles" localSheetId="6">JGChoi!$1:$2</definedName>
    <definedName name="_xlnm.Print_Titles" localSheetId="12">JHAHN!$1:$2</definedName>
    <definedName name="_xlnm.Print_Titles" localSheetId="5">MKT!$1:$2</definedName>
    <definedName name="_xlnm.Print_Titles" localSheetId="14">SBLEE!$1:$2</definedName>
    <definedName name="_xlnm.Print_Titles" localSheetId="2">SDT!$1:$2</definedName>
    <definedName name="_xlnm.Print_Titles" localSheetId="7">SYShin!$1:$2</definedName>
    <definedName name="_xlnm.Print_Titles" localSheetId="17">total!$4:$5</definedName>
    <definedName name="_xlnm.Print_Titles" localSheetId="13">TSG!$1:$2</definedName>
    <definedName name="_xlnm.Print_Titles" localSheetId="8">TST!$1:$2</definedName>
    <definedName name="_xlnm.Print_Titles" localSheetId="3">'TST1'!$1:$2</definedName>
    <definedName name="_xlnm.Print_Titles" localSheetId="4">'TST2'!$1:$2</definedName>
    <definedName name="_xlnm.Print_Titles" localSheetId="16">간접!$1:$33</definedName>
    <definedName name="경영현황비교2">#REF!</definedName>
    <definedName name="대차대조표1" localSheetId="18">#REF!</definedName>
    <definedName name="대차대조표1">#REF!</definedName>
    <definedName name="대차대조표2" localSheetId="18">#REF!</definedName>
    <definedName name="대차대조표2">#REF!</definedName>
    <definedName name="대차대조표둘" localSheetId="18">#REF!</definedName>
    <definedName name="대차대조표둘">#REF!</definedName>
    <definedName name="손익계산서" localSheetId="18">#REF!</definedName>
    <definedName name="손익계산서">#REF!</definedName>
    <definedName name="현금흐름표" localSheetId="18">#REF!</definedName>
    <definedName name="현금흐름표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U39" i="39" l="1"/>
  <c r="U16" i="39" l="1"/>
  <c r="T71" i="26"/>
  <c r="S71" i="26"/>
  <c r="R71" i="26"/>
  <c r="P71" i="26"/>
  <c r="O71" i="26"/>
  <c r="N71" i="26"/>
  <c r="L71" i="26"/>
  <c r="K71" i="26"/>
  <c r="J71" i="26"/>
  <c r="H71" i="26"/>
  <c r="G71" i="26"/>
  <c r="F71" i="26"/>
  <c r="T71" i="28"/>
  <c r="S71" i="28"/>
  <c r="R71" i="28"/>
  <c r="P71" i="28"/>
  <c r="O71" i="28"/>
  <c r="N71" i="28"/>
  <c r="L71" i="28"/>
  <c r="K71" i="28"/>
  <c r="J71" i="28"/>
  <c r="H71" i="28"/>
  <c r="G71" i="28"/>
  <c r="F71" i="28"/>
  <c r="T71" i="25"/>
  <c r="S71" i="25"/>
  <c r="R71" i="25"/>
  <c r="P71" i="25"/>
  <c r="O71" i="25"/>
  <c r="N71" i="25"/>
  <c r="L71" i="25"/>
  <c r="K71" i="25"/>
  <c r="J71" i="25"/>
  <c r="H71" i="25"/>
  <c r="G71" i="25"/>
  <c r="F71" i="25"/>
  <c r="T71" i="4"/>
  <c r="S71" i="4"/>
  <c r="R71" i="4"/>
  <c r="P71" i="4"/>
  <c r="O71" i="4"/>
  <c r="N71" i="4"/>
  <c r="L71" i="4"/>
  <c r="K71" i="4"/>
  <c r="J71" i="4"/>
  <c r="H71" i="4"/>
  <c r="G71" i="4"/>
  <c r="F71" i="4"/>
  <c r="T71" i="27"/>
  <c r="S71" i="27"/>
  <c r="R71" i="27"/>
  <c r="P71" i="27"/>
  <c r="O71" i="27"/>
  <c r="N71" i="27"/>
  <c r="L71" i="27"/>
  <c r="K71" i="27"/>
  <c r="J71" i="27"/>
  <c r="H71" i="27"/>
  <c r="G71" i="27"/>
  <c r="F71" i="27"/>
  <c r="T71" i="50"/>
  <c r="S71" i="50"/>
  <c r="U71" i="50"/>
  <c r="R71" i="50"/>
  <c r="P71" i="50"/>
  <c r="O71" i="50"/>
  <c r="N71" i="50"/>
  <c r="L71" i="50"/>
  <c r="K71" i="50"/>
  <c r="J71" i="50"/>
  <c r="H71" i="50"/>
  <c r="G71" i="50"/>
  <c r="F71" i="50"/>
  <c r="T71" i="49"/>
  <c r="S71" i="49"/>
  <c r="R71" i="49"/>
  <c r="P71" i="49"/>
  <c r="O71" i="49"/>
  <c r="N71" i="49"/>
  <c r="L71" i="49"/>
  <c r="K71" i="49"/>
  <c r="J71" i="49"/>
  <c r="H71" i="49"/>
  <c r="G71" i="49"/>
  <c r="F71" i="49"/>
  <c r="T71" i="31"/>
  <c r="S71" i="31"/>
  <c r="R71" i="31"/>
  <c r="P71" i="31"/>
  <c r="O71" i="31"/>
  <c r="N71" i="31"/>
  <c r="L71" i="31"/>
  <c r="K71" i="31"/>
  <c r="J71" i="31"/>
  <c r="H71" i="31"/>
  <c r="G71" i="31"/>
  <c r="F71" i="31"/>
  <c r="T71" i="51"/>
  <c r="S71" i="51"/>
  <c r="R71" i="51"/>
  <c r="P71" i="51"/>
  <c r="O71" i="51"/>
  <c r="N71" i="51"/>
  <c r="L71" i="51"/>
  <c r="K71" i="51"/>
  <c r="J71" i="51"/>
  <c r="H71" i="51"/>
  <c r="G71" i="51"/>
  <c r="F71" i="51"/>
  <c r="T71" i="24"/>
  <c r="S71" i="24"/>
  <c r="R71" i="24"/>
  <c r="P71" i="24"/>
  <c r="O71" i="24"/>
  <c r="N71" i="24"/>
  <c r="L71" i="24"/>
  <c r="K71" i="24"/>
  <c r="J71" i="24"/>
  <c r="H71" i="24"/>
  <c r="G71" i="24"/>
  <c r="F71" i="24"/>
  <c r="T71" i="41"/>
  <c r="S71" i="41"/>
  <c r="R71" i="41"/>
  <c r="P71" i="41"/>
  <c r="O71" i="41"/>
  <c r="N71" i="41"/>
  <c r="L71" i="41"/>
  <c r="K71" i="41"/>
  <c r="J71" i="41"/>
  <c r="H71" i="41"/>
  <c r="G71" i="41"/>
  <c r="F77" i="41"/>
  <c r="F71" i="41"/>
  <c r="R80" i="3"/>
  <c r="G55" i="3"/>
  <c r="G80" i="3"/>
  <c r="G79" i="3"/>
  <c r="G74" i="3"/>
  <c r="G69" i="3"/>
  <c r="G54" i="3"/>
  <c r="G40" i="3"/>
  <c r="G32" i="3"/>
  <c r="G29" i="3"/>
  <c r="G15" i="3"/>
  <c r="F121" i="40"/>
  <c r="V119" i="31"/>
  <c r="V120" i="31" s="1"/>
  <c r="U119" i="31"/>
  <c r="U120" i="31" s="1"/>
  <c r="Q119" i="31"/>
  <c r="Q120" i="31" s="1"/>
  <c r="M119" i="31"/>
  <c r="M120" i="31" s="1"/>
  <c r="I119" i="31"/>
  <c r="I120" i="31" s="1"/>
  <c r="F121" i="3"/>
  <c r="E14" i="43" l="1"/>
  <c r="E16" i="43" s="1"/>
  <c r="T37" i="25"/>
  <c r="S37" i="25"/>
  <c r="R37" i="25"/>
  <c r="P37" i="25"/>
  <c r="O37" i="25"/>
  <c r="N37" i="25"/>
  <c r="L37" i="25"/>
  <c r="K37" i="25"/>
  <c r="J37" i="25"/>
  <c r="J52" i="25" s="1"/>
  <c r="J77" i="25" s="1"/>
  <c r="H37" i="25"/>
  <c r="H52" i="25" s="1"/>
  <c r="H77" i="25" s="1"/>
  <c r="G37" i="25"/>
  <c r="T37" i="4"/>
  <c r="T52" i="4" s="1"/>
  <c r="T77" i="4" s="1"/>
  <c r="S37" i="4"/>
  <c r="S52" i="4" s="1"/>
  <c r="S77" i="4" s="1"/>
  <c r="R37" i="4"/>
  <c r="R52" i="4" s="1"/>
  <c r="R77" i="4" s="1"/>
  <c r="P37" i="4"/>
  <c r="O37" i="4"/>
  <c r="N37" i="4"/>
  <c r="L37" i="4"/>
  <c r="L52" i="4" s="1"/>
  <c r="L77" i="4" s="1"/>
  <c r="K37" i="4"/>
  <c r="J37" i="4"/>
  <c r="J52" i="4" s="1"/>
  <c r="J77" i="4" s="1"/>
  <c r="H37" i="4"/>
  <c r="H52" i="4" s="1"/>
  <c r="H77" i="4" s="1"/>
  <c r="G37" i="4"/>
  <c r="T37" i="27"/>
  <c r="S37" i="27"/>
  <c r="R37" i="27"/>
  <c r="P37" i="27"/>
  <c r="O37" i="27"/>
  <c r="N37" i="27"/>
  <c r="L37" i="27"/>
  <c r="K37" i="27"/>
  <c r="J37" i="27"/>
  <c r="H37" i="27"/>
  <c r="G37" i="27"/>
  <c r="T37" i="30"/>
  <c r="S37" i="30"/>
  <c r="R37" i="30"/>
  <c r="P37" i="30"/>
  <c r="O37" i="30"/>
  <c r="N37" i="30"/>
  <c r="L37" i="30"/>
  <c r="K37" i="30"/>
  <c r="J37" i="30"/>
  <c r="H37" i="30"/>
  <c r="G37" i="30"/>
  <c r="F37" i="30"/>
  <c r="T37" i="26"/>
  <c r="S37" i="26"/>
  <c r="R37" i="26"/>
  <c r="P37" i="26"/>
  <c r="O37" i="26"/>
  <c r="N37" i="26"/>
  <c r="N52" i="26" s="1"/>
  <c r="N77" i="26" s="1"/>
  <c r="L37" i="26"/>
  <c r="K37" i="26"/>
  <c r="J37" i="26"/>
  <c r="H37" i="26"/>
  <c r="G37" i="26"/>
  <c r="F37" i="26"/>
  <c r="T37" i="28"/>
  <c r="T52" i="28" s="1"/>
  <c r="T77" i="28" s="1"/>
  <c r="S37" i="28"/>
  <c r="R37" i="28"/>
  <c r="P37" i="28"/>
  <c r="O37" i="28"/>
  <c r="N37" i="28"/>
  <c r="L37" i="28"/>
  <c r="K37" i="28"/>
  <c r="J37" i="28"/>
  <c r="H37" i="28"/>
  <c r="H52" i="28" s="1"/>
  <c r="H77" i="28" s="1"/>
  <c r="G37" i="28"/>
  <c r="F37" i="28"/>
  <c r="T37" i="50"/>
  <c r="S37" i="50"/>
  <c r="S52" i="50" s="1"/>
  <c r="S77" i="50" s="1"/>
  <c r="R37" i="50"/>
  <c r="P37" i="50"/>
  <c r="O37" i="50"/>
  <c r="N37" i="50"/>
  <c r="L37" i="50"/>
  <c r="K37" i="50"/>
  <c r="J37" i="50"/>
  <c r="H37" i="50"/>
  <c r="H52" i="50" s="1"/>
  <c r="H77" i="50" s="1"/>
  <c r="G37" i="50"/>
  <c r="F37" i="50"/>
  <c r="T37" i="49"/>
  <c r="T52" i="49" s="1"/>
  <c r="S37" i="49"/>
  <c r="R37" i="49"/>
  <c r="P37" i="49"/>
  <c r="O37" i="49"/>
  <c r="N37" i="49"/>
  <c r="L37" i="49"/>
  <c r="K37" i="49"/>
  <c r="K52" i="49" s="1"/>
  <c r="J37" i="49"/>
  <c r="H37" i="49"/>
  <c r="G37" i="49"/>
  <c r="T37" i="31"/>
  <c r="S37" i="31"/>
  <c r="R37" i="31"/>
  <c r="P37" i="31"/>
  <c r="O37" i="31"/>
  <c r="N37" i="31"/>
  <c r="L37" i="31"/>
  <c r="K37" i="31"/>
  <c r="J37" i="31"/>
  <c r="H37" i="31"/>
  <c r="H52" i="31" s="1"/>
  <c r="H77" i="31" s="1"/>
  <c r="G37" i="31"/>
  <c r="T37" i="51"/>
  <c r="T52" i="51" s="1"/>
  <c r="T77" i="51" s="1"/>
  <c r="S37" i="51"/>
  <c r="S52" i="51" s="1"/>
  <c r="S77" i="51" s="1"/>
  <c r="R37" i="51"/>
  <c r="R52" i="51" s="1"/>
  <c r="R77" i="51" s="1"/>
  <c r="P37" i="51"/>
  <c r="O37" i="51"/>
  <c r="O52" i="51" s="1"/>
  <c r="O77" i="51" s="1"/>
  <c r="N37" i="51"/>
  <c r="L37" i="51"/>
  <c r="L52" i="51" s="1"/>
  <c r="L77" i="51" s="1"/>
  <c r="K37" i="51"/>
  <c r="J37" i="51"/>
  <c r="H37" i="51"/>
  <c r="G37" i="51"/>
  <c r="G52" i="51" s="1"/>
  <c r="G77" i="51" s="1"/>
  <c r="T37" i="24"/>
  <c r="S37" i="24"/>
  <c r="R37" i="24"/>
  <c r="P37" i="24"/>
  <c r="O37" i="24"/>
  <c r="N37" i="24"/>
  <c r="L37" i="24"/>
  <c r="K37" i="24"/>
  <c r="J37" i="24"/>
  <c r="I33" i="24"/>
  <c r="I34" i="24"/>
  <c r="I35" i="24"/>
  <c r="I36" i="24"/>
  <c r="I37" i="24"/>
  <c r="I39" i="24"/>
  <c r="I40" i="24"/>
  <c r="I41" i="24"/>
  <c r="I42" i="24"/>
  <c r="H37" i="24"/>
  <c r="G37" i="24"/>
  <c r="T37" i="41"/>
  <c r="S37" i="41"/>
  <c r="R37" i="41"/>
  <c r="R52" i="41" s="1"/>
  <c r="R77" i="41" s="1"/>
  <c r="P37" i="41"/>
  <c r="P52" i="41" s="1"/>
  <c r="P77" i="41" s="1"/>
  <c r="O37" i="41"/>
  <c r="N37" i="41"/>
  <c r="N52" i="41" s="1"/>
  <c r="N77" i="41" s="1"/>
  <c r="L37" i="41"/>
  <c r="L52" i="41" s="1"/>
  <c r="L77" i="41" s="1"/>
  <c r="K37" i="41"/>
  <c r="K52" i="41" s="1"/>
  <c r="K77" i="41" s="1"/>
  <c r="J37" i="41"/>
  <c r="J52" i="41" s="1"/>
  <c r="J77" i="41" s="1"/>
  <c r="H37" i="41"/>
  <c r="G37" i="41"/>
  <c r="G33" i="40"/>
  <c r="G91" i="3"/>
  <c r="F91" i="3"/>
  <c r="G117" i="3"/>
  <c r="G109" i="3"/>
  <c r="G116" i="3"/>
  <c r="H106" i="41"/>
  <c r="H97" i="41"/>
  <c r="H88" i="41"/>
  <c r="H76" i="41"/>
  <c r="H66" i="41"/>
  <c r="H51" i="41"/>
  <c r="H26" i="41"/>
  <c r="H29" i="41" s="1"/>
  <c r="H30" i="41" s="1"/>
  <c r="H12" i="41"/>
  <c r="T97" i="41"/>
  <c r="T88" i="41"/>
  <c r="T76" i="41"/>
  <c r="T66" i="41"/>
  <c r="T51" i="41"/>
  <c r="T52" i="41" s="1"/>
  <c r="T77" i="41" s="1"/>
  <c r="T26" i="41"/>
  <c r="T12" i="41"/>
  <c r="T29" i="41" s="1"/>
  <c r="S97" i="41"/>
  <c r="S88" i="41"/>
  <c r="S76" i="41"/>
  <c r="S66" i="41"/>
  <c r="S51" i="41"/>
  <c r="S52" i="41"/>
  <c r="S77" i="41" s="1"/>
  <c r="S26" i="41"/>
  <c r="S12" i="41"/>
  <c r="S29" i="41" s="1"/>
  <c r="R97" i="41"/>
  <c r="R88" i="41"/>
  <c r="R76" i="41"/>
  <c r="R66" i="41"/>
  <c r="R51" i="41"/>
  <c r="R26" i="41"/>
  <c r="R12" i="41"/>
  <c r="P97" i="41"/>
  <c r="P88" i="41"/>
  <c r="P76" i="41"/>
  <c r="P66" i="41"/>
  <c r="P51" i="41"/>
  <c r="P26" i="41"/>
  <c r="P12" i="41"/>
  <c r="O97" i="41"/>
  <c r="O88" i="41"/>
  <c r="O76" i="41"/>
  <c r="O66" i="41"/>
  <c r="O51" i="41"/>
  <c r="O52" i="41"/>
  <c r="O77" i="41" s="1"/>
  <c r="O26" i="41"/>
  <c r="O12" i="41"/>
  <c r="N97" i="41"/>
  <c r="N88" i="41"/>
  <c r="N76" i="41"/>
  <c r="N66" i="41"/>
  <c r="N51" i="41"/>
  <c r="N26" i="41"/>
  <c r="N12" i="41"/>
  <c r="N29" i="41" s="1"/>
  <c r="L97" i="41"/>
  <c r="L88" i="41"/>
  <c r="L76" i="41"/>
  <c r="L66" i="41"/>
  <c r="L51" i="41"/>
  <c r="L26" i="41"/>
  <c r="L12" i="41"/>
  <c r="K97" i="41"/>
  <c r="K88" i="41"/>
  <c r="K76" i="41"/>
  <c r="K66" i="41"/>
  <c r="K51" i="41"/>
  <c r="K26" i="41"/>
  <c r="K12" i="41"/>
  <c r="K29" i="41" s="1"/>
  <c r="J97" i="41"/>
  <c r="J88" i="41"/>
  <c r="J76" i="41"/>
  <c r="J66" i="41"/>
  <c r="J51" i="41"/>
  <c r="J26" i="41"/>
  <c r="J12" i="41"/>
  <c r="T103" i="30"/>
  <c r="T97" i="30"/>
  <c r="T84" i="30"/>
  <c r="T81" i="30"/>
  <c r="T88" i="30" s="1"/>
  <c r="T76" i="30"/>
  <c r="T68" i="30"/>
  <c r="T71" i="30" s="1"/>
  <c r="T66" i="30"/>
  <c r="T51" i="30"/>
  <c r="T52" i="30" s="1"/>
  <c r="T77" i="30" s="1"/>
  <c r="S103" i="30"/>
  <c r="S97" i="30"/>
  <c r="S84" i="30"/>
  <c r="S81" i="30"/>
  <c r="S88" i="30" s="1"/>
  <c r="S76" i="30"/>
  <c r="S68" i="30"/>
  <c r="S71" i="30" s="1"/>
  <c r="S66" i="30"/>
  <c r="S51" i="30"/>
  <c r="R103" i="30"/>
  <c r="R97" i="30"/>
  <c r="R84" i="30"/>
  <c r="R81" i="30"/>
  <c r="R88" i="30" s="1"/>
  <c r="R76" i="30"/>
  <c r="R68" i="30"/>
  <c r="R71" i="30" s="1"/>
  <c r="R66" i="30"/>
  <c r="R51" i="30"/>
  <c r="P103" i="30"/>
  <c r="P97" i="30"/>
  <c r="P84" i="30"/>
  <c r="P81" i="30"/>
  <c r="P88" i="30" s="1"/>
  <c r="P76" i="30"/>
  <c r="P68" i="30"/>
  <c r="P71" i="30" s="1"/>
  <c r="P66" i="30"/>
  <c r="P51" i="30"/>
  <c r="P52" i="30" s="1"/>
  <c r="P77" i="30" s="1"/>
  <c r="O103" i="30"/>
  <c r="O97" i="30"/>
  <c r="O84" i="30"/>
  <c r="O81" i="30"/>
  <c r="O88" i="30" s="1"/>
  <c r="O76" i="30"/>
  <c r="O68" i="30"/>
  <c r="O71" i="30" s="1"/>
  <c r="O66" i="30"/>
  <c r="O51" i="30"/>
  <c r="O52" i="30" s="1"/>
  <c r="O77" i="30" s="1"/>
  <c r="N103" i="30"/>
  <c r="N97" i="30"/>
  <c r="N84" i="30"/>
  <c r="N81" i="30"/>
  <c r="N88" i="30" s="1"/>
  <c r="N76" i="30"/>
  <c r="N68" i="30"/>
  <c r="N71" i="30" s="1"/>
  <c r="N66" i="30"/>
  <c r="N51" i="30"/>
  <c r="L103" i="30"/>
  <c r="L97" i="30"/>
  <c r="L84" i="30"/>
  <c r="L81" i="30"/>
  <c r="L88" i="30" s="1"/>
  <c r="L76" i="30"/>
  <c r="L68" i="30"/>
  <c r="L71" i="30" s="1"/>
  <c r="L66" i="30"/>
  <c r="L51" i="30"/>
  <c r="K103" i="30"/>
  <c r="K97" i="30"/>
  <c r="K84" i="30"/>
  <c r="K81" i="30"/>
  <c r="K88" i="30" s="1"/>
  <c r="K76" i="30"/>
  <c r="K68" i="30"/>
  <c r="K71" i="30" s="1"/>
  <c r="K66" i="30"/>
  <c r="K51" i="30"/>
  <c r="K52" i="30" s="1"/>
  <c r="K77" i="30" s="1"/>
  <c r="J103" i="30"/>
  <c r="J97" i="30"/>
  <c r="J84" i="30"/>
  <c r="J81" i="30"/>
  <c r="J88" i="30" s="1"/>
  <c r="J76" i="30"/>
  <c r="J68" i="30"/>
  <c r="J71" i="30" s="1"/>
  <c r="J66" i="30"/>
  <c r="J51" i="30"/>
  <c r="H103" i="30"/>
  <c r="H97" i="30"/>
  <c r="H84" i="30"/>
  <c r="H81" i="30"/>
  <c r="H88" i="30" s="1"/>
  <c r="H76" i="30"/>
  <c r="H68" i="30"/>
  <c r="H71" i="30" s="1"/>
  <c r="H66" i="30"/>
  <c r="H51" i="30"/>
  <c r="H52" i="30" s="1"/>
  <c r="H77" i="30" s="1"/>
  <c r="G103" i="30"/>
  <c r="G97" i="30"/>
  <c r="G84" i="30"/>
  <c r="G81" i="30"/>
  <c r="G88" i="30" s="1"/>
  <c r="G76" i="30"/>
  <c r="G68" i="30"/>
  <c r="G71" i="30" s="1"/>
  <c r="T97" i="26"/>
  <c r="T88" i="26"/>
  <c r="T76" i="26"/>
  <c r="T66" i="26"/>
  <c r="T51" i="26"/>
  <c r="T52" i="26"/>
  <c r="T77" i="26" s="1"/>
  <c r="S97" i="26"/>
  <c r="S88" i="26"/>
  <c r="S76" i="26"/>
  <c r="S66" i="26"/>
  <c r="S51" i="26"/>
  <c r="R97" i="26"/>
  <c r="R88" i="26"/>
  <c r="R76" i="26"/>
  <c r="R66" i="26"/>
  <c r="R51" i="26"/>
  <c r="P97" i="26"/>
  <c r="P88" i="26"/>
  <c r="P76" i="26"/>
  <c r="P66" i="26"/>
  <c r="P51" i="26"/>
  <c r="P52" i="26"/>
  <c r="P77" i="26" s="1"/>
  <c r="O97" i="26"/>
  <c r="O88" i="26"/>
  <c r="O76" i="26"/>
  <c r="O66" i="26"/>
  <c r="O51" i="26"/>
  <c r="O52" i="26" s="1"/>
  <c r="O77" i="26" s="1"/>
  <c r="N97" i="26"/>
  <c r="N88" i="26"/>
  <c r="N76" i="26"/>
  <c r="N66" i="26"/>
  <c r="N51" i="26"/>
  <c r="L97" i="26"/>
  <c r="L88" i="26"/>
  <c r="L76" i="26"/>
  <c r="L66" i="26"/>
  <c r="L51" i="26"/>
  <c r="L52" i="26"/>
  <c r="L77" i="26" s="1"/>
  <c r="K97" i="26"/>
  <c r="K88" i="26"/>
  <c r="K76" i="26"/>
  <c r="K66" i="26"/>
  <c r="K51" i="26"/>
  <c r="K52" i="26"/>
  <c r="K77" i="26" s="1"/>
  <c r="J97" i="26"/>
  <c r="J88" i="26"/>
  <c r="J76" i="26"/>
  <c r="J66" i="26"/>
  <c r="J51" i="26"/>
  <c r="J52" i="26"/>
  <c r="J77" i="26" s="1"/>
  <c r="H97" i="26"/>
  <c r="H88" i="26"/>
  <c r="H76" i="26"/>
  <c r="H66" i="26"/>
  <c r="H51" i="26"/>
  <c r="H52" i="26" s="1"/>
  <c r="H77" i="26" s="1"/>
  <c r="T97" i="28"/>
  <c r="T88" i="28"/>
  <c r="T76" i="28"/>
  <c r="T66" i="28"/>
  <c r="T51" i="28"/>
  <c r="S97" i="28"/>
  <c r="S88" i="28"/>
  <c r="S76" i="28"/>
  <c r="S66" i="28"/>
  <c r="S51" i="28"/>
  <c r="S52" i="28"/>
  <c r="S77" i="28" s="1"/>
  <c r="R97" i="28"/>
  <c r="R88" i="28"/>
  <c r="R76" i="28"/>
  <c r="R66" i="28"/>
  <c r="R51" i="28"/>
  <c r="P106" i="28"/>
  <c r="O106" i="28"/>
  <c r="N106" i="28"/>
  <c r="P97" i="28"/>
  <c r="O97" i="28"/>
  <c r="N97" i="28"/>
  <c r="P88" i="28"/>
  <c r="O88" i="28"/>
  <c r="N88" i="28"/>
  <c r="P76" i="28"/>
  <c r="O76" i="28"/>
  <c r="N76" i="28"/>
  <c r="P66" i="28"/>
  <c r="O66" i="28"/>
  <c r="N66" i="28"/>
  <c r="P51" i="28"/>
  <c r="P52" i="28" s="1"/>
  <c r="P77" i="28" s="1"/>
  <c r="O51" i="28"/>
  <c r="N51" i="28"/>
  <c r="N52" i="28" s="1"/>
  <c r="N77" i="28" s="1"/>
  <c r="O52" i="28"/>
  <c r="O77" i="28" s="1"/>
  <c r="L106" i="28"/>
  <c r="K106" i="28"/>
  <c r="J106" i="28"/>
  <c r="L97" i="28"/>
  <c r="K97" i="28"/>
  <c r="J97" i="28"/>
  <c r="L88" i="28"/>
  <c r="K88" i="28"/>
  <c r="J88" i="28"/>
  <c r="L76" i="28"/>
  <c r="K76" i="28"/>
  <c r="J76" i="28"/>
  <c r="L66" i="28"/>
  <c r="K66" i="28"/>
  <c r="J66" i="28"/>
  <c r="L51" i="28"/>
  <c r="L52" i="28" s="1"/>
  <c r="L77" i="28" s="1"/>
  <c r="K51" i="28"/>
  <c r="J51" i="28"/>
  <c r="K52" i="28"/>
  <c r="K77" i="28" s="1"/>
  <c r="H106" i="28"/>
  <c r="H97" i="28"/>
  <c r="H88" i="28"/>
  <c r="H76" i="28"/>
  <c r="H66" i="28"/>
  <c r="H51" i="28"/>
  <c r="T97" i="25"/>
  <c r="T88" i="25"/>
  <c r="T76" i="25"/>
  <c r="T66" i="25"/>
  <c r="T51" i="25"/>
  <c r="T52" i="25" s="1"/>
  <c r="T77" i="25" s="1"/>
  <c r="T26" i="25"/>
  <c r="T12" i="25"/>
  <c r="S97" i="25"/>
  <c r="S88" i="25"/>
  <c r="S76" i="25"/>
  <c r="S66" i="25"/>
  <c r="S51" i="25"/>
  <c r="S52" i="25"/>
  <c r="S77" i="25" s="1"/>
  <c r="S26" i="25"/>
  <c r="S12" i="25"/>
  <c r="R97" i="25"/>
  <c r="R88" i="25"/>
  <c r="R76" i="25"/>
  <c r="R66" i="25"/>
  <c r="R51" i="25"/>
  <c r="R52" i="25"/>
  <c r="R77" i="25" s="1"/>
  <c r="R26" i="25"/>
  <c r="R12" i="25"/>
  <c r="P97" i="25"/>
  <c r="P88" i="25"/>
  <c r="P76" i="25"/>
  <c r="P66" i="25"/>
  <c r="P51" i="25"/>
  <c r="P52" i="25"/>
  <c r="P77" i="25" s="1"/>
  <c r="P26" i="25"/>
  <c r="P12" i="25"/>
  <c r="O97" i="25"/>
  <c r="O88" i="25"/>
  <c r="O76" i="25"/>
  <c r="O66" i="25"/>
  <c r="O51" i="25"/>
  <c r="O26" i="25"/>
  <c r="O12" i="25"/>
  <c r="N97" i="25"/>
  <c r="N88" i="25"/>
  <c r="N76" i="25"/>
  <c r="N66" i="25"/>
  <c r="N51" i="25"/>
  <c r="N52" i="25"/>
  <c r="N77" i="25" s="1"/>
  <c r="N26" i="25"/>
  <c r="N12" i="25"/>
  <c r="L97" i="25"/>
  <c r="L88" i="25"/>
  <c r="L76" i="25"/>
  <c r="L66" i="25"/>
  <c r="L51" i="25"/>
  <c r="L26" i="25"/>
  <c r="L12" i="25"/>
  <c r="K97" i="25"/>
  <c r="K88" i="25"/>
  <c r="K76" i="25"/>
  <c r="K66" i="25"/>
  <c r="K51" i="25"/>
  <c r="K52" i="25" s="1"/>
  <c r="K77" i="25" s="1"/>
  <c r="K26" i="25"/>
  <c r="K12" i="25"/>
  <c r="J97" i="25"/>
  <c r="J88" i="25"/>
  <c r="J76" i="25"/>
  <c r="J66" i="25"/>
  <c r="J51" i="25"/>
  <c r="J26" i="25"/>
  <c r="J12" i="25"/>
  <c r="H97" i="25"/>
  <c r="H88" i="25"/>
  <c r="H76" i="25"/>
  <c r="H66" i="25"/>
  <c r="H51" i="25"/>
  <c r="H26" i="25"/>
  <c r="H12" i="25"/>
  <c r="T88" i="4"/>
  <c r="T76" i="4"/>
  <c r="T66" i="4"/>
  <c r="T51" i="4"/>
  <c r="T26" i="4"/>
  <c r="T29" i="4" s="1"/>
  <c r="T30" i="4" s="1"/>
  <c r="T12" i="4"/>
  <c r="S88" i="4"/>
  <c r="S76" i="4"/>
  <c r="S66" i="4"/>
  <c r="S51" i="4"/>
  <c r="S26" i="4"/>
  <c r="S29" i="4" s="1"/>
  <c r="S30" i="4" s="1"/>
  <c r="S12" i="4"/>
  <c r="R88" i="4"/>
  <c r="R76" i="4"/>
  <c r="R66" i="4"/>
  <c r="R51" i="4"/>
  <c r="R26" i="4"/>
  <c r="R29" i="4" s="1"/>
  <c r="R30" i="4" s="1"/>
  <c r="R12" i="4"/>
  <c r="P88" i="4"/>
  <c r="P76" i="4"/>
  <c r="P66" i="4"/>
  <c r="P51" i="4"/>
  <c r="P52" i="4"/>
  <c r="P77" i="4" s="1"/>
  <c r="P26" i="4"/>
  <c r="P29" i="4" s="1"/>
  <c r="P30" i="4" s="1"/>
  <c r="P12" i="4"/>
  <c r="O88" i="4"/>
  <c r="O76" i="4"/>
  <c r="O66" i="4"/>
  <c r="O51" i="4"/>
  <c r="O26" i="4"/>
  <c r="O12" i="4"/>
  <c r="O29" i="4" s="1"/>
  <c r="N88" i="4"/>
  <c r="N76" i="4"/>
  <c r="N66" i="4"/>
  <c r="N51" i="4"/>
  <c r="N52" i="4"/>
  <c r="N77" i="4" s="1"/>
  <c r="N26" i="4"/>
  <c r="N29" i="4" s="1"/>
  <c r="N30" i="4" s="1"/>
  <c r="N12" i="4"/>
  <c r="L88" i="4"/>
  <c r="L76" i="4"/>
  <c r="L66" i="4"/>
  <c r="L51" i="4"/>
  <c r="L26" i="4"/>
  <c r="L29" i="4" s="1"/>
  <c r="L30" i="4" s="1"/>
  <c r="L12" i="4"/>
  <c r="K88" i="4"/>
  <c r="K76" i="4"/>
  <c r="K66" i="4"/>
  <c r="K51" i="4"/>
  <c r="K52" i="4"/>
  <c r="K77" i="4" s="1"/>
  <c r="K26" i="4"/>
  <c r="K12" i="4"/>
  <c r="K29" i="4" s="1"/>
  <c r="J88" i="4"/>
  <c r="J76" i="4"/>
  <c r="J66" i="4"/>
  <c r="J51" i="4"/>
  <c r="J29" i="4"/>
  <c r="J30" i="4" s="1"/>
  <c r="J26" i="4"/>
  <c r="J12" i="4"/>
  <c r="H88" i="4"/>
  <c r="H76" i="4"/>
  <c r="H66" i="4"/>
  <c r="H51" i="4"/>
  <c r="H26" i="4"/>
  <c r="H12" i="4"/>
  <c r="H29" i="4" s="1"/>
  <c r="T88" i="27"/>
  <c r="T76" i="27"/>
  <c r="T66" i="27"/>
  <c r="T51" i="27"/>
  <c r="T52" i="27"/>
  <c r="T77" i="27" s="1"/>
  <c r="T26" i="27"/>
  <c r="T12" i="27"/>
  <c r="T29" i="27" s="1"/>
  <c r="S88" i="27"/>
  <c r="S76" i="27"/>
  <c r="S66" i="27"/>
  <c r="S51" i="27"/>
  <c r="S52" i="27"/>
  <c r="S26" i="27"/>
  <c r="S12" i="27"/>
  <c r="R88" i="27"/>
  <c r="R76" i="27"/>
  <c r="R66" i="27"/>
  <c r="R51" i="27"/>
  <c r="R52" i="27"/>
  <c r="R77" i="27" s="1"/>
  <c r="R29" i="27"/>
  <c r="R30" i="27" s="1"/>
  <c r="R26" i="27"/>
  <c r="R12" i="27"/>
  <c r="P88" i="27"/>
  <c r="P76" i="27"/>
  <c r="P66" i="27"/>
  <c r="P51" i="27"/>
  <c r="P52" i="27" s="1"/>
  <c r="P77" i="27" s="1"/>
  <c r="P26" i="27"/>
  <c r="P12" i="27"/>
  <c r="O88" i="27"/>
  <c r="O76" i="27"/>
  <c r="O66" i="27"/>
  <c r="O51" i="27"/>
  <c r="O26" i="27"/>
  <c r="O12" i="27"/>
  <c r="N88" i="27"/>
  <c r="N76" i="27"/>
  <c r="N66" i="27"/>
  <c r="N51" i="27"/>
  <c r="N52" i="27"/>
  <c r="N77" i="27" s="1"/>
  <c r="N26" i="27"/>
  <c r="N12" i="27"/>
  <c r="L88" i="27"/>
  <c r="L76" i="27"/>
  <c r="L66" i="27"/>
  <c r="L51" i="27"/>
  <c r="L26" i="27"/>
  <c r="L12" i="27"/>
  <c r="K88" i="27"/>
  <c r="K76" i="27"/>
  <c r="K66" i="27"/>
  <c r="K51" i="27"/>
  <c r="K52" i="27"/>
  <c r="K77" i="27" s="1"/>
  <c r="K26" i="27"/>
  <c r="K12" i="27"/>
  <c r="J88" i="27"/>
  <c r="J76" i="27"/>
  <c r="J66" i="27"/>
  <c r="J51" i="27"/>
  <c r="J52" i="27"/>
  <c r="J77" i="27" s="1"/>
  <c r="J26" i="27"/>
  <c r="J12" i="27"/>
  <c r="H88" i="27"/>
  <c r="H76" i="27"/>
  <c r="H66" i="27"/>
  <c r="H51" i="27"/>
  <c r="H26" i="27"/>
  <c r="H12" i="27"/>
  <c r="T97" i="50"/>
  <c r="T88" i="50"/>
  <c r="T76" i="50"/>
  <c r="T66" i="50"/>
  <c r="T51" i="50"/>
  <c r="S97" i="50"/>
  <c r="S88" i="50"/>
  <c r="S76" i="50"/>
  <c r="S66" i="50"/>
  <c r="S51" i="50"/>
  <c r="R97" i="50"/>
  <c r="R88" i="50"/>
  <c r="R76" i="50"/>
  <c r="R66" i="50"/>
  <c r="R51" i="50"/>
  <c r="P97" i="50"/>
  <c r="P88" i="50"/>
  <c r="P76" i="50"/>
  <c r="P66" i="50"/>
  <c r="P51" i="50"/>
  <c r="P52" i="50"/>
  <c r="P77" i="50" s="1"/>
  <c r="O97" i="50"/>
  <c r="O88" i="50"/>
  <c r="O76" i="50"/>
  <c r="O66" i="50"/>
  <c r="O51" i="50"/>
  <c r="O52" i="50"/>
  <c r="O77" i="50" s="1"/>
  <c r="N97" i="50"/>
  <c r="N88" i="50"/>
  <c r="N76" i="50"/>
  <c r="N66" i="50"/>
  <c r="N51" i="50"/>
  <c r="N52" i="50"/>
  <c r="N77" i="50" s="1"/>
  <c r="L97" i="50"/>
  <c r="L88" i="50"/>
  <c r="L76" i="50"/>
  <c r="L66" i="50"/>
  <c r="L51" i="50"/>
  <c r="K97" i="50"/>
  <c r="K88" i="50"/>
  <c r="K76" i="50"/>
  <c r="K66" i="50"/>
  <c r="K51" i="50"/>
  <c r="K52" i="50"/>
  <c r="K77" i="50" s="1"/>
  <c r="J97" i="50"/>
  <c r="J88" i="50"/>
  <c r="J76" i="50"/>
  <c r="J66" i="50"/>
  <c r="J51" i="50"/>
  <c r="J52" i="50" s="1"/>
  <c r="J77" i="50" s="1"/>
  <c r="H97" i="50"/>
  <c r="H88" i="50"/>
  <c r="H76" i="50"/>
  <c r="H66" i="50"/>
  <c r="H51" i="50"/>
  <c r="T66" i="49"/>
  <c r="T51" i="49"/>
  <c r="S66" i="49"/>
  <c r="S51" i="49"/>
  <c r="S52" i="49"/>
  <c r="R66" i="49"/>
  <c r="R51" i="49"/>
  <c r="P66" i="49"/>
  <c r="P51" i="49"/>
  <c r="P52" i="49" s="1"/>
  <c r="O66" i="49"/>
  <c r="O51" i="49"/>
  <c r="O52" i="49" s="1"/>
  <c r="N66" i="49"/>
  <c r="N51" i="49"/>
  <c r="N52" i="49"/>
  <c r="L66" i="49"/>
  <c r="L51" i="49"/>
  <c r="L52" i="49"/>
  <c r="K66" i="49"/>
  <c r="K51" i="49"/>
  <c r="J66" i="49"/>
  <c r="J51" i="49"/>
  <c r="J52" i="49"/>
  <c r="H66" i="49"/>
  <c r="H51" i="49"/>
  <c r="H52" i="49" s="1"/>
  <c r="T97" i="31"/>
  <c r="T88" i="31"/>
  <c r="T76" i="31"/>
  <c r="T66" i="31"/>
  <c r="T51" i="31"/>
  <c r="T52" i="31"/>
  <c r="T77" i="31" s="1"/>
  <c r="S97" i="31"/>
  <c r="S88" i="31"/>
  <c r="S76" i="31"/>
  <c r="S66" i="31"/>
  <c r="S51" i="31"/>
  <c r="S52" i="31"/>
  <c r="S77" i="31" s="1"/>
  <c r="R97" i="31"/>
  <c r="R88" i="31"/>
  <c r="R76" i="31"/>
  <c r="R66" i="31"/>
  <c r="R51" i="31"/>
  <c r="R52" i="31"/>
  <c r="R77" i="31" s="1"/>
  <c r="P97" i="31"/>
  <c r="P88" i="31"/>
  <c r="P76" i="31"/>
  <c r="P66" i="31"/>
  <c r="P51" i="31"/>
  <c r="P52" i="31"/>
  <c r="P77" i="31" s="1"/>
  <c r="O97" i="31"/>
  <c r="O88" i="31"/>
  <c r="O76" i="31"/>
  <c r="O66" i="31"/>
  <c r="O51" i="31"/>
  <c r="O52" i="31"/>
  <c r="O77" i="31" s="1"/>
  <c r="N97" i="31"/>
  <c r="N88" i="31"/>
  <c r="N76" i="31"/>
  <c r="N66" i="31"/>
  <c r="N51" i="31"/>
  <c r="N52" i="31"/>
  <c r="N77" i="31" s="1"/>
  <c r="L97" i="31"/>
  <c r="L88" i="31"/>
  <c r="L76" i="31"/>
  <c r="L66" i="31"/>
  <c r="L51" i="31"/>
  <c r="L52" i="31"/>
  <c r="L77" i="31" s="1"/>
  <c r="K97" i="31"/>
  <c r="K88" i="31"/>
  <c r="K76" i="31"/>
  <c r="K66" i="31"/>
  <c r="K51" i="31"/>
  <c r="K52" i="31" s="1"/>
  <c r="K77" i="31" s="1"/>
  <c r="J97" i="31"/>
  <c r="J88" i="31"/>
  <c r="J76" i="31"/>
  <c r="J66" i="31"/>
  <c r="J51" i="31"/>
  <c r="J52" i="31"/>
  <c r="J77" i="31" s="1"/>
  <c r="H97" i="31"/>
  <c r="H88" i="31"/>
  <c r="H76" i="31"/>
  <c r="H66" i="31"/>
  <c r="H51" i="31"/>
  <c r="T88" i="51"/>
  <c r="T76" i="51"/>
  <c r="T66" i="51"/>
  <c r="T51" i="51"/>
  <c r="T26" i="51"/>
  <c r="T12" i="51"/>
  <c r="S88" i="51"/>
  <c r="S76" i="51"/>
  <c r="S66" i="51"/>
  <c r="S51" i="51"/>
  <c r="S26" i="51"/>
  <c r="S12" i="51"/>
  <c r="R88" i="51"/>
  <c r="R76" i="51"/>
  <c r="R66" i="51"/>
  <c r="R51" i="51"/>
  <c r="R26" i="51"/>
  <c r="R12" i="51"/>
  <c r="P88" i="51"/>
  <c r="P76" i="51"/>
  <c r="P66" i="51"/>
  <c r="P51" i="51"/>
  <c r="P52" i="51"/>
  <c r="P77" i="51" s="1"/>
  <c r="P26" i="51"/>
  <c r="P12" i="51"/>
  <c r="O88" i="51"/>
  <c r="O76" i="51"/>
  <c r="O66" i="51"/>
  <c r="O51" i="51"/>
  <c r="O26" i="51"/>
  <c r="O12" i="51"/>
  <c r="N88" i="51"/>
  <c r="N76" i="51"/>
  <c r="N66" i="51"/>
  <c r="N51" i="51"/>
  <c r="N52" i="51" s="1"/>
  <c r="N77" i="51" s="1"/>
  <c r="N26" i="51"/>
  <c r="N12" i="51"/>
  <c r="L88" i="51"/>
  <c r="L76" i="51"/>
  <c r="L66" i="51"/>
  <c r="L51" i="51"/>
  <c r="L26" i="51"/>
  <c r="L12" i="51"/>
  <c r="K88" i="51"/>
  <c r="K76" i="51"/>
  <c r="K66" i="51"/>
  <c r="K51" i="51"/>
  <c r="K52" i="51" s="1"/>
  <c r="K77" i="51" s="1"/>
  <c r="K26" i="51"/>
  <c r="K12" i="51"/>
  <c r="J88" i="51"/>
  <c r="J76" i="51"/>
  <c r="J66" i="51"/>
  <c r="J51" i="51"/>
  <c r="J52" i="51"/>
  <c r="J77" i="51" s="1"/>
  <c r="J26" i="51"/>
  <c r="J12" i="51"/>
  <c r="J29" i="51" s="1"/>
  <c r="H88" i="51"/>
  <c r="H76" i="51"/>
  <c r="H66" i="51"/>
  <c r="H51" i="51"/>
  <c r="H52" i="51"/>
  <c r="H77" i="51" s="1"/>
  <c r="H26" i="51"/>
  <c r="H12" i="51"/>
  <c r="G106" i="51"/>
  <c r="G97" i="51"/>
  <c r="G88" i="51"/>
  <c r="G76" i="51"/>
  <c r="G66" i="51"/>
  <c r="G51" i="51"/>
  <c r="G26" i="51"/>
  <c r="G12" i="51"/>
  <c r="T113" i="24"/>
  <c r="T106" i="24"/>
  <c r="T97" i="24"/>
  <c r="T88" i="24"/>
  <c r="T114" i="24" s="1"/>
  <c r="T76" i="24"/>
  <c r="T66" i="24"/>
  <c r="T51" i="24"/>
  <c r="T24" i="24"/>
  <c r="T26" i="24" s="1"/>
  <c r="T12" i="24"/>
  <c r="S113" i="24"/>
  <c r="S106" i="24"/>
  <c r="S97" i="24"/>
  <c r="S88" i="24"/>
  <c r="S114" i="24" s="1"/>
  <c r="S76" i="24"/>
  <c r="S66" i="24"/>
  <c r="S51" i="24"/>
  <c r="S24" i="24"/>
  <c r="S26" i="24" s="1"/>
  <c r="S12" i="24"/>
  <c r="R113" i="24"/>
  <c r="R106" i="24"/>
  <c r="R97" i="24"/>
  <c r="R114" i="24" s="1"/>
  <c r="R88" i="24"/>
  <c r="R76" i="24"/>
  <c r="R66" i="24"/>
  <c r="R51" i="24"/>
  <c r="R52" i="24"/>
  <c r="R77" i="24" s="1"/>
  <c r="R24" i="24"/>
  <c r="R26" i="24" s="1"/>
  <c r="R12" i="24"/>
  <c r="P113" i="24"/>
  <c r="P106" i="24"/>
  <c r="P97" i="24"/>
  <c r="P88" i="24"/>
  <c r="P114" i="24" s="1"/>
  <c r="P76" i="24"/>
  <c r="P66" i="24"/>
  <c r="P51" i="24"/>
  <c r="P24" i="24"/>
  <c r="P26" i="24" s="1"/>
  <c r="P12" i="24"/>
  <c r="O113" i="24"/>
  <c r="O106" i="24"/>
  <c r="O97" i="24"/>
  <c r="O88" i="24"/>
  <c r="O114" i="24" s="1"/>
  <c r="O76" i="24"/>
  <c r="O66" i="24"/>
  <c r="O51" i="24"/>
  <c r="O24" i="24"/>
  <c r="O26" i="24" s="1"/>
  <c r="O12" i="24"/>
  <c r="N113" i="24"/>
  <c r="N106" i="24"/>
  <c r="N97" i="24"/>
  <c r="N88" i="24"/>
  <c r="N114" i="24" s="1"/>
  <c r="N76" i="24"/>
  <c r="N66" i="24"/>
  <c r="N51" i="24"/>
  <c r="N24" i="24"/>
  <c r="N26" i="24" s="1"/>
  <c r="N12" i="24"/>
  <c r="L113" i="24"/>
  <c r="L106" i="24"/>
  <c r="L97" i="24"/>
  <c r="L114" i="24" s="1"/>
  <c r="L88" i="24"/>
  <c r="L76" i="24"/>
  <c r="L66" i="24"/>
  <c r="L51" i="24"/>
  <c r="L52" i="24"/>
  <c r="L77" i="24" s="1"/>
  <c r="L24" i="24"/>
  <c r="L26" i="24" s="1"/>
  <c r="L12" i="24"/>
  <c r="K113" i="24"/>
  <c r="K106" i="24"/>
  <c r="K97" i="24"/>
  <c r="K88" i="24"/>
  <c r="K114" i="24" s="1"/>
  <c r="K76" i="24"/>
  <c r="K66" i="24"/>
  <c r="K51" i="24"/>
  <c r="K24" i="24"/>
  <c r="K26" i="24" s="1"/>
  <c r="K12" i="24"/>
  <c r="K29" i="24" s="1"/>
  <c r="J113" i="24"/>
  <c r="J106" i="24"/>
  <c r="J97" i="24"/>
  <c r="J88" i="24"/>
  <c r="J114" i="24" s="1"/>
  <c r="J76" i="24"/>
  <c r="J66" i="24"/>
  <c r="J51" i="24"/>
  <c r="J52" i="24"/>
  <c r="J77" i="24" s="1"/>
  <c r="J24" i="24"/>
  <c r="J26" i="24" s="1"/>
  <c r="J12" i="24"/>
  <c r="H113" i="24"/>
  <c r="H106" i="24"/>
  <c r="H97" i="24"/>
  <c r="H88" i="24"/>
  <c r="H114" i="24" s="1"/>
  <c r="H76" i="24"/>
  <c r="H66" i="24"/>
  <c r="H51" i="24"/>
  <c r="H24" i="24"/>
  <c r="H26" i="24" s="1"/>
  <c r="H12" i="24"/>
  <c r="G114" i="24"/>
  <c r="G113" i="24"/>
  <c r="G106" i="24"/>
  <c r="G97" i="24"/>
  <c r="G88" i="24"/>
  <c r="G76" i="24"/>
  <c r="G66" i="24"/>
  <c r="G51" i="24"/>
  <c r="G52" i="24" s="1"/>
  <c r="G77" i="24" s="1"/>
  <c r="G26" i="24"/>
  <c r="G24" i="24"/>
  <c r="G12" i="24"/>
  <c r="G7" i="57"/>
  <c r="E24" i="43" l="1"/>
  <c r="S52" i="30"/>
  <c r="S77" i="30" s="1"/>
  <c r="R52" i="30"/>
  <c r="R77" i="30" s="1"/>
  <c r="N52" i="30"/>
  <c r="N77" i="30" s="1"/>
  <c r="L52" i="30"/>
  <c r="L77" i="30" s="1"/>
  <c r="J52" i="30"/>
  <c r="J77" i="30" s="1"/>
  <c r="R52" i="26"/>
  <c r="R77" i="26" s="1"/>
  <c r="S52" i="26"/>
  <c r="S77" i="26" s="1"/>
  <c r="O52" i="25"/>
  <c r="O77" i="25" s="1"/>
  <c r="L52" i="25"/>
  <c r="L77" i="25" s="1"/>
  <c r="O52" i="4"/>
  <c r="O77" i="4" s="1"/>
  <c r="T52" i="50"/>
  <c r="T77" i="50" s="1"/>
  <c r="R52" i="50"/>
  <c r="R77" i="50" s="1"/>
  <c r="L52" i="50"/>
  <c r="L77" i="50" s="1"/>
  <c r="R52" i="49"/>
  <c r="T52" i="24"/>
  <c r="T77" i="24" s="1"/>
  <c r="T115" i="24" s="1"/>
  <c r="S52" i="24"/>
  <c r="S77" i="24" s="1"/>
  <c r="S115" i="24" s="1"/>
  <c r="P52" i="24"/>
  <c r="P77" i="24" s="1"/>
  <c r="P115" i="24" s="1"/>
  <c r="N52" i="24"/>
  <c r="N77" i="24" s="1"/>
  <c r="N115" i="24" s="1"/>
  <c r="K52" i="24"/>
  <c r="K77" i="24" s="1"/>
  <c r="K117" i="24" s="1"/>
  <c r="H52" i="24"/>
  <c r="H77" i="24" s="1"/>
  <c r="H115" i="24" s="1"/>
  <c r="H52" i="41"/>
  <c r="H77" i="41" s="1"/>
  <c r="R52" i="28"/>
  <c r="R77" i="28" s="1"/>
  <c r="J52" i="28"/>
  <c r="J77" i="28" s="1"/>
  <c r="O52" i="24"/>
  <c r="O77" i="24" s="1"/>
  <c r="O115" i="24" s="1"/>
  <c r="T30" i="41"/>
  <c r="S30" i="41"/>
  <c r="R29" i="41"/>
  <c r="R30" i="41" s="1"/>
  <c r="P29" i="41"/>
  <c r="P30" i="41" s="1"/>
  <c r="O29" i="41"/>
  <c r="O30" i="41" s="1"/>
  <c r="N30" i="41"/>
  <c r="L29" i="41"/>
  <c r="L30" i="41" s="1"/>
  <c r="K30" i="41"/>
  <c r="J29" i="41"/>
  <c r="J30" i="41" s="1"/>
  <c r="T29" i="25"/>
  <c r="T30" i="25" s="1"/>
  <c r="S29" i="25"/>
  <c r="S30" i="25" s="1"/>
  <c r="R29" i="25"/>
  <c r="R30" i="25" s="1"/>
  <c r="P29" i="25"/>
  <c r="P30" i="25" s="1"/>
  <c r="O29" i="25"/>
  <c r="O30" i="25" s="1"/>
  <c r="N30" i="25"/>
  <c r="N29" i="25"/>
  <c r="L29" i="25"/>
  <c r="L30" i="25" s="1"/>
  <c r="K30" i="25"/>
  <c r="K29" i="25"/>
  <c r="J29" i="25"/>
  <c r="J30" i="25" s="1"/>
  <c r="H29" i="25"/>
  <c r="H30" i="25" s="1"/>
  <c r="O30" i="4"/>
  <c r="K30" i="4"/>
  <c r="H30" i="4"/>
  <c r="H52" i="27"/>
  <c r="H77" i="27" s="1"/>
  <c r="K29" i="27"/>
  <c r="K30" i="27" s="1"/>
  <c r="L52" i="27"/>
  <c r="L77" i="27" s="1"/>
  <c r="S77" i="27"/>
  <c r="O52" i="27"/>
  <c r="O77" i="27" s="1"/>
  <c r="T30" i="27"/>
  <c r="S29" i="27"/>
  <c r="S30" i="27" s="1"/>
  <c r="P29" i="27"/>
  <c r="P30" i="27" s="1"/>
  <c r="O29" i="27"/>
  <c r="O30" i="27" s="1"/>
  <c r="N29" i="27"/>
  <c r="N30" i="27" s="1"/>
  <c r="L29" i="27"/>
  <c r="L30" i="27" s="1"/>
  <c r="J29" i="27"/>
  <c r="J30" i="27" s="1"/>
  <c r="H29" i="27"/>
  <c r="H30" i="27" s="1"/>
  <c r="T29" i="51"/>
  <c r="T30" i="51" s="1"/>
  <c r="S29" i="51"/>
  <c r="S30" i="51" s="1"/>
  <c r="R29" i="51"/>
  <c r="R30" i="51" s="1"/>
  <c r="P29" i="51"/>
  <c r="P30" i="51" s="1"/>
  <c r="O29" i="51"/>
  <c r="O30" i="51" s="1"/>
  <c r="N30" i="51"/>
  <c r="N29" i="51"/>
  <c r="L29" i="51"/>
  <c r="L30" i="51" s="1"/>
  <c r="K29" i="51"/>
  <c r="K30" i="51" s="1"/>
  <c r="J30" i="51"/>
  <c r="H29" i="51"/>
  <c r="H30" i="51" s="1"/>
  <c r="G29" i="51"/>
  <c r="G30" i="51" s="1"/>
  <c r="T29" i="24"/>
  <c r="S29" i="24"/>
  <c r="R115" i="24"/>
  <c r="R29" i="24"/>
  <c r="R117" i="24" s="1"/>
  <c r="P29" i="24"/>
  <c r="O29" i="24"/>
  <c r="N29" i="24"/>
  <c r="L115" i="24"/>
  <c r="L29" i="24"/>
  <c r="L117" i="24" s="1"/>
  <c r="K115" i="24"/>
  <c r="K30" i="24"/>
  <c r="J30" i="24"/>
  <c r="J115" i="24"/>
  <c r="J29" i="24"/>
  <c r="J117" i="24" s="1"/>
  <c r="H29" i="24"/>
  <c r="G115" i="24"/>
  <c r="G29" i="24"/>
  <c r="G30" i="24" s="1"/>
  <c r="T117" i="24" l="1"/>
  <c r="S117" i="24"/>
  <c r="P117" i="24"/>
  <c r="N117" i="24"/>
  <c r="H117" i="24"/>
  <c r="O117" i="24"/>
  <c r="T30" i="24"/>
  <c r="S30" i="24"/>
  <c r="R30" i="24"/>
  <c r="P30" i="24"/>
  <c r="O30" i="24"/>
  <c r="N30" i="24"/>
  <c r="L30" i="24"/>
  <c r="H30" i="24"/>
  <c r="S5" i="39" l="1"/>
  <c r="S4" i="39"/>
  <c r="S3" i="39"/>
  <c r="S2" i="39"/>
  <c r="R5" i="39"/>
  <c r="R4" i="39"/>
  <c r="R3" i="39"/>
  <c r="R2" i="39"/>
  <c r="Q5" i="39"/>
  <c r="Q4" i="39"/>
  <c r="Q3" i="39"/>
  <c r="Q2" i="39"/>
  <c r="O5" i="39"/>
  <c r="O4" i="39"/>
  <c r="O3" i="39"/>
  <c r="O2" i="39"/>
  <c r="N5" i="39"/>
  <c r="N4" i="39"/>
  <c r="N3" i="39"/>
  <c r="N2" i="39"/>
  <c r="M5" i="39"/>
  <c r="M4" i="39"/>
  <c r="M3" i="39"/>
  <c r="M2" i="39"/>
  <c r="K5" i="39"/>
  <c r="K4" i="39"/>
  <c r="K3" i="39"/>
  <c r="K2" i="39"/>
  <c r="J5" i="39"/>
  <c r="J4" i="39"/>
  <c r="J3" i="39"/>
  <c r="J2" i="39"/>
  <c r="I5" i="39"/>
  <c r="I4" i="39"/>
  <c r="I3" i="39"/>
  <c r="I2" i="39"/>
  <c r="F9" i="57"/>
  <c r="E9" i="57"/>
  <c r="D9" i="57"/>
  <c r="C9" i="57"/>
  <c r="C8" i="57"/>
  <c r="G8" i="57" s="1"/>
  <c r="F6" i="57"/>
  <c r="E6" i="57"/>
  <c r="D6" i="57"/>
  <c r="C6" i="57"/>
  <c r="G6" i="57" s="1"/>
  <c r="G9" i="57" l="1"/>
  <c r="E9" i="39"/>
  <c r="G5" i="39"/>
  <c r="G4" i="39"/>
  <c r="G2" i="39"/>
  <c r="F4" i="39"/>
  <c r="E4" i="39"/>
  <c r="E2" i="39"/>
  <c r="F129" i="41"/>
  <c r="F9" i="20"/>
  <c r="G26" i="56"/>
  <c r="F26" i="56"/>
  <c r="E26" i="56"/>
  <c r="D26" i="56"/>
  <c r="H26" i="56"/>
  <c r="H23" i="56"/>
  <c r="H20" i="56"/>
  <c r="T22" i="56"/>
  <c r="G23" i="56"/>
  <c r="F23" i="56"/>
  <c r="E23" i="56"/>
  <c r="D23" i="56"/>
  <c r="G20" i="56"/>
  <c r="F20" i="56"/>
  <c r="E20" i="56"/>
  <c r="D20" i="56"/>
  <c r="M46" i="56" l="1"/>
  <c r="N46" i="56"/>
  <c r="O46" i="56"/>
  <c r="H42" i="56"/>
  <c r="AE47" i="56"/>
  <c r="AD47" i="56"/>
  <c r="AC47" i="56"/>
  <c r="AB47" i="56"/>
  <c r="AF42" i="56"/>
  <c r="P42" i="56"/>
  <c r="AE40" i="56"/>
  <c r="AD40" i="56"/>
  <c r="AC40" i="56"/>
  <c r="AB40" i="56"/>
  <c r="W40" i="56"/>
  <c r="V40" i="56"/>
  <c r="U40" i="56"/>
  <c r="T40" i="56"/>
  <c r="AF39" i="56"/>
  <c r="X39" i="56"/>
  <c r="AF37" i="56"/>
  <c r="X37" i="56"/>
  <c r="O40" i="56"/>
  <c r="M40" i="56"/>
  <c r="L40" i="56"/>
  <c r="AE36" i="56"/>
  <c r="AD36" i="56"/>
  <c r="AC36" i="56"/>
  <c r="AB36" i="56"/>
  <c r="W36" i="56"/>
  <c r="V36" i="56"/>
  <c r="U36" i="56"/>
  <c r="T36" i="56"/>
  <c r="AF35" i="56"/>
  <c r="X35" i="56"/>
  <c r="AF30" i="56"/>
  <c r="X30" i="56"/>
  <c r="M36" i="56"/>
  <c r="AE25" i="56"/>
  <c r="AD25" i="56"/>
  <c r="AC25" i="56"/>
  <c r="AB25" i="56"/>
  <c r="W25" i="56"/>
  <c r="W24" i="56" s="1"/>
  <c r="V25" i="56"/>
  <c r="V24" i="56" s="1"/>
  <c r="U25" i="56"/>
  <c r="U24" i="56" s="1"/>
  <c r="T25" i="56"/>
  <c r="T24" i="56" s="1"/>
  <c r="P23" i="56"/>
  <c r="AE22" i="56"/>
  <c r="AD22" i="56"/>
  <c r="AC22" i="56"/>
  <c r="AB22" i="56"/>
  <c r="W22" i="56"/>
  <c r="V22" i="56"/>
  <c r="U22" i="56"/>
  <c r="M21" i="56"/>
  <c r="N21" i="56"/>
  <c r="P20" i="56"/>
  <c r="AF19" i="56"/>
  <c r="AE19" i="56"/>
  <c r="AD19" i="56"/>
  <c r="AC19" i="56"/>
  <c r="AB19" i="56"/>
  <c r="W19" i="56"/>
  <c r="V19" i="56"/>
  <c r="U19" i="56"/>
  <c r="T19" i="56"/>
  <c r="X18" i="56"/>
  <c r="O18" i="56"/>
  <c r="N18" i="56"/>
  <c r="M18" i="56"/>
  <c r="L18" i="56"/>
  <c r="X13" i="56"/>
  <c r="O13" i="56"/>
  <c r="N13" i="56"/>
  <c r="M13" i="56"/>
  <c r="L13" i="56"/>
  <c r="AF12" i="56"/>
  <c r="AE12" i="56"/>
  <c r="AD12" i="56"/>
  <c r="AC12" i="56"/>
  <c r="AB12" i="56"/>
  <c r="W12" i="56"/>
  <c r="V12" i="56"/>
  <c r="U12" i="56"/>
  <c r="T12" i="56"/>
  <c r="X11" i="56"/>
  <c r="O11" i="56"/>
  <c r="N11" i="56"/>
  <c r="M11" i="56"/>
  <c r="L11" i="56"/>
  <c r="X6" i="56"/>
  <c r="O6" i="56"/>
  <c r="N6" i="56"/>
  <c r="M6" i="56"/>
  <c r="L6" i="56"/>
  <c r="L22" i="56" l="1"/>
  <c r="P22" i="56" s="1"/>
  <c r="L25" i="56"/>
  <c r="L46" i="56" s="1"/>
  <c r="U46" i="56"/>
  <c r="T46" i="56"/>
  <c r="W46" i="56"/>
  <c r="V46" i="56"/>
  <c r="AF40" i="56"/>
  <c r="X40" i="56"/>
  <c r="AC41" i="56"/>
  <c r="AC43" i="56" s="1"/>
  <c r="AB29" i="56"/>
  <c r="AC29" i="56"/>
  <c r="X36" i="56"/>
  <c r="AF25" i="56"/>
  <c r="AF46" i="56" s="1"/>
  <c r="L12" i="56"/>
  <c r="AD29" i="56"/>
  <c r="L19" i="56"/>
  <c r="V29" i="56"/>
  <c r="AD41" i="56"/>
  <c r="AD43" i="56" s="1"/>
  <c r="X12" i="56"/>
  <c r="N19" i="56"/>
  <c r="W29" i="56"/>
  <c r="AF22" i="56"/>
  <c r="AF44" i="56" s="1"/>
  <c r="O19" i="56"/>
  <c r="AB41" i="56"/>
  <c r="AB43" i="56" s="1"/>
  <c r="T41" i="56"/>
  <c r="T43" i="56" s="1"/>
  <c r="M41" i="56"/>
  <c r="M43" i="56" s="1"/>
  <c r="U41" i="56"/>
  <c r="U43" i="56" s="1"/>
  <c r="P13" i="56"/>
  <c r="X22" i="56"/>
  <c r="X21" i="56" s="1"/>
  <c r="N36" i="56"/>
  <c r="V41" i="56"/>
  <c r="V43" i="56" s="1"/>
  <c r="M12" i="56"/>
  <c r="X19" i="56"/>
  <c r="U29" i="56"/>
  <c r="O36" i="56"/>
  <c r="O41" i="56" s="1"/>
  <c r="O43" i="56" s="1"/>
  <c r="W41" i="56"/>
  <c r="W43" i="56" s="1"/>
  <c r="P39" i="56"/>
  <c r="N12" i="56"/>
  <c r="P37" i="56"/>
  <c r="M44" i="56"/>
  <c r="M47" i="56" s="1"/>
  <c r="O12" i="56"/>
  <c r="M19" i="56"/>
  <c r="AF36" i="56"/>
  <c r="P35" i="56"/>
  <c r="AE41" i="56"/>
  <c r="AE43" i="56" s="1"/>
  <c r="N29" i="56"/>
  <c r="N24" i="56"/>
  <c r="O24" i="56"/>
  <c r="O29" i="56"/>
  <c r="N44" i="56"/>
  <c r="P11" i="56"/>
  <c r="N40" i="56"/>
  <c r="AE29" i="56"/>
  <c r="U21" i="56"/>
  <c r="W44" i="56"/>
  <c r="M29" i="56"/>
  <c r="P18" i="56"/>
  <c r="U44" i="56"/>
  <c r="O21" i="56"/>
  <c r="O44" i="56"/>
  <c r="T44" i="56"/>
  <c r="V21" i="56"/>
  <c r="V44" i="56"/>
  <c r="T29" i="56"/>
  <c r="L36" i="56"/>
  <c r="L41" i="56" s="1"/>
  <c r="L43" i="56" s="1"/>
  <c r="P6" i="56"/>
  <c r="X25" i="56"/>
  <c r="X46" i="56" s="1"/>
  <c r="P30" i="56"/>
  <c r="M24" i="56"/>
  <c r="T21" i="56"/>
  <c r="W21" i="56"/>
  <c r="P25" i="56" l="1"/>
  <c r="P29" i="56" s="1"/>
  <c r="L24" i="56"/>
  <c r="L44" i="56"/>
  <c r="L47" i="56" s="1"/>
  <c r="L21" i="56"/>
  <c r="L29" i="56"/>
  <c r="AF41" i="56"/>
  <c r="AF43" i="56" s="1"/>
  <c r="P46" i="56"/>
  <c r="X41" i="56"/>
  <c r="X43" i="56" s="1"/>
  <c r="V47" i="56"/>
  <c r="T47" i="56"/>
  <c r="P19" i="56"/>
  <c r="X29" i="56"/>
  <c r="AF47" i="56"/>
  <c r="AF29" i="56"/>
  <c r="X44" i="56"/>
  <c r="N41" i="56"/>
  <c r="N43" i="56" s="1"/>
  <c r="P40" i="56"/>
  <c r="P36" i="56"/>
  <c r="O47" i="56"/>
  <c r="U47" i="56"/>
  <c r="W47" i="56"/>
  <c r="X24" i="56"/>
  <c r="P12" i="56"/>
  <c r="N47" i="56"/>
  <c r="P44" i="56"/>
  <c r="P21" i="56"/>
  <c r="P24" i="56" l="1"/>
  <c r="P47" i="56"/>
  <c r="P41" i="56"/>
  <c r="P43" i="56" s="1"/>
  <c r="X47" i="56"/>
  <c r="X116" i="3" l="1"/>
  <c r="X117" i="3" s="1"/>
  <c r="X109" i="3"/>
  <c r="X106" i="3"/>
  <c r="X100" i="3"/>
  <c r="X90" i="3"/>
  <c r="X87" i="3"/>
  <c r="X85" i="3"/>
  <c r="X84" i="3"/>
  <c r="X91" i="3" s="1"/>
  <c r="X79" i="3"/>
  <c r="X74" i="3"/>
  <c r="X69" i="3"/>
  <c r="X54" i="3"/>
  <c r="X40" i="3"/>
  <c r="X55" i="3" s="1"/>
  <c r="X80" i="3" s="1"/>
  <c r="F112" i="40"/>
  <c r="F111" i="40"/>
  <c r="F110" i="40"/>
  <c r="F109" i="40"/>
  <c r="F108" i="40"/>
  <c r="F105" i="40"/>
  <c r="F104" i="40"/>
  <c r="F103" i="40"/>
  <c r="F102" i="40"/>
  <c r="F101" i="40"/>
  <c r="F100" i="40"/>
  <c r="F99" i="40"/>
  <c r="F96" i="40"/>
  <c r="F95" i="40"/>
  <c r="F94" i="40"/>
  <c r="F93" i="40"/>
  <c r="F92" i="40"/>
  <c r="F91" i="40"/>
  <c r="F87" i="40"/>
  <c r="F86" i="40"/>
  <c r="F85" i="40"/>
  <c r="F84" i="40"/>
  <c r="F83" i="40"/>
  <c r="F82" i="40"/>
  <c r="F81" i="40"/>
  <c r="F80" i="40"/>
  <c r="F75" i="40"/>
  <c r="F74" i="40"/>
  <c r="F73" i="40"/>
  <c r="F70" i="40"/>
  <c r="F69" i="40"/>
  <c r="F68" i="40"/>
  <c r="F65" i="40"/>
  <c r="F64" i="40"/>
  <c r="F63" i="40"/>
  <c r="F62" i="40"/>
  <c r="F61" i="40"/>
  <c r="F60" i="40"/>
  <c r="F59" i="40"/>
  <c r="F58" i="40"/>
  <c r="F57" i="40"/>
  <c r="F56" i="40"/>
  <c r="F55" i="40"/>
  <c r="F50" i="40"/>
  <c r="F49" i="40"/>
  <c r="F48" i="40"/>
  <c r="F47" i="40"/>
  <c r="F46" i="40"/>
  <c r="F45" i="40"/>
  <c r="F44" i="40"/>
  <c r="F43" i="40"/>
  <c r="F42" i="40"/>
  <c r="F41" i="40"/>
  <c r="F40" i="40"/>
  <c r="F39" i="40"/>
  <c r="F36" i="40"/>
  <c r="F68" i="30"/>
  <c r="F103" i="30"/>
  <c r="F84" i="30"/>
  <c r="F81" i="30"/>
  <c r="F51" i="40" l="1"/>
  <c r="F66" i="40"/>
  <c r="X118" i="3"/>
  <c r="F24" i="24" l="1"/>
  <c r="F24" i="41"/>
  <c r="G12" i="39" l="1"/>
  <c r="G11" i="39"/>
  <c r="F11" i="39"/>
  <c r="F19" i="39" s="1"/>
  <c r="V122" i="50" l="1"/>
  <c r="V121" i="50"/>
  <c r="U122" i="50"/>
  <c r="U121" i="50"/>
  <c r="Q122" i="50"/>
  <c r="Q121" i="50"/>
  <c r="M122" i="50"/>
  <c r="M121" i="50"/>
  <c r="I122" i="50"/>
  <c r="I121" i="50"/>
  <c r="E11" i="43" l="1"/>
  <c r="F33" i="20"/>
  <c r="T5" i="39" l="1"/>
  <c r="G9" i="56" s="1"/>
  <c r="T4" i="39"/>
  <c r="G7" i="56" s="1"/>
  <c r="P5" i="39"/>
  <c r="F9" i="56" s="1"/>
  <c r="P4" i="39"/>
  <c r="F7" i="56" s="1"/>
  <c r="T112" i="33" l="1"/>
  <c r="S112" i="33"/>
  <c r="R112" i="33"/>
  <c r="T111" i="33"/>
  <c r="S111" i="33"/>
  <c r="R111" i="33"/>
  <c r="T110" i="33"/>
  <c r="S110" i="33"/>
  <c r="R110" i="33"/>
  <c r="T109" i="33"/>
  <c r="S109" i="33"/>
  <c r="R109" i="33"/>
  <c r="T108" i="33"/>
  <c r="S108" i="33"/>
  <c r="R108" i="33"/>
  <c r="T105" i="33"/>
  <c r="S105" i="33"/>
  <c r="R105" i="33"/>
  <c r="T104" i="33"/>
  <c r="S104" i="33"/>
  <c r="R104" i="33"/>
  <c r="T103" i="33"/>
  <c r="S103" i="33"/>
  <c r="R103" i="33"/>
  <c r="T102" i="33"/>
  <c r="S102" i="33"/>
  <c r="R102" i="33"/>
  <c r="T101" i="33"/>
  <c r="S101" i="33"/>
  <c r="R101" i="33"/>
  <c r="T100" i="33"/>
  <c r="S100" i="33"/>
  <c r="R100" i="33"/>
  <c r="T99" i="33"/>
  <c r="S99" i="33"/>
  <c r="S106" i="33" s="1"/>
  <c r="R99" i="33"/>
  <c r="T96" i="33"/>
  <c r="S96" i="33"/>
  <c r="R96" i="33"/>
  <c r="T95" i="33"/>
  <c r="S95" i="33"/>
  <c r="R95" i="33"/>
  <c r="T94" i="33"/>
  <c r="S94" i="33"/>
  <c r="R94" i="33"/>
  <c r="T93" i="33"/>
  <c r="S93" i="33"/>
  <c r="R93" i="33"/>
  <c r="T92" i="33"/>
  <c r="S92" i="33"/>
  <c r="R92" i="33"/>
  <c r="T91" i="33"/>
  <c r="S91" i="33"/>
  <c r="R91" i="33"/>
  <c r="T87" i="33"/>
  <c r="S87" i="33"/>
  <c r="R87" i="33"/>
  <c r="T86" i="33"/>
  <c r="S86" i="33"/>
  <c r="R86" i="33"/>
  <c r="T85" i="33"/>
  <c r="S85" i="33"/>
  <c r="R85" i="33"/>
  <c r="T84" i="33"/>
  <c r="S84" i="33"/>
  <c r="R84" i="33"/>
  <c r="T83" i="33"/>
  <c r="S83" i="33"/>
  <c r="R83" i="33"/>
  <c r="T82" i="33"/>
  <c r="S82" i="33"/>
  <c r="R82" i="33"/>
  <c r="T81" i="33"/>
  <c r="S81" i="33"/>
  <c r="R81" i="33"/>
  <c r="T80" i="33"/>
  <c r="S80" i="33"/>
  <c r="R80" i="33"/>
  <c r="T75" i="33"/>
  <c r="S75" i="33"/>
  <c r="R75" i="33"/>
  <c r="T74" i="33"/>
  <c r="S74" i="33"/>
  <c r="S76" i="33" s="1"/>
  <c r="R74" i="33"/>
  <c r="T73" i="33"/>
  <c r="S73" i="33"/>
  <c r="R73" i="33"/>
  <c r="T70" i="33"/>
  <c r="S70" i="33"/>
  <c r="R70" i="33"/>
  <c r="T69" i="33"/>
  <c r="S69" i="33"/>
  <c r="R69" i="33"/>
  <c r="T68" i="33"/>
  <c r="S68" i="33"/>
  <c r="S71" i="33" s="1"/>
  <c r="R68" i="33"/>
  <c r="T65" i="33"/>
  <c r="S65" i="33"/>
  <c r="R65" i="33"/>
  <c r="T64" i="33"/>
  <c r="S64" i="33"/>
  <c r="R64" i="33"/>
  <c r="T63" i="33"/>
  <c r="S63" i="33"/>
  <c r="R63" i="33"/>
  <c r="T62" i="33"/>
  <c r="S62" i="33"/>
  <c r="R62" i="33"/>
  <c r="T61" i="33"/>
  <c r="S61" i="33"/>
  <c r="R61" i="33"/>
  <c r="T60" i="33"/>
  <c r="S60" i="33"/>
  <c r="R60" i="33"/>
  <c r="T59" i="33"/>
  <c r="S59" i="33"/>
  <c r="R59" i="33"/>
  <c r="T58" i="33"/>
  <c r="S58" i="33"/>
  <c r="R58" i="33"/>
  <c r="T57" i="33"/>
  <c r="S57" i="33"/>
  <c r="R57" i="33"/>
  <c r="T56" i="33"/>
  <c r="S56" i="33"/>
  <c r="R56" i="33"/>
  <c r="T55" i="33"/>
  <c r="S55" i="33"/>
  <c r="R55" i="33"/>
  <c r="T50" i="33"/>
  <c r="S50" i="33"/>
  <c r="R50" i="33"/>
  <c r="T49" i="33"/>
  <c r="S49" i="33"/>
  <c r="R49" i="33"/>
  <c r="T48" i="33"/>
  <c r="S48" i="33"/>
  <c r="R48" i="33"/>
  <c r="T47" i="33"/>
  <c r="S47" i="33"/>
  <c r="R47" i="33"/>
  <c r="T46" i="33"/>
  <c r="S46" i="33"/>
  <c r="R46" i="33"/>
  <c r="T45" i="33"/>
  <c r="S45" i="33"/>
  <c r="R45" i="33"/>
  <c r="T44" i="33"/>
  <c r="S44" i="33"/>
  <c r="R44" i="33"/>
  <c r="T43" i="33"/>
  <c r="S43" i="33"/>
  <c r="R43" i="33"/>
  <c r="T42" i="33"/>
  <c r="S42" i="33"/>
  <c r="R42" i="33"/>
  <c r="T41" i="33"/>
  <c r="S41" i="33"/>
  <c r="R41" i="33"/>
  <c r="T40" i="33"/>
  <c r="S40" i="33"/>
  <c r="R40" i="33"/>
  <c r="T39" i="33"/>
  <c r="S39" i="33"/>
  <c r="R39" i="33"/>
  <c r="T36" i="33"/>
  <c r="S36" i="33"/>
  <c r="R36" i="33"/>
  <c r="T35" i="33"/>
  <c r="S35" i="33"/>
  <c r="R35" i="33"/>
  <c r="T34" i="33"/>
  <c r="S34" i="33"/>
  <c r="R34" i="33"/>
  <c r="T33" i="33"/>
  <c r="S33" i="33"/>
  <c r="R33" i="33"/>
  <c r="T25" i="33"/>
  <c r="S25" i="33"/>
  <c r="R25" i="33"/>
  <c r="T24" i="33"/>
  <c r="S24" i="33"/>
  <c r="R24" i="33"/>
  <c r="T23" i="33"/>
  <c r="S23" i="33"/>
  <c r="R23" i="33"/>
  <c r="T22" i="33"/>
  <c r="S22" i="33"/>
  <c r="R22" i="33"/>
  <c r="T21" i="33"/>
  <c r="S21" i="33"/>
  <c r="R21" i="33"/>
  <c r="T20" i="33"/>
  <c r="S20" i="33"/>
  <c r="R20" i="33"/>
  <c r="T19" i="33"/>
  <c r="S19" i="33"/>
  <c r="R19" i="33"/>
  <c r="T18" i="33"/>
  <c r="S18" i="33"/>
  <c r="R18" i="33"/>
  <c r="T17" i="33"/>
  <c r="S17" i="33"/>
  <c r="R17" i="33"/>
  <c r="T16" i="33"/>
  <c r="S16" i="33"/>
  <c r="R16" i="33"/>
  <c r="T10" i="33"/>
  <c r="S10" i="33"/>
  <c r="R10" i="33"/>
  <c r="T9" i="33"/>
  <c r="S9" i="33"/>
  <c r="R9" i="33"/>
  <c r="T8" i="33"/>
  <c r="S8" i="33"/>
  <c r="R8" i="33"/>
  <c r="T7" i="33"/>
  <c r="S7" i="33"/>
  <c r="R7" i="33"/>
  <c r="T6" i="33"/>
  <c r="S6" i="33"/>
  <c r="R6" i="33"/>
  <c r="T5" i="33"/>
  <c r="S5" i="33"/>
  <c r="R5" i="33"/>
  <c r="P112" i="33"/>
  <c r="O112" i="33"/>
  <c r="N112" i="33"/>
  <c r="P111" i="33"/>
  <c r="O111" i="33"/>
  <c r="N111" i="33"/>
  <c r="P110" i="33"/>
  <c r="O110" i="33"/>
  <c r="N110" i="33"/>
  <c r="P109" i="33"/>
  <c r="O109" i="33"/>
  <c r="N109" i="33"/>
  <c r="P108" i="33"/>
  <c r="O108" i="33"/>
  <c r="N108" i="33"/>
  <c r="P105" i="33"/>
  <c r="O105" i="33"/>
  <c r="N105" i="33"/>
  <c r="P104" i="33"/>
  <c r="O104" i="33"/>
  <c r="N104" i="33"/>
  <c r="P103" i="33"/>
  <c r="O103" i="33"/>
  <c r="N103" i="33"/>
  <c r="P102" i="33"/>
  <c r="O102" i="33"/>
  <c r="N102" i="33"/>
  <c r="P101" i="33"/>
  <c r="O101" i="33"/>
  <c r="N101" i="33"/>
  <c r="P100" i="33"/>
  <c r="O100" i="33"/>
  <c r="N100" i="33"/>
  <c r="P99" i="33"/>
  <c r="O99" i="33"/>
  <c r="N99" i="33"/>
  <c r="P96" i="33"/>
  <c r="O96" i="33"/>
  <c r="N96" i="33"/>
  <c r="P95" i="33"/>
  <c r="O95" i="33"/>
  <c r="N95" i="33"/>
  <c r="P94" i="33"/>
  <c r="O94" i="33"/>
  <c r="N94" i="33"/>
  <c r="P93" i="33"/>
  <c r="O93" i="33"/>
  <c r="N93" i="33"/>
  <c r="P92" i="33"/>
  <c r="O92" i="33"/>
  <c r="N92" i="33"/>
  <c r="P91" i="33"/>
  <c r="O91" i="33"/>
  <c r="N91" i="33"/>
  <c r="P87" i="33"/>
  <c r="O87" i="33"/>
  <c r="N87" i="33"/>
  <c r="P86" i="33"/>
  <c r="O86" i="33"/>
  <c r="N86" i="33"/>
  <c r="P85" i="33"/>
  <c r="O85" i="33"/>
  <c r="N85" i="33"/>
  <c r="P84" i="33"/>
  <c r="O84" i="33"/>
  <c r="N84" i="33"/>
  <c r="P83" i="33"/>
  <c r="O83" i="33"/>
  <c r="N83" i="33"/>
  <c r="P82" i="33"/>
  <c r="O82" i="33"/>
  <c r="N82" i="33"/>
  <c r="P81" i="33"/>
  <c r="O81" i="33"/>
  <c r="N81" i="33"/>
  <c r="P80" i="33"/>
  <c r="O80" i="33"/>
  <c r="N80" i="33"/>
  <c r="P75" i="33"/>
  <c r="O75" i="33"/>
  <c r="N75" i="33"/>
  <c r="P74" i="33"/>
  <c r="O74" i="33"/>
  <c r="N74" i="33"/>
  <c r="P73" i="33"/>
  <c r="O73" i="33"/>
  <c r="N73" i="33"/>
  <c r="P70" i="33"/>
  <c r="O70" i="33"/>
  <c r="N70" i="33"/>
  <c r="P69" i="33"/>
  <c r="O69" i="33"/>
  <c r="N69" i="33"/>
  <c r="P68" i="33"/>
  <c r="O68" i="33"/>
  <c r="N68" i="33"/>
  <c r="P65" i="33"/>
  <c r="O65" i="33"/>
  <c r="N65" i="33"/>
  <c r="P64" i="33"/>
  <c r="O64" i="33"/>
  <c r="N64" i="33"/>
  <c r="P63" i="33"/>
  <c r="O63" i="33"/>
  <c r="N63" i="33"/>
  <c r="P62" i="33"/>
  <c r="O62" i="33"/>
  <c r="N62" i="33"/>
  <c r="P61" i="33"/>
  <c r="O61" i="33"/>
  <c r="N61" i="33"/>
  <c r="P60" i="33"/>
  <c r="O60" i="33"/>
  <c r="N60" i="33"/>
  <c r="P59" i="33"/>
  <c r="O59" i="33"/>
  <c r="N59" i="33"/>
  <c r="P58" i="33"/>
  <c r="O58" i="33"/>
  <c r="N58" i="33"/>
  <c r="P57" i="33"/>
  <c r="O57" i="33"/>
  <c r="N57" i="33"/>
  <c r="P56" i="33"/>
  <c r="O56" i="33"/>
  <c r="N56" i="33"/>
  <c r="P55" i="33"/>
  <c r="O55" i="33"/>
  <c r="N55" i="33"/>
  <c r="P50" i="33"/>
  <c r="O50" i="33"/>
  <c r="N50" i="33"/>
  <c r="P49" i="33"/>
  <c r="O49" i="33"/>
  <c r="N49" i="33"/>
  <c r="P48" i="33"/>
  <c r="O48" i="33"/>
  <c r="N48" i="33"/>
  <c r="P47" i="33"/>
  <c r="O47" i="33"/>
  <c r="N47" i="33"/>
  <c r="P46" i="33"/>
  <c r="O46" i="33"/>
  <c r="N46" i="33"/>
  <c r="P45" i="33"/>
  <c r="O45" i="33"/>
  <c r="N45" i="33"/>
  <c r="P44" i="33"/>
  <c r="O44" i="33"/>
  <c r="N44" i="33"/>
  <c r="P43" i="33"/>
  <c r="O43" i="33"/>
  <c r="N43" i="33"/>
  <c r="P42" i="33"/>
  <c r="O42" i="33"/>
  <c r="N42" i="33"/>
  <c r="P41" i="33"/>
  <c r="O41" i="33"/>
  <c r="N41" i="33"/>
  <c r="P40" i="33"/>
  <c r="O40" i="33"/>
  <c r="N40" i="33"/>
  <c r="P39" i="33"/>
  <c r="O39" i="33"/>
  <c r="N39" i="33"/>
  <c r="P36" i="33"/>
  <c r="O36" i="33"/>
  <c r="N36" i="33"/>
  <c r="P35" i="33"/>
  <c r="O35" i="33"/>
  <c r="N35" i="33"/>
  <c r="P34" i="33"/>
  <c r="O34" i="33"/>
  <c r="N34" i="33"/>
  <c r="P33" i="33"/>
  <c r="O33" i="33"/>
  <c r="N33" i="33"/>
  <c r="P25" i="33"/>
  <c r="O25" i="33"/>
  <c r="N25" i="33"/>
  <c r="P24" i="33"/>
  <c r="O24" i="33"/>
  <c r="N24" i="33"/>
  <c r="P23" i="33"/>
  <c r="O23" i="33"/>
  <c r="N23" i="33"/>
  <c r="P22" i="33"/>
  <c r="O22" i="33"/>
  <c r="N22" i="33"/>
  <c r="P21" i="33"/>
  <c r="O21" i="33"/>
  <c r="N21" i="33"/>
  <c r="P20" i="33"/>
  <c r="O20" i="33"/>
  <c r="N20" i="33"/>
  <c r="P19" i="33"/>
  <c r="O19" i="33"/>
  <c r="N19" i="33"/>
  <c r="P18" i="33"/>
  <c r="O18" i="33"/>
  <c r="N18" i="33"/>
  <c r="P17" i="33"/>
  <c r="O17" i="33"/>
  <c r="N17" i="33"/>
  <c r="P16" i="33"/>
  <c r="O16" i="33"/>
  <c r="N16" i="33"/>
  <c r="P10" i="33"/>
  <c r="O10" i="33"/>
  <c r="N10" i="33"/>
  <c r="P9" i="33"/>
  <c r="O9" i="33"/>
  <c r="N9" i="33"/>
  <c r="P8" i="33"/>
  <c r="O8" i="33"/>
  <c r="N8" i="33"/>
  <c r="P7" i="33"/>
  <c r="O7" i="33"/>
  <c r="N7" i="33"/>
  <c r="P6" i="33"/>
  <c r="O6" i="33"/>
  <c r="N6" i="33"/>
  <c r="P5" i="33"/>
  <c r="O5" i="33"/>
  <c r="N5" i="33"/>
  <c r="L112" i="33"/>
  <c r="K112" i="33"/>
  <c r="J112" i="33"/>
  <c r="L111" i="33"/>
  <c r="K111" i="33"/>
  <c r="J111" i="33"/>
  <c r="L110" i="33"/>
  <c r="K110" i="33"/>
  <c r="J110" i="33"/>
  <c r="L109" i="33"/>
  <c r="K109" i="33"/>
  <c r="J109" i="33"/>
  <c r="L108" i="33"/>
  <c r="K108" i="33"/>
  <c r="J108" i="33"/>
  <c r="L105" i="33"/>
  <c r="K105" i="33"/>
  <c r="J105" i="33"/>
  <c r="L104" i="33"/>
  <c r="K104" i="33"/>
  <c r="J104" i="33"/>
  <c r="L103" i="33"/>
  <c r="K103" i="33"/>
  <c r="J103" i="33"/>
  <c r="L102" i="33"/>
  <c r="K102" i="33"/>
  <c r="J102" i="33"/>
  <c r="L101" i="33"/>
  <c r="K101" i="33"/>
  <c r="J101" i="33"/>
  <c r="L100" i="33"/>
  <c r="K100" i="33"/>
  <c r="J100" i="33"/>
  <c r="L99" i="33"/>
  <c r="K99" i="33"/>
  <c r="J99" i="33"/>
  <c r="L96" i="33"/>
  <c r="K96" i="33"/>
  <c r="J96" i="33"/>
  <c r="L95" i="33"/>
  <c r="K95" i="33"/>
  <c r="J95" i="33"/>
  <c r="L94" i="33"/>
  <c r="K94" i="33"/>
  <c r="J94" i="33"/>
  <c r="L93" i="33"/>
  <c r="K93" i="33"/>
  <c r="J93" i="33"/>
  <c r="L92" i="33"/>
  <c r="K92" i="33"/>
  <c r="J92" i="33"/>
  <c r="L91" i="33"/>
  <c r="K91" i="33"/>
  <c r="J91" i="33"/>
  <c r="L87" i="33"/>
  <c r="K87" i="33"/>
  <c r="J87" i="33"/>
  <c r="L86" i="33"/>
  <c r="K86" i="33"/>
  <c r="J86" i="33"/>
  <c r="L85" i="33"/>
  <c r="K85" i="33"/>
  <c r="J85" i="33"/>
  <c r="L84" i="33"/>
  <c r="K84" i="33"/>
  <c r="J84" i="33"/>
  <c r="L83" i="33"/>
  <c r="K83" i="33"/>
  <c r="J83" i="33"/>
  <c r="L82" i="33"/>
  <c r="K82" i="33"/>
  <c r="J82" i="33"/>
  <c r="L81" i="33"/>
  <c r="K81" i="33"/>
  <c r="J81" i="33"/>
  <c r="L80" i="33"/>
  <c r="K80" i="33"/>
  <c r="J80" i="33"/>
  <c r="L75" i="33"/>
  <c r="K75" i="33"/>
  <c r="J75" i="33"/>
  <c r="L74" i="33"/>
  <c r="K74" i="33"/>
  <c r="J74" i="33"/>
  <c r="L73" i="33"/>
  <c r="K73" i="33"/>
  <c r="J73" i="33"/>
  <c r="L70" i="33"/>
  <c r="K70" i="33"/>
  <c r="J70" i="33"/>
  <c r="L69" i="33"/>
  <c r="K69" i="33"/>
  <c r="J69" i="33"/>
  <c r="L68" i="33"/>
  <c r="K68" i="33"/>
  <c r="J68" i="33"/>
  <c r="L65" i="33"/>
  <c r="K65" i="33"/>
  <c r="J65" i="33"/>
  <c r="L64" i="33"/>
  <c r="K64" i="33"/>
  <c r="J64" i="33"/>
  <c r="L63" i="33"/>
  <c r="K63" i="33"/>
  <c r="J63" i="33"/>
  <c r="L62" i="33"/>
  <c r="K62" i="33"/>
  <c r="J62" i="33"/>
  <c r="L61" i="33"/>
  <c r="K61" i="33"/>
  <c r="J61" i="33"/>
  <c r="L60" i="33"/>
  <c r="K60" i="33"/>
  <c r="J60" i="33"/>
  <c r="L59" i="33"/>
  <c r="K59" i="33"/>
  <c r="J59" i="33"/>
  <c r="L58" i="33"/>
  <c r="K58" i="33"/>
  <c r="J58" i="33"/>
  <c r="L57" i="33"/>
  <c r="K57" i="33"/>
  <c r="J57" i="33"/>
  <c r="L56" i="33"/>
  <c r="K56" i="33"/>
  <c r="J56" i="33"/>
  <c r="L55" i="33"/>
  <c r="K55" i="33"/>
  <c r="J55" i="33"/>
  <c r="L50" i="33"/>
  <c r="K50" i="33"/>
  <c r="J50" i="33"/>
  <c r="L49" i="33"/>
  <c r="K49" i="33"/>
  <c r="J49" i="33"/>
  <c r="L48" i="33"/>
  <c r="K48" i="33"/>
  <c r="J48" i="33"/>
  <c r="L47" i="33"/>
  <c r="K47" i="33"/>
  <c r="J47" i="33"/>
  <c r="L46" i="33"/>
  <c r="K46" i="33"/>
  <c r="J46" i="33"/>
  <c r="L45" i="33"/>
  <c r="K45" i="33"/>
  <c r="J45" i="33"/>
  <c r="L44" i="33"/>
  <c r="K44" i="33"/>
  <c r="J44" i="33"/>
  <c r="L43" i="33"/>
  <c r="K43" i="33"/>
  <c r="J43" i="33"/>
  <c r="L42" i="33"/>
  <c r="K42" i="33"/>
  <c r="J42" i="33"/>
  <c r="L41" i="33"/>
  <c r="K41" i="33"/>
  <c r="J41" i="33"/>
  <c r="L40" i="33"/>
  <c r="K40" i="33"/>
  <c r="J40" i="33"/>
  <c r="L39" i="33"/>
  <c r="K39" i="33"/>
  <c r="J39" i="33"/>
  <c r="L36" i="33"/>
  <c r="K36" i="33"/>
  <c r="J36" i="33"/>
  <c r="L35" i="33"/>
  <c r="K35" i="33"/>
  <c r="J35" i="33"/>
  <c r="L34" i="33"/>
  <c r="K34" i="33"/>
  <c r="J34" i="33"/>
  <c r="L33" i="33"/>
  <c r="K33" i="33"/>
  <c r="J33" i="33"/>
  <c r="L25" i="33"/>
  <c r="K25" i="33"/>
  <c r="J25" i="33"/>
  <c r="L24" i="33"/>
  <c r="K24" i="33"/>
  <c r="J24" i="33"/>
  <c r="L23" i="33"/>
  <c r="K23" i="33"/>
  <c r="J23" i="33"/>
  <c r="L22" i="33"/>
  <c r="K22" i="33"/>
  <c r="J22" i="33"/>
  <c r="L21" i="33"/>
  <c r="K21" i="33"/>
  <c r="J21" i="33"/>
  <c r="L20" i="33"/>
  <c r="K20" i="33"/>
  <c r="J20" i="33"/>
  <c r="L19" i="33"/>
  <c r="K19" i="33"/>
  <c r="J19" i="33"/>
  <c r="L18" i="33"/>
  <c r="K18" i="33"/>
  <c r="J18" i="33"/>
  <c r="L17" i="33"/>
  <c r="K17" i="33"/>
  <c r="J17" i="33"/>
  <c r="L16" i="33"/>
  <c r="K16" i="33"/>
  <c r="J16" i="33"/>
  <c r="L10" i="33"/>
  <c r="K10" i="33"/>
  <c r="J10" i="33"/>
  <c r="L9" i="33"/>
  <c r="K9" i="33"/>
  <c r="J9" i="33"/>
  <c r="L8" i="33"/>
  <c r="K8" i="33"/>
  <c r="J8" i="33"/>
  <c r="L7" i="33"/>
  <c r="K7" i="33"/>
  <c r="J7" i="33"/>
  <c r="L6" i="33"/>
  <c r="K6" i="33"/>
  <c r="J6" i="33"/>
  <c r="L5" i="33"/>
  <c r="K5" i="33"/>
  <c r="J5" i="33"/>
  <c r="H112" i="33"/>
  <c r="H111" i="33"/>
  <c r="H110" i="33"/>
  <c r="H109" i="33"/>
  <c r="H108" i="33"/>
  <c r="H105" i="33"/>
  <c r="H104" i="33"/>
  <c r="H103" i="33"/>
  <c r="H102" i="33"/>
  <c r="H101" i="33"/>
  <c r="H100" i="33"/>
  <c r="H99" i="33"/>
  <c r="H96" i="33"/>
  <c r="H95" i="33"/>
  <c r="H94" i="33"/>
  <c r="H93" i="33"/>
  <c r="H92" i="33"/>
  <c r="H91" i="33"/>
  <c r="H87" i="33"/>
  <c r="H86" i="33"/>
  <c r="H85" i="33"/>
  <c r="H84" i="33"/>
  <c r="H83" i="33"/>
  <c r="H82" i="33"/>
  <c r="H81" i="33"/>
  <c r="H80" i="33"/>
  <c r="H75" i="33"/>
  <c r="H74" i="33"/>
  <c r="H73" i="33"/>
  <c r="H70" i="33"/>
  <c r="H69" i="33"/>
  <c r="H68" i="33"/>
  <c r="H65" i="33"/>
  <c r="H64" i="33"/>
  <c r="H63" i="33"/>
  <c r="H62" i="33"/>
  <c r="H61" i="33"/>
  <c r="H60" i="33"/>
  <c r="H59" i="33"/>
  <c r="H58" i="33"/>
  <c r="H57" i="33"/>
  <c r="H56" i="33"/>
  <c r="H55" i="33"/>
  <c r="H50" i="33"/>
  <c r="H49" i="33"/>
  <c r="H48" i="33"/>
  <c r="H47" i="33"/>
  <c r="H46" i="33"/>
  <c r="H45" i="33"/>
  <c r="H44" i="33"/>
  <c r="H43" i="33"/>
  <c r="H42" i="33"/>
  <c r="H41" i="33"/>
  <c r="H40" i="33"/>
  <c r="H39" i="33"/>
  <c r="H36" i="33"/>
  <c r="H35" i="33"/>
  <c r="H34" i="33"/>
  <c r="H33" i="33"/>
  <c r="H25" i="33"/>
  <c r="H24" i="33"/>
  <c r="H23" i="33"/>
  <c r="H22" i="33"/>
  <c r="H21" i="33"/>
  <c r="H20" i="33"/>
  <c r="H19" i="33"/>
  <c r="H18" i="33"/>
  <c r="H17" i="33"/>
  <c r="H16" i="33"/>
  <c r="H10" i="33"/>
  <c r="H9" i="33"/>
  <c r="H8" i="33"/>
  <c r="H7" i="33"/>
  <c r="H6" i="33"/>
  <c r="H5" i="33"/>
  <c r="G112" i="33"/>
  <c r="G111" i="33"/>
  <c r="G110" i="33"/>
  <c r="G109" i="33"/>
  <c r="G108" i="33"/>
  <c r="G105" i="33"/>
  <c r="G104" i="33"/>
  <c r="G103" i="33"/>
  <c r="G102" i="33"/>
  <c r="G101" i="33"/>
  <c r="G100" i="33"/>
  <c r="G99" i="33"/>
  <c r="G96" i="33"/>
  <c r="G95" i="33"/>
  <c r="G94" i="33"/>
  <c r="G93" i="33"/>
  <c r="G92" i="33"/>
  <c r="G91" i="33"/>
  <c r="G87" i="33"/>
  <c r="G86" i="33"/>
  <c r="G85" i="33"/>
  <c r="G84" i="33"/>
  <c r="G83" i="33"/>
  <c r="G82" i="33"/>
  <c r="G81" i="33"/>
  <c r="G80" i="33"/>
  <c r="G88" i="33" s="1"/>
  <c r="G75" i="33"/>
  <c r="G74" i="33"/>
  <c r="G73" i="33"/>
  <c r="G70" i="33"/>
  <c r="G69" i="33"/>
  <c r="G68" i="33"/>
  <c r="G65" i="33"/>
  <c r="G64" i="33"/>
  <c r="G63" i="33"/>
  <c r="G62" i="33"/>
  <c r="G61" i="33"/>
  <c r="G60" i="33"/>
  <c r="G59" i="33"/>
  <c r="G58" i="33"/>
  <c r="G57" i="33"/>
  <c r="G56" i="33"/>
  <c r="G55" i="33"/>
  <c r="G50" i="33"/>
  <c r="G49" i="33"/>
  <c r="G48" i="33"/>
  <c r="G47" i="33"/>
  <c r="G46" i="33"/>
  <c r="G45" i="33"/>
  <c r="G44" i="33"/>
  <c r="G43" i="33"/>
  <c r="G42" i="33"/>
  <c r="G41" i="33"/>
  <c r="G40" i="33"/>
  <c r="G39" i="33"/>
  <c r="G36" i="33"/>
  <c r="G35" i="33"/>
  <c r="G34" i="33"/>
  <c r="G33" i="33"/>
  <c r="G25" i="33"/>
  <c r="G24" i="33"/>
  <c r="G23" i="33"/>
  <c r="G22" i="33"/>
  <c r="G21" i="33"/>
  <c r="G20" i="33"/>
  <c r="G19" i="33"/>
  <c r="G18" i="33"/>
  <c r="G17" i="33"/>
  <c r="G16" i="33"/>
  <c r="G10" i="33"/>
  <c r="G9" i="33"/>
  <c r="G8" i="33"/>
  <c r="G7" i="33"/>
  <c r="G6" i="33"/>
  <c r="G5" i="33"/>
  <c r="G12" i="33" s="1"/>
  <c r="F109" i="33"/>
  <c r="F110" i="33"/>
  <c r="F111" i="33"/>
  <c r="F112" i="33"/>
  <c r="F108" i="33"/>
  <c r="F105" i="33"/>
  <c r="F104" i="33"/>
  <c r="F103" i="33"/>
  <c r="F102" i="33"/>
  <c r="F101" i="33"/>
  <c r="F100" i="33"/>
  <c r="F99" i="33"/>
  <c r="F92" i="33"/>
  <c r="F93" i="33"/>
  <c r="F94" i="33"/>
  <c r="F95" i="33"/>
  <c r="F96" i="33"/>
  <c r="F91" i="33"/>
  <c r="F81" i="33"/>
  <c r="F82" i="33"/>
  <c r="F83" i="33"/>
  <c r="F84" i="33"/>
  <c r="F85" i="33"/>
  <c r="F86" i="33"/>
  <c r="F87" i="33"/>
  <c r="F80" i="33"/>
  <c r="F75" i="33"/>
  <c r="F74" i="33"/>
  <c r="F73" i="33"/>
  <c r="F70" i="33"/>
  <c r="F69" i="33"/>
  <c r="F68" i="33"/>
  <c r="F56" i="33"/>
  <c r="F57" i="33"/>
  <c r="F58" i="33"/>
  <c r="F59" i="33"/>
  <c r="F60" i="33"/>
  <c r="F61" i="33"/>
  <c r="F62" i="33"/>
  <c r="F63" i="33"/>
  <c r="F64" i="33"/>
  <c r="F65" i="33"/>
  <c r="F55" i="33"/>
  <c r="F40" i="33"/>
  <c r="F41" i="33"/>
  <c r="F42" i="33"/>
  <c r="F43" i="33"/>
  <c r="F44" i="33"/>
  <c r="F45" i="33"/>
  <c r="F46" i="33"/>
  <c r="F47" i="33"/>
  <c r="F48" i="33"/>
  <c r="F49" i="33"/>
  <c r="F50" i="33"/>
  <c r="F39" i="33"/>
  <c r="F34" i="33"/>
  <c r="F35" i="33"/>
  <c r="F36" i="33"/>
  <c r="F33" i="33"/>
  <c r="F22" i="33"/>
  <c r="F23" i="33"/>
  <c r="F24" i="33"/>
  <c r="F25" i="33"/>
  <c r="F21" i="33"/>
  <c r="F20" i="33"/>
  <c r="F19" i="33"/>
  <c r="F18" i="33"/>
  <c r="F17" i="33"/>
  <c r="F16" i="33"/>
  <c r="F6" i="33"/>
  <c r="F7" i="33"/>
  <c r="F8" i="33"/>
  <c r="F9" i="33"/>
  <c r="F10" i="33"/>
  <c r="F5" i="33"/>
  <c r="T122" i="27"/>
  <c r="S122" i="27"/>
  <c r="R122" i="27"/>
  <c r="P122" i="27"/>
  <c r="O122" i="27"/>
  <c r="N122" i="27"/>
  <c r="L122" i="27"/>
  <c r="K122" i="27"/>
  <c r="J122" i="27"/>
  <c r="H122" i="27"/>
  <c r="T25" i="20"/>
  <c r="T24" i="20"/>
  <c r="T23" i="20"/>
  <c r="T22" i="20"/>
  <c r="T21" i="20"/>
  <c r="T20" i="20"/>
  <c r="T19" i="20"/>
  <c r="T18" i="20"/>
  <c r="T17" i="20"/>
  <c r="T16" i="20"/>
  <c r="T10" i="20"/>
  <c r="T9" i="20"/>
  <c r="T8" i="20"/>
  <c r="T7" i="20"/>
  <c r="T6" i="20"/>
  <c r="T5" i="20"/>
  <c r="S25" i="20"/>
  <c r="S24" i="20"/>
  <c r="S23" i="20"/>
  <c r="S22" i="20"/>
  <c r="S21" i="20"/>
  <c r="S20" i="20"/>
  <c r="S19" i="20"/>
  <c r="S18" i="20"/>
  <c r="S17" i="20"/>
  <c r="S16" i="20"/>
  <c r="S10" i="20"/>
  <c r="S9" i="20"/>
  <c r="S8" i="20"/>
  <c r="S7" i="20"/>
  <c r="S6" i="20"/>
  <c r="S12" i="20" s="1"/>
  <c r="S5" i="20"/>
  <c r="R25" i="20"/>
  <c r="R24" i="20"/>
  <c r="R23" i="20"/>
  <c r="R22" i="20"/>
  <c r="R21" i="20"/>
  <c r="R20" i="20"/>
  <c r="R19" i="20"/>
  <c r="R18" i="20"/>
  <c r="R17" i="20"/>
  <c r="R16" i="20"/>
  <c r="R10" i="20"/>
  <c r="R9" i="20"/>
  <c r="R8" i="20"/>
  <c r="R7" i="20"/>
  <c r="R6" i="20"/>
  <c r="R5" i="20"/>
  <c r="P25" i="20"/>
  <c r="P24" i="20"/>
  <c r="P23" i="20"/>
  <c r="P22" i="20"/>
  <c r="P21" i="20"/>
  <c r="P20" i="20"/>
  <c r="P19" i="20"/>
  <c r="P18" i="20"/>
  <c r="P17" i="20"/>
  <c r="P16" i="20"/>
  <c r="P10" i="20"/>
  <c r="P9" i="20"/>
  <c r="P8" i="20"/>
  <c r="P7" i="20"/>
  <c r="P6" i="20"/>
  <c r="P5" i="20"/>
  <c r="O25" i="20"/>
  <c r="O24" i="20"/>
  <c r="O23" i="20"/>
  <c r="O22" i="20"/>
  <c r="O21" i="20"/>
  <c r="O20" i="20"/>
  <c r="O19" i="20"/>
  <c r="O18" i="20"/>
  <c r="O17" i="20"/>
  <c r="O16" i="20"/>
  <c r="O10" i="20"/>
  <c r="O9" i="20"/>
  <c r="O8" i="20"/>
  <c r="O7" i="20"/>
  <c r="O6" i="20"/>
  <c r="O12" i="20" s="1"/>
  <c r="O5" i="20"/>
  <c r="N25" i="20"/>
  <c r="N24" i="20"/>
  <c r="N23" i="20"/>
  <c r="N22" i="20"/>
  <c r="N21" i="20"/>
  <c r="N20" i="20"/>
  <c r="N19" i="20"/>
  <c r="N18" i="20"/>
  <c r="N17" i="20"/>
  <c r="N16" i="20"/>
  <c r="N10" i="20"/>
  <c r="N9" i="20"/>
  <c r="N8" i="20"/>
  <c r="N7" i="20"/>
  <c r="N6" i="20"/>
  <c r="N5" i="20"/>
  <c r="L25" i="20"/>
  <c r="L24" i="20"/>
  <c r="L23" i="20"/>
  <c r="L22" i="20"/>
  <c r="L21" i="20"/>
  <c r="L20" i="20"/>
  <c r="L19" i="20"/>
  <c r="L18" i="20"/>
  <c r="L17" i="20"/>
  <c r="L16" i="20"/>
  <c r="L10" i="20"/>
  <c r="L9" i="20"/>
  <c r="L8" i="20"/>
  <c r="L7" i="20"/>
  <c r="L6" i="20"/>
  <c r="L5" i="20"/>
  <c r="K25" i="20"/>
  <c r="K24" i="20"/>
  <c r="K23" i="20"/>
  <c r="K22" i="20"/>
  <c r="K21" i="20"/>
  <c r="K20" i="20"/>
  <c r="K19" i="20"/>
  <c r="K18" i="20"/>
  <c r="K17" i="20"/>
  <c r="K16" i="20"/>
  <c r="K10" i="20"/>
  <c r="K9" i="20"/>
  <c r="K8" i="20"/>
  <c r="K7" i="20"/>
  <c r="K6" i="20"/>
  <c r="K5" i="20"/>
  <c r="J25" i="20"/>
  <c r="J24" i="20"/>
  <c r="J23" i="20"/>
  <c r="J22" i="20"/>
  <c r="J21" i="20"/>
  <c r="J20" i="20"/>
  <c r="J19" i="20"/>
  <c r="J18" i="20"/>
  <c r="J17" i="20"/>
  <c r="J16" i="20"/>
  <c r="J10" i="20"/>
  <c r="J9" i="20"/>
  <c r="J8" i="20"/>
  <c r="J7" i="20"/>
  <c r="J6" i="20"/>
  <c r="J5" i="20"/>
  <c r="H25" i="20"/>
  <c r="H24" i="20"/>
  <c r="H23" i="20"/>
  <c r="H22" i="20"/>
  <c r="H21" i="20"/>
  <c r="H20" i="20"/>
  <c r="H19" i="20"/>
  <c r="H18" i="20"/>
  <c r="H17" i="20"/>
  <c r="H16" i="20"/>
  <c r="H10" i="20"/>
  <c r="H9" i="20"/>
  <c r="H8" i="20"/>
  <c r="H7" i="20"/>
  <c r="H6" i="20"/>
  <c r="H12" i="20" s="1"/>
  <c r="H5" i="20"/>
  <c r="G25" i="20"/>
  <c r="G24" i="20"/>
  <c r="G23" i="20"/>
  <c r="G22" i="20"/>
  <c r="G21" i="20"/>
  <c r="G20" i="20"/>
  <c r="G19" i="20"/>
  <c r="G18" i="20"/>
  <c r="G17" i="20"/>
  <c r="G16" i="20"/>
  <c r="G10" i="20"/>
  <c r="G9" i="20"/>
  <c r="G8" i="20"/>
  <c r="G7" i="20"/>
  <c r="G6" i="20"/>
  <c r="G5" i="20"/>
  <c r="F23" i="20"/>
  <c r="F24" i="20"/>
  <c r="F25" i="20"/>
  <c r="F22" i="20"/>
  <c r="F21" i="20"/>
  <c r="F20" i="20"/>
  <c r="F19" i="20"/>
  <c r="F18" i="20"/>
  <c r="F17" i="20"/>
  <c r="F16" i="20"/>
  <c r="F6" i="20"/>
  <c r="F7" i="20"/>
  <c r="F8" i="20"/>
  <c r="F10" i="20"/>
  <c r="F5" i="20"/>
  <c r="T122" i="51"/>
  <c r="S122" i="51"/>
  <c r="R122" i="51"/>
  <c r="P122" i="51"/>
  <c r="O122" i="51"/>
  <c r="N122" i="51"/>
  <c r="L122" i="51"/>
  <c r="K122" i="51"/>
  <c r="J122" i="51"/>
  <c r="H122" i="51"/>
  <c r="G122" i="51"/>
  <c r="T71" i="33" l="1"/>
  <c r="T106" i="33"/>
  <c r="L97" i="33"/>
  <c r="P71" i="33"/>
  <c r="H71" i="33"/>
  <c r="R106" i="33"/>
  <c r="G106" i="33"/>
  <c r="H12" i="33"/>
  <c r="G37" i="33"/>
  <c r="G71" i="33"/>
  <c r="L106" i="33"/>
  <c r="G76" i="33"/>
  <c r="O26" i="33"/>
  <c r="O37" i="33"/>
  <c r="S97" i="33"/>
  <c r="J106" i="33"/>
  <c r="O51" i="33"/>
  <c r="J26" i="33"/>
  <c r="J37" i="33"/>
  <c r="J51" i="33"/>
  <c r="J66" i="33"/>
  <c r="P12" i="33"/>
  <c r="T97" i="33"/>
  <c r="P106" i="33"/>
  <c r="K71" i="33"/>
  <c r="N37" i="33"/>
  <c r="R88" i="33"/>
  <c r="L71" i="33"/>
  <c r="K12" i="33"/>
  <c r="K37" i="33"/>
  <c r="K51" i="33"/>
  <c r="K52" i="33" s="1"/>
  <c r="K66" i="33"/>
  <c r="N97" i="33"/>
  <c r="R76" i="33"/>
  <c r="N106" i="33"/>
  <c r="O106" i="33"/>
  <c r="K106" i="33"/>
  <c r="H106" i="33"/>
  <c r="O97" i="33"/>
  <c r="S12" i="33"/>
  <c r="T12" i="33"/>
  <c r="R97" i="33"/>
  <c r="L12" i="33"/>
  <c r="H26" i="33"/>
  <c r="H29" i="33" s="1"/>
  <c r="H30" i="33" s="1"/>
  <c r="P97" i="33"/>
  <c r="G66" i="33"/>
  <c r="T37" i="33"/>
  <c r="T51" i="33"/>
  <c r="T88" i="33"/>
  <c r="T26" i="33"/>
  <c r="T66" i="33"/>
  <c r="T76" i="33"/>
  <c r="S37" i="33"/>
  <c r="S26" i="33"/>
  <c r="S51" i="33"/>
  <c r="S88" i="33"/>
  <c r="S66" i="33"/>
  <c r="R37" i="33"/>
  <c r="R51" i="33"/>
  <c r="R66" i="33"/>
  <c r="R26" i="33"/>
  <c r="R71" i="33"/>
  <c r="R12" i="33"/>
  <c r="P26" i="33"/>
  <c r="P37" i="33"/>
  <c r="P51" i="33"/>
  <c r="P66" i="33"/>
  <c r="P88" i="33"/>
  <c r="P76" i="33"/>
  <c r="O66" i="33"/>
  <c r="O76" i="33"/>
  <c r="O12" i="33"/>
  <c r="O88" i="33"/>
  <c r="O71" i="33"/>
  <c r="N12" i="33"/>
  <c r="N51" i="33"/>
  <c r="N66" i="33"/>
  <c r="N88" i="33"/>
  <c r="N26" i="33"/>
  <c r="N76" i="33"/>
  <c r="N71" i="33"/>
  <c r="L51" i="33"/>
  <c r="L66" i="33"/>
  <c r="L26" i="33"/>
  <c r="L76" i="33"/>
  <c r="L37" i="33"/>
  <c r="L88" i="33"/>
  <c r="K88" i="33"/>
  <c r="K97" i="33"/>
  <c r="K26" i="33"/>
  <c r="K76" i="33"/>
  <c r="J88" i="33"/>
  <c r="J97" i="33"/>
  <c r="J76" i="33"/>
  <c r="J71" i="33"/>
  <c r="J12" i="33"/>
  <c r="J29" i="33" s="1"/>
  <c r="J30" i="33" s="1"/>
  <c r="H37" i="33"/>
  <c r="H51" i="33"/>
  <c r="H66" i="33"/>
  <c r="H76" i="33"/>
  <c r="H97" i="33"/>
  <c r="H88" i="33"/>
  <c r="G97" i="33"/>
  <c r="G51" i="33"/>
  <c r="G26" i="33"/>
  <c r="G29" i="33" s="1"/>
  <c r="G30" i="33" s="1"/>
  <c r="F66" i="33"/>
  <c r="U122" i="27"/>
  <c r="Q122" i="27"/>
  <c r="M122" i="27"/>
  <c r="K12" i="20"/>
  <c r="R12" i="20"/>
  <c r="T12" i="20"/>
  <c r="J12" i="20"/>
  <c r="P12" i="20"/>
  <c r="N12" i="20"/>
  <c r="L12" i="20"/>
  <c r="G12" i="20"/>
  <c r="J52" i="33" l="1"/>
  <c r="J77" i="33" s="1"/>
  <c r="J124" i="33" s="1"/>
  <c r="S52" i="33"/>
  <c r="S77" i="33" s="1"/>
  <c r="O29" i="33"/>
  <c r="O30" i="33" s="1"/>
  <c r="N29" i="33"/>
  <c r="N30" i="33" s="1"/>
  <c r="S29" i="33"/>
  <c r="S30" i="33" s="1"/>
  <c r="K29" i="33"/>
  <c r="K30" i="33" s="1"/>
  <c r="O52" i="33"/>
  <c r="O77" i="33" s="1"/>
  <c r="G52" i="33"/>
  <c r="G77" i="33" s="1"/>
  <c r="G120" i="33" s="1"/>
  <c r="N52" i="33"/>
  <c r="N77" i="33" s="1"/>
  <c r="L29" i="33"/>
  <c r="L30" i="33" s="1"/>
  <c r="H52" i="33"/>
  <c r="H77" i="33" s="1"/>
  <c r="H124" i="33" s="1"/>
  <c r="R52" i="33"/>
  <c r="R77" i="33" s="1"/>
  <c r="R124" i="33" s="1"/>
  <c r="L52" i="33"/>
  <c r="L77" i="33" s="1"/>
  <c r="L124" i="33" s="1"/>
  <c r="P29" i="33"/>
  <c r="P30" i="33" s="1"/>
  <c r="T29" i="33"/>
  <c r="T30" i="33" s="1"/>
  <c r="T52" i="33"/>
  <c r="T77" i="33" s="1"/>
  <c r="R29" i="33"/>
  <c r="R30" i="33" s="1"/>
  <c r="P52" i="33"/>
  <c r="P77" i="33" s="1"/>
  <c r="K77" i="33"/>
  <c r="U122" i="51"/>
  <c r="Q122" i="51"/>
  <c r="M122" i="51"/>
  <c r="R123" i="27" l="1"/>
  <c r="L123" i="27"/>
  <c r="J123" i="27"/>
  <c r="H123" i="27"/>
  <c r="S120" i="33"/>
  <c r="S124" i="33"/>
  <c r="H120" i="33"/>
  <c r="J120" i="33"/>
  <c r="R120" i="33"/>
  <c r="G124" i="33"/>
  <c r="L120" i="33"/>
  <c r="T124" i="33"/>
  <c r="T120" i="33"/>
  <c r="P120" i="33"/>
  <c r="P124" i="33"/>
  <c r="O120" i="33"/>
  <c r="O124" i="33"/>
  <c r="N120" i="33"/>
  <c r="N124" i="33"/>
  <c r="K124" i="33"/>
  <c r="K120" i="33"/>
  <c r="S12" i="39"/>
  <c r="S20" i="39" s="1"/>
  <c r="R12" i="39"/>
  <c r="R20" i="39" s="1"/>
  <c r="Q12" i="39"/>
  <c r="Q20" i="39" s="1"/>
  <c r="S11" i="39"/>
  <c r="S19" i="39" s="1"/>
  <c r="R11" i="39"/>
  <c r="R19" i="39" s="1"/>
  <c r="Q11" i="39"/>
  <c r="O12" i="39"/>
  <c r="O20" i="39" s="1"/>
  <c r="N12" i="39"/>
  <c r="N20" i="39" s="1"/>
  <c r="M12" i="39"/>
  <c r="O11" i="39"/>
  <c r="O19" i="39" s="1"/>
  <c r="N11" i="39"/>
  <c r="N19" i="39" s="1"/>
  <c r="M11" i="39"/>
  <c r="K12" i="39"/>
  <c r="K20" i="39" s="1"/>
  <c r="J12" i="39"/>
  <c r="J20" i="39" s="1"/>
  <c r="I12" i="39"/>
  <c r="L12" i="39" s="1"/>
  <c r="E16" i="56" s="1"/>
  <c r="K11" i="39"/>
  <c r="K19" i="39" s="1"/>
  <c r="J11" i="39"/>
  <c r="J19" i="39" s="1"/>
  <c r="I11" i="39"/>
  <c r="L11" i="39" s="1"/>
  <c r="E14" i="56" s="1"/>
  <c r="T18" i="3"/>
  <c r="S18" i="3"/>
  <c r="R18" i="3"/>
  <c r="P18" i="3"/>
  <c r="O18" i="3"/>
  <c r="N18" i="3"/>
  <c r="L18" i="3"/>
  <c r="K18" i="3"/>
  <c r="J18" i="3"/>
  <c r="H18" i="3"/>
  <c r="G18" i="3"/>
  <c r="F18" i="3"/>
  <c r="L30" i="20"/>
  <c r="T26" i="20"/>
  <c r="S26" i="20"/>
  <c r="R26" i="20"/>
  <c r="P26" i="20"/>
  <c r="P29" i="20" s="1"/>
  <c r="O26" i="20"/>
  <c r="N26" i="20"/>
  <c r="L26" i="20"/>
  <c r="K26" i="20"/>
  <c r="J26" i="20"/>
  <c r="H26" i="20"/>
  <c r="G26" i="20"/>
  <c r="G29" i="20" s="1"/>
  <c r="F26" i="20"/>
  <c r="U25" i="20"/>
  <c r="Q25" i="20"/>
  <c r="M25" i="20"/>
  <c r="I25" i="20"/>
  <c r="U24" i="20"/>
  <c r="Q24" i="20"/>
  <c r="M24" i="20"/>
  <c r="I24" i="20"/>
  <c r="U23" i="20"/>
  <c r="Q23" i="20"/>
  <c r="M23" i="20"/>
  <c r="I23" i="20"/>
  <c r="U22" i="20"/>
  <c r="Q22" i="20"/>
  <c r="M22" i="20"/>
  <c r="I22" i="20"/>
  <c r="U21" i="20"/>
  <c r="Q21" i="20"/>
  <c r="M21" i="20"/>
  <c r="I21" i="20"/>
  <c r="U20" i="20"/>
  <c r="Q20" i="20"/>
  <c r="M20" i="20"/>
  <c r="I20" i="20"/>
  <c r="U19" i="20"/>
  <c r="Q19" i="20"/>
  <c r="M19" i="20"/>
  <c r="I19" i="20"/>
  <c r="U18" i="20"/>
  <c r="Q18" i="20"/>
  <c r="M18" i="20"/>
  <c r="I18" i="20"/>
  <c r="U17" i="20"/>
  <c r="Q17" i="20"/>
  <c r="M17" i="20"/>
  <c r="I17" i="20"/>
  <c r="U16" i="20"/>
  <c r="Q16" i="20"/>
  <c r="M16" i="20"/>
  <c r="I16" i="20"/>
  <c r="S30" i="20"/>
  <c r="R30" i="20"/>
  <c r="O30" i="20"/>
  <c r="N30" i="20"/>
  <c r="K30" i="20"/>
  <c r="J30" i="20"/>
  <c r="H29" i="20"/>
  <c r="G30" i="20"/>
  <c r="F12" i="20"/>
  <c r="U10" i="20"/>
  <c r="Q10" i="20"/>
  <c r="M10" i="20"/>
  <c r="I10" i="20"/>
  <c r="U9" i="20"/>
  <c r="Q9" i="20"/>
  <c r="M9" i="20"/>
  <c r="I9" i="20"/>
  <c r="U8" i="20"/>
  <c r="Q8" i="20"/>
  <c r="M8" i="20"/>
  <c r="I8" i="20"/>
  <c r="U7" i="20"/>
  <c r="Q7" i="20"/>
  <c r="M7" i="20"/>
  <c r="I7" i="20"/>
  <c r="U6" i="20"/>
  <c r="Q6" i="20"/>
  <c r="M6" i="20"/>
  <c r="I6" i="20"/>
  <c r="U5" i="20"/>
  <c r="Q5" i="20"/>
  <c r="M5" i="20"/>
  <c r="I5" i="20"/>
  <c r="G30" i="30"/>
  <c r="T26" i="30"/>
  <c r="S26" i="30"/>
  <c r="R26" i="30"/>
  <c r="Q26" i="30"/>
  <c r="P26" i="30"/>
  <c r="O26" i="30"/>
  <c r="N26" i="30"/>
  <c r="L26" i="30"/>
  <c r="K26" i="30"/>
  <c r="J26" i="30"/>
  <c r="H26" i="30"/>
  <c r="G26" i="30"/>
  <c r="F26" i="30"/>
  <c r="U25" i="30"/>
  <c r="Q25" i="30"/>
  <c r="M25" i="30"/>
  <c r="V25" i="30" s="1"/>
  <c r="I25" i="30"/>
  <c r="U24" i="30"/>
  <c r="Q24" i="30"/>
  <c r="M24" i="30"/>
  <c r="I24" i="30"/>
  <c r="U23" i="30"/>
  <c r="Q23" i="30"/>
  <c r="M23" i="30"/>
  <c r="I23" i="30"/>
  <c r="U22" i="30"/>
  <c r="Q22" i="30"/>
  <c r="M22" i="30"/>
  <c r="I22" i="30"/>
  <c r="U21" i="30"/>
  <c r="Q21" i="30"/>
  <c r="V21" i="30" s="1"/>
  <c r="M21" i="30"/>
  <c r="I21" i="30"/>
  <c r="U20" i="30"/>
  <c r="V20" i="30" s="1"/>
  <c r="Q20" i="30"/>
  <c r="M20" i="30"/>
  <c r="I20" i="30"/>
  <c r="U19" i="30"/>
  <c r="Q19" i="30"/>
  <c r="M19" i="30"/>
  <c r="I19" i="30"/>
  <c r="U18" i="30"/>
  <c r="Q18" i="30"/>
  <c r="M18" i="30"/>
  <c r="I18" i="30"/>
  <c r="U17" i="30"/>
  <c r="Q17" i="30"/>
  <c r="M17" i="30"/>
  <c r="I17" i="30"/>
  <c r="I26" i="30" s="1"/>
  <c r="U16" i="30"/>
  <c r="Q16" i="30"/>
  <c r="M16" i="30"/>
  <c r="I16" i="30"/>
  <c r="T12" i="30"/>
  <c r="T30" i="30" s="1"/>
  <c r="S12" i="30"/>
  <c r="S30" i="30" s="1"/>
  <c r="R12" i="30"/>
  <c r="R30" i="30" s="1"/>
  <c r="P12" i="30"/>
  <c r="P29" i="30" s="1"/>
  <c r="O12" i="30"/>
  <c r="O29" i="30" s="1"/>
  <c r="N12" i="30"/>
  <c r="N29" i="30" s="1"/>
  <c r="L12" i="30"/>
  <c r="L30" i="30" s="1"/>
  <c r="K12" i="30"/>
  <c r="K30" i="30" s="1"/>
  <c r="J12" i="30"/>
  <c r="J30" i="30" s="1"/>
  <c r="H12" i="30"/>
  <c r="H29" i="30" s="1"/>
  <c r="G12" i="30"/>
  <c r="G29" i="30" s="1"/>
  <c r="F12" i="30"/>
  <c r="F29" i="30" s="1"/>
  <c r="U10" i="30"/>
  <c r="Q10" i="30"/>
  <c r="M10" i="30"/>
  <c r="I10" i="30"/>
  <c r="U9" i="30"/>
  <c r="Q9" i="30"/>
  <c r="M9" i="30"/>
  <c r="I9" i="30"/>
  <c r="U8" i="30"/>
  <c r="Q8" i="30"/>
  <c r="M8" i="30"/>
  <c r="I8" i="30"/>
  <c r="U7" i="30"/>
  <c r="Q7" i="30"/>
  <c r="M7" i="30"/>
  <c r="I7" i="30"/>
  <c r="U6" i="30"/>
  <c r="V6" i="30" s="1"/>
  <c r="Q6" i="30"/>
  <c r="M6" i="30"/>
  <c r="I6" i="30"/>
  <c r="U5" i="30"/>
  <c r="V5" i="30" s="1"/>
  <c r="Q5" i="30"/>
  <c r="M5" i="30"/>
  <c r="I5" i="30"/>
  <c r="I124" i="20"/>
  <c r="M124" i="20"/>
  <c r="Q124" i="20"/>
  <c r="U124" i="20"/>
  <c r="T113" i="26"/>
  <c r="S113" i="26"/>
  <c r="R113" i="26"/>
  <c r="P113" i="26"/>
  <c r="O113" i="26"/>
  <c r="N113" i="26"/>
  <c r="L113" i="26"/>
  <c r="K113" i="26"/>
  <c r="J113" i="26"/>
  <c r="G113" i="26"/>
  <c r="H113" i="26"/>
  <c r="F113" i="26"/>
  <c r="F113" i="25"/>
  <c r="F113" i="4"/>
  <c r="T113" i="28"/>
  <c r="S113" i="28"/>
  <c r="R113" i="28"/>
  <c r="P113" i="28"/>
  <c r="O113" i="28"/>
  <c r="N113" i="28"/>
  <c r="L113" i="28"/>
  <c r="K113" i="28"/>
  <c r="J113" i="28"/>
  <c r="G113" i="28"/>
  <c r="H113" i="28"/>
  <c r="F113" i="28"/>
  <c r="T113" i="50"/>
  <c r="S113" i="50"/>
  <c r="R113" i="50"/>
  <c r="P113" i="50"/>
  <c r="O113" i="50"/>
  <c r="N113" i="50"/>
  <c r="L113" i="50"/>
  <c r="K113" i="50"/>
  <c r="J113" i="50"/>
  <c r="G113" i="50"/>
  <c r="H113" i="50"/>
  <c r="F113" i="50"/>
  <c r="T113" i="49"/>
  <c r="S113" i="49"/>
  <c r="R113" i="49"/>
  <c r="P113" i="49"/>
  <c r="O113" i="49"/>
  <c r="N113" i="49"/>
  <c r="L113" i="49"/>
  <c r="K113" i="49"/>
  <c r="J113" i="49"/>
  <c r="G113" i="49"/>
  <c r="H113" i="49"/>
  <c r="F113" i="49"/>
  <c r="T113" i="31"/>
  <c r="S113" i="31"/>
  <c r="R113" i="31"/>
  <c r="P113" i="31"/>
  <c r="O113" i="31"/>
  <c r="N113" i="31"/>
  <c r="L113" i="31"/>
  <c r="K113" i="31"/>
  <c r="J113" i="31"/>
  <c r="G113" i="31"/>
  <c r="H113" i="31"/>
  <c r="F113" i="31"/>
  <c r="T113" i="51"/>
  <c r="S113" i="51"/>
  <c r="R113" i="51"/>
  <c r="P113" i="51"/>
  <c r="O113" i="51"/>
  <c r="N113" i="51"/>
  <c r="L113" i="51"/>
  <c r="K113" i="51"/>
  <c r="J113" i="51"/>
  <c r="G113" i="51"/>
  <c r="H113" i="51"/>
  <c r="T113" i="41"/>
  <c r="S113" i="41"/>
  <c r="R113" i="41"/>
  <c r="P113" i="41"/>
  <c r="O113" i="41"/>
  <c r="N113" i="41"/>
  <c r="L113" i="41"/>
  <c r="K113" i="41"/>
  <c r="J113" i="41"/>
  <c r="G113" i="41"/>
  <c r="H113" i="41"/>
  <c r="F113" i="41"/>
  <c r="T112" i="20"/>
  <c r="T111" i="20"/>
  <c r="T110" i="20"/>
  <c r="T109" i="20"/>
  <c r="T108" i="20"/>
  <c r="T105" i="20"/>
  <c r="T104" i="20"/>
  <c r="T103" i="20"/>
  <c r="T102" i="20"/>
  <c r="T101" i="20"/>
  <c r="T100" i="20"/>
  <c r="T99" i="20"/>
  <c r="T96" i="20"/>
  <c r="T95" i="20"/>
  <c r="T94" i="20"/>
  <c r="T93" i="20"/>
  <c r="T92" i="20"/>
  <c r="T91" i="20"/>
  <c r="T87" i="20"/>
  <c r="T86" i="20"/>
  <c r="T85" i="20"/>
  <c r="T84" i="20"/>
  <c r="T83" i="20"/>
  <c r="T82" i="20"/>
  <c r="T81" i="20"/>
  <c r="T80" i="20"/>
  <c r="T75" i="20"/>
  <c r="T74" i="20"/>
  <c r="T73" i="20"/>
  <c r="T70" i="20"/>
  <c r="T69" i="20"/>
  <c r="T68" i="20"/>
  <c r="T65" i="20"/>
  <c r="T64" i="20"/>
  <c r="T63" i="20"/>
  <c r="T62" i="20"/>
  <c r="T61" i="20"/>
  <c r="T60" i="20"/>
  <c r="T59" i="20"/>
  <c r="T58" i="20"/>
  <c r="T57" i="20"/>
  <c r="T56" i="20"/>
  <c r="T55" i="20"/>
  <c r="T50" i="20"/>
  <c r="T49" i="20"/>
  <c r="T48" i="20"/>
  <c r="T47" i="20"/>
  <c r="T46" i="20"/>
  <c r="T45" i="20"/>
  <c r="T44" i="20"/>
  <c r="T43" i="20"/>
  <c r="T42" i="20"/>
  <c r="T41" i="20"/>
  <c r="T40" i="20"/>
  <c r="T39" i="20"/>
  <c r="T36" i="20"/>
  <c r="T35" i="20"/>
  <c r="T34" i="20"/>
  <c r="T33" i="20"/>
  <c r="S112" i="20"/>
  <c r="S111" i="20"/>
  <c r="S110" i="20"/>
  <c r="S109" i="20"/>
  <c r="S108" i="20"/>
  <c r="S105" i="20"/>
  <c r="S104" i="20"/>
  <c r="S103" i="20"/>
  <c r="S102" i="20"/>
  <c r="S101" i="20"/>
  <c r="S100" i="20"/>
  <c r="S99" i="20"/>
  <c r="S96" i="20"/>
  <c r="S95" i="20"/>
  <c r="S94" i="20"/>
  <c r="S93" i="20"/>
  <c r="S92" i="20"/>
  <c r="S91" i="20"/>
  <c r="S87" i="20"/>
  <c r="S86" i="20"/>
  <c r="S85" i="20"/>
  <c r="S84" i="20"/>
  <c r="S83" i="20"/>
  <c r="S82" i="20"/>
  <c r="S81" i="20"/>
  <c r="S80" i="20"/>
  <c r="S75" i="20"/>
  <c r="S74" i="20"/>
  <c r="S73" i="20"/>
  <c r="S70" i="20"/>
  <c r="S69" i="20"/>
  <c r="S68" i="20"/>
  <c r="S65" i="20"/>
  <c r="S64" i="20"/>
  <c r="S63" i="20"/>
  <c r="S62" i="20"/>
  <c r="S61" i="20"/>
  <c r="S60" i="20"/>
  <c r="S59" i="20"/>
  <c r="S58" i="20"/>
  <c r="S57" i="20"/>
  <c r="S56" i="20"/>
  <c r="S55" i="20"/>
  <c r="S50" i="20"/>
  <c r="S49" i="20"/>
  <c r="S48" i="20"/>
  <c r="S47" i="20"/>
  <c r="S46" i="20"/>
  <c r="S45" i="20"/>
  <c r="S44" i="20"/>
  <c r="S43" i="20"/>
  <c r="S42" i="20"/>
  <c r="S41" i="20"/>
  <c r="S40" i="20"/>
  <c r="S39" i="20"/>
  <c r="S36" i="20"/>
  <c r="S35" i="20"/>
  <c r="S34" i="20"/>
  <c r="S33" i="20"/>
  <c r="R112" i="20"/>
  <c r="R111" i="20"/>
  <c r="R110" i="20"/>
  <c r="R109" i="20"/>
  <c r="R108" i="20"/>
  <c r="R105" i="20"/>
  <c r="R104" i="20"/>
  <c r="R103" i="20"/>
  <c r="R102" i="20"/>
  <c r="R101" i="20"/>
  <c r="R100" i="20"/>
  <c r="R99" i="20"/>
  <c r="R96" i="20"/>
  <c r="R95" i="20"/>
  <c r="R94" i="20"/>
  <c r="R93" i="20"/>
  <c r="R92" i="20"/>
  <c r="R91" i="20"/>
  <c r="R87" i="20"/>
  <c r="R86" i="20"/>
  <c r="R85" i="20"/>
  <c r="R84" i="20"/>
  <c r="R83" i="20"/>
  <c r="R82" i="20"/>
  <c r="R81" i="20"/>
  <c r="R80" i="20"/>
  <c r="R75" i="20"/>
  <c r="R74" i="20"/>
  <c r="R73" i="20"/>
  <c r="R70" i="20"/>
  <c r="R69" i="20"/>
  <c r="R68" i="20"/>
  <c r="R65" i="20"/>
  <c r="R64" i="20"/>
  <c r="R63" i="20"/>
  <c r="R62" i="20"/>
  <c r="R61" i="20"/>
  <c r="R60" i="20"/>
  <c r="R59" i="20"/>
  <c r="R58" i="20"/>
  <c r="R57" i="20"/>
  <c r="R56" i="20"/>
  <c r="R55" i="20"/>
  <c r="R50" i="20"/>
  <c r="R49" i="20"/>
  <c r="R48" i="20"/>
  <c r="R47" i="20"/>
  <c r="R46" i="20"/>
  <c r="R45" i="20"/>
  <c r="R44" i="20"/>
  <c r="R43" i="20"/>
  <c r="R42" i="20"/>
  <c r="R41" i="20"/>
  <c r="R40" i="20"/>
  <c r="R39" i="20"/>
  <c r="R36" i="20"/>
  <c r="R35" i="20"/>
  <c r="R34" i="20"/>
  <c r="R33" i="20"/>
  <c r="P112" i="20"/>
  <c r="P111" i="20"/>
  <c r="P110" i="20"/>
  <c r="P109" i="20"/>
  <c r="P108" i="20"/>
  <c r="P105" i="20"/>
  <c r="P104" i="20"/>
  <c r="P103" i="20"/>
  <c r="P102" i="20"/>
  <c r="P101" i="20"/>
  <c r="P100" i="20"/>
  <c r="P99" i="20"/>
  <c r="P96" i="20"/>
  <c r="P95" i="20"/>
  <c r="P94" i="20"/>
  <c r="P93" i="20"/>
  <c r="P92" i="20"/>
  <c r="P91" i="20"/>
  <c r="P87" i="20"/>
  <c r="P86" i="20"/>
  <c r="P85" i="20"/>
  <c r="P84" i="20"/>
  <c r="P83" i="20"/>
  <c r="P82" i="20"/>
  <c r="P81" i="20"/>
  <c r="P80" i="20"/>
  <c r="P75" i="20"/>
  <c r="P74" i="20"/>
  <c r="P73" i="20"/>
  <c r="P70" i="20"/>
  <c r="P69" i="20"/>
  <c r="P68" i="20"/>
  <c r="P65" i="20"/>
  <c r="P64" i="20"/>
  <c r="P63" i="20"/>
  <c r="P62" i="20"/>
  <c r="P61" i="20"/>
  <c r="P60" i="20"/>
  <c r="P59" i="20"/>
  <c r="P58" i="20"/>
  <c r="P57" i="20"/>
  <c r="P56" i="20"/>
  <c r="P55" i="20"/>
  <c r="P50" i="20"/>
  <c r="P49" i="20"/>
  <c r="P48" i="20"/>
  <c r="P47" i="20"/>
  <c r="P46" i="20"/>
  <c r="P45" i="20"/>
  <c r="P44" i="20"/>
  <c r="P43" i="20"/>
  <c r="P42" i="20"/>
  <c r="P41" i="20"/>
  <c r="P40" i="20"/>
  <c r="P39" i="20"/>
  <c r="P36" i="20"/>
  <c r="P35" i="20"/>
  <c r="P34" i="20"/>
  <c r="P33" i="20"/>
  <c r="O112" i="20"/>
  <c r="O111" i="20"/>
  <c r="O110" i="20"/>
  <c r="O109" i="20"/>
  <c r="O108" i="20"/>
  <c r="O105" i="20"/>
  <c r="O104" i="20"/>
  <c r="O103" i="20"/>
  <c r="O102" i="20"/>
  <c r="O101" i="20"/>
  <c r="O100" i="20"/>
  <c r="O99" i="20"/>
  <c r="O96" i="20"/>
  <c r="O95" i="20"/>
  <c r="O94" i="20"/>
  <c r="O93" i="20"/>
  <c r="O92" i="20"/>
  <c r="O91" i="20"/>
  <c r="O87" i="20"/>
  <c r="O86" i="20"/>
  <c r="O85" i="20"/>
  <c r="O84" i="20"/>
  <c r="O83" i="20"/>
  <c r="O82" i="20"/>
  <c r="O81" i="20"/>
  <c r="O80" i="20"/>
  <c r="O75" i="20"/>
  <c r="O74" i="20"/>
  <c r="O73" i="20"/>
  <c r="O70" i="20"/>
  <c r="O69" i="20"/>
  <c r="O68" i="20"/>
  <c r="O65" i="20"/>
  <c r="O64" i="20"/>
  <c r="O63" i="20"/>
  <c r="O62" i="20"/>
  <c r="O61" i="20"/>
  <c r="O60" i="20"/>
  <c r="O59" i="20"/>
  <c r="O58" i="20"/>
  <c r="O57" i="20"/>
  <c r="O56" i="20"/>
  <c r="O55" i="20"/>
  <c r="O50" i="20"/>
  <c r="O49" i="20"/>
  <c r="O48" i="20"/>
  <c r="O47" i="20"/>
  <c r="O46" i="20"/>
  <c r="O45" i="20"/>
  <c r="O44" i="20"/>
  <c r="O43" i="20"/>
  <c r="O42" i="20"/>
  <c r="O41" i="20"/>
  <c r="O40" i="20"/>
  <c r="O39" i="20"/>
  <c r="O36" i="20"/>
  <c r="O35" i="20"/>
  <c r="O34" i="20"/>
  <c r="O33" i="20"/>
  <c r="N112" i="20"/>
  <c r="N111" i="20"/>
  <c r="N110" i="20"/>
  <c r="N109" i="20"/>
  <c r="N108" i="20"/>
  <c r="N105" i="20"/>
  <c r="N104" i="20"/>
  <c r="N103" i="20"/>
  <c r="N102" i="20"/>
  <c r="N101" i="20"/>
  <c r="N100" i="20"/>
  <c r="N99" i="20"/>
  <c r="N96" i="20"/>
  <c r="N95" i="20"/>
  <c r="N94" i="20"/>
  <c r="N93" i="20"/>
  <c r="N92" i="20"/>
  <c r="N91" i="20"/>
  <c r="N87" i="20"/>
  <c r="N86" i="20"/>
  <c r="N85" i="20"/>
  <c r="N84" i="20"/>
  <c r="N83" i="20"/>
  <c r="N82" i="20"/>
  <c r="N81" i="20"/>
  <c r="N80" i="20"/>
  <c r="N75" i="20"/>
  <c r="N74" i="20"/>
  <c r="N73" i="20"/>
  <c r="N70" i="20"/>
  <c r="N69" i="20"/>
  <c r="N68" i="20"/>
  <c r="N65" i="20"/>
  <c r="N64" i="20"/>
  <c r="N63" i="20"/>
  <c r="N62" i="20"/>
  <c r="N61" i="20"/>
  <c r="N60" i="20"/>
  <c r="N59" i="20"/>
  <c r="N58" i="20"/>
  <c r="N57" i="20"/>
  <c r="N56" i="20"/>
  <c r="N55" i="20"/>
  <c r="N50" i="20"/>
  <c r="N49" i="20"/>
  <c r="N48" i="20"/>
  <c r="N47" i="20"/>
  <c r="N46" i="20"/>
  <c r="N45" i="20"/>
  <c r="N44" i="20"/>
  <c r="N43" i="20"/>
  <c r="N42" i="20"/>
  <c r="N41" i="20"/>
  <c r="N40" i="20"/>
  <c r="N39" i="20"/>
  <c r="N36" i="20"/>
  <c r="N35" i="20"/>
  <c r="N34" i="20"/>
  <c r="N33" i="20"/>
  <c r="L112" i="20"/>
  <c r="L111" i="20"/>
  <c r="L110" i="20"/>
  <c r="L109" i="20"/>
  <c r="L108" i="20"/>
  <c r="L105" i="20"/>
  <c r="L104" i="20"/>
  <c r="L103" i="20"/>
  <c r="L102" i="20"/>
  <c r="L101" i="20"/>
  <c r="L100" i="20"/>
  <c r="L99" i="20"/>
  <c r="L96" i="20"/>
  <c r="L95" i="20"/>
  <c r="L94" i="20"/>
  <c r="L93" i="20"/>
  <c r="L92" i="20"/>
  <c r="L91" i="20"/>
  <c r="L87" i="20"/>
  <c r="L86" i="20"/>
  <c r="L85" i="20"/>
  <c r="L84" i="20"/>
  <c r="L83" i="20"/>
  <c r="L82" i="20"/>
  <c r="L81" i="20"/>
  <c r="L80" i="20"/>
  <c r="L75" i="20"/>
  <c r="L74" i="20"/>
  <c r="L73" i="20"/>
  <c r="L70" i="20"/>
  <c r="L69" i="20"/>
  <c r="L68" i="20"/>
  <c r="L65" i="20"/>
  <c r="L64" i="20"/>
  <c r="L63" i="20"/>
  <c r="L62" i="20"/>
  <c r="L61" i="20"/>
  <c r="L60" i="20"/>
  <c r="L59" i="20"/>
  <c r="L58" i="20"/>
  <c r="L57" i="20"/>
  <c r="L56" i="20"/>
  <c r="L55" i="20"/>
  <c r="L50" i="20"/>
  <c r="L49" i="20"/>
  <c r="L48" i="20"/>
  <c r="L47" i="20"/>
  <c r="L46" i="20"/>
  <c r="L45" i="20"/>
  <c r="L44" i="20"/>
  <c r="L43" i="20"/>
  <c r="L42" i="20"/>
  <c r="L41" i="20"/>
  <c r="L40" i="20"/>
  <c r="L39" i="20"/>
  <c r="L36" i="20"/>
  <c r="L35" i="20"/>
  <c r="L34" i="20"/>
  <c r="L33" i="20"/>
  <c r="K112" i="20"/>
  <c r="K111" i="20"/>
  <c r="K110" i="20"/>
  <c r="K109" i="20"/>
  <c r="K108" i="20"/>
  <c r="K105" i="20"/>
  <c r="K104" i="20"/>
  <c r="K103" i="20"/>
  <c r="K102" i="20"/>
  <c r="K101" i="20"/>
  <c r="K100" i="20"/>
  <c r="K99" i="20"/>
  <c r="K96" i="20"/>
  <c r="K95" i="20"/>
  <c r="K94" i="20"/>
  <c r="K93" i="20"/>
  <c r="K92" i="20"/>
  <c r="K91" i="20"/>
  <c r="K87" i="20"/>
  <c r="K86" i="20"/>
  <c r="K85" i="20"/>
  <c r="K84" i="20"/>
  <c r="K83" i="20"/>
  <c r="K82" i="20"/>
  <c r="K81" i="20"/>
  <c r="K80" i="20"/>
  <c r="K75" i="20"/>
  <c r="K74" i="20"/>
  <c r="K73" i="20"/>
  <c r="K70" i="20"/>
  <c r="K69" i="20"/>
  <c r="K68" i="20"/>
  <c r="K65" i="20"/>
  <c r="K64" i="20"/>
  <c r="K63" i="20"/>
  <c r="K62" i="20"/>
  <c r="K61" i="20"/>
  <c r="K60" i="20"/>
  <c r="K59" i="20"/>
  <c r="K58" i="20"/>
  <c r="K57" i="20"/>
  <c r="K56" i="20"/>
  <c r="K55" i="20"/>
  <c r="K50" i="20"/>
  <c r="K49" i="20"/>
  <c r="K48" i="20"/>
  <c r="K47" i="20"/>
  <c r="K46" i="20"/>
  <c r="K45" i="20"/>
  <c r="K44" i="20"/>
  <c r="K43" i="20"/>
  <c r="K42" i="20"/>
  <c r="K41" i="20"/>
  <c r="K40" i="20"/>
  <c r="K39" i="20"/>
  <c r="K36" i="20"/>
  <c r="K35" i="20"/>
  <c r="K34" i="20"/>
  <c r="K33" i="20"/>
  <c r="J112" i="20"/>
  <c r="J111" i="20"/>
  <c r="J110" i="20"/>
  <c r="J109" i="20"/>
  <c r="J108" i="20"/>
  <c r="J105" i="20"/>
  <c r="J104" i="20"/>
  <c r="J103" i="20"/>
  <c r="J102" i="20"/>
  <c r="J101" i="20"/>
  <c r="J100" i="20"/>
  <c r="J99" i="20"/>
  <c r="J96" i="20"/>
  <c r="J95" i="20"/>
  <c r="J94" i="20"/>
  <c r="J93" i="20"/>
  <c r="J92" i="20"/>
  <c r="J91" i="20"/>
  <c r="J87" i="20"/>
  <c r="J86" i="20"/>
  <c r="J85" i="20"/>
  <c r="J84" i="20"/>
  <c r="J83" i="20"/>
  <c r="J82" i="20"/>
  <c r="J81" i="20"/>
  <c r="J80" i="20"/>
  <c r="J75" i="20"/>
  <c r="J74" i="20"/>
  <c r="J73" i="20"/>
  <c r="J70" i="20"/>
  <c r="J69" i="20"/>
  <c r="J68" i="20"/>
  <c r="J65" i="20"/>
  <c r="J64" i="20"/>
  <c r="J63" i="20"/>
  <c r="J62" i="20"/>
  <c r="J61" i="20"/>
  <c r="J60" i="20"/>
  <c r="J59" i="20"/>
  <c r="J58" i="20"/>
  <c r="J57" i="20"/>
  <c r="J56" i="20"/>
  <c r="J55" i="20"/>
  <c r="J50" i="20"/>
  <c r="J49" i="20"/>
  <c r="J48" i="20"/>
  <c r="J47" i="20"/>
  <c r="J46" i="20"/>
  <c r="J45" i="20"/>
  <c r="J44" i="20"/>
  <c r="J43" i="20"/>
  <c r="J42" i="20"/>
  <c r="J41" i="20"/>
  <c r="J40" i="20"/>
  <c r="J39" i="20"/>
  <c r="J36" i="20"/>
  <c r="J35" i="20"/>
  <c r="J34" i="20"/>
  <c r="J33" i="20"/>
  <c r="H112" i="20"/>
  <c r="H111" i="20"/>
  <c r="H110" i="20"/>
  <c r="H109" i="20"/>
  <c r="H108" i="20"/>
  <c r="H105" i="20"/>
  <c r="H104" i="20"/>
  <c r="H103" i="20"/>
  <c r="H102" i="20"/>
  <c r="H101" i="20"/>
  <c r="H100" i="20"/>
  <c r="H99" i="20"/>
  <c r="H96" i="20"/>
  <c r="H95" i="20"/>
  <c r="H94" i="20"/>
  <c r="H93" i="20"/>
  <c r="H92" i="20"/>
  <c r="H91" i="20"/>
  <c r="H87" i="20"/>
  <c r="H86" i="20"/>
  <c r="H85" i="20"/>
  <c r="H84" i="20"/>
  <c r="H83" i="20"/>
  <c r="H82" i="20"/>
  <c r="H81" i="20"/>
  <c r="H80" i="20"/>
  <c r="H75" i="20"/>
  <c r="H74" i="20"/>
  <c r="H73" i="20"/>
  <c r="H70" i="20"/>
  <c r="H69" i="20"/>
  <c r="H68" i="20"/>
  <c r="H65" i="20"/>
  <c r="H64" i="20"/>
  <c r="H63" i="20"/>
  <c r="H62" i="20"/>
  <c r="H61" i="20"/>
  <c r="H60" i="20"/>
  <c r="H59" i="20"/>
  <c r="H58" i="20"/>
  <c r="H57" i="20"/>
  <c r="H56" i="20"/>
  <c r="H55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6" i="20"/>
  <c r="H35" i="20"/>
  <c r="H34" i="20"/>
  <c r="H33" i="20"/>
  <c r="G112" i="20"/>
  <c r="G111" i="20"/>
  <c r="G110" i="20"/>
  <c r="G109" i="20"/>
  <c r="G108" i="20"/>
  <c r="G105" i="20"/>
  <c r="G104" i="20"/>
  <c r="G103" i="20"/>
  <c r="G102" i="20"/>
  <c r="G101" i="20"/>
  <c r="G100" i="20"/>
  <c r="G99" i="20"/>
  <c r="G96" i="20"/>
  <c r="G95" i="20"/>
  <c r="G94" i="20"/>
  <c r="G93" i="20"/>
  <c r="G92" i="20"/>
  <c r="G91" i="20"/>
  <c r="G87" i="20"/>
  <c r="G86" i="20"/>
  <c r="G85" i="20"/>
  <c r="G84" i="20"/>
  <c r="G83" i="20"/>
  <c r="G82" i="20"/>
  <c r="G81" i="20"/>
  <c r="G80" i="20"/>
  <c r="G75" i="20"/>
  <c r="G74" i="20"/>
  <c r="G73" i="20"/>
  <c r="G70" i="20"/>
  <c r="G69" i="20"/>
  <c r="G68" i="20"/>
  <c r="G65" i="20"/>
  <c r="G64" i="20"/>
  <c r="G63" i="20"/>
  <c r="G62" i="20"/>
  <c r="G61" i="20"/>
  <c r="G60" i="20"/>
  <c r="G59" i="20"/>
  <c r="G58" i="20"/>
  <c r="G57" i="20"/>
  <c r="G56" i="20"/>
  <c r="G55" i="20"/>
  <c r="G50" i="20"/>
  <c r="G49" i="20"/>
  <c r="G48" i="20"/>
  <c r="G47" i="20"/>
  <c r="G46" i="20"/>
  <c r="G45" i="20"/>
  <c r="G44" i="20"/>
  <c r="G43" i="20"/>
  <c r="G42" i="20"/>
  <c r="G41" i="20"/>
  <c r="G40" i="20"/>
  <c r="G39" i="20"/>
  <c r="G36" i="20"/>
  <c r="G35" i="20"/>
  <c r="G34" i="20"/>
  <c r="G33" i="20"/>
  <c r="F109" i="20"/>
  <c r="F110" i="20"/>
  <c r="F111" i="20"/>
  <c r="F112" i="20"/>
  <c r="F108" i="20"/>
  <c r="F100" i="20"/>
  <c r="F101" i="20"/>
  <c r="F102" i="20"/>
  <c r="F103" i="20"/>
  <c r="F104" i="20"/>
  <c r="F105" i="20"/>
  <c r="F99" i="20"/>
  <c r="F92" i="20"/>
  <c r="F93" i="20"/>
  <c r="F94" i="20"/>
  <c r="F95" i="20"/>
  <c r="F96" i="20"/>
  <c r="F91" i="20"/>
  <c r="F83" i="20"/>
  <c r="F84" i="20"/>
  <c r="F85" i="20"/>
  <c r="F86" i="20"/>
  <c r="F87" i="20"/>
  <c r="F82" i="20"/>
  <c r="F81" i="20"/>
  <c r="F80" i="20"/>
  <c r="F75" i="20"/>
  <c r="F74" i="20"/>
  <c r="F73" i="20"/>
  <c r="F69" i="20"/>
  <c r="F70" i="20"/>
  <c r="F68" i="20"/>
  <c r="F56" i="20"/>
  <c r="F57" i="20"/>
  <c r="F58" i="20"/>
  <c r="F59" i="20"/>
  <c r="F60" i="20"/>
  <c r="F61" i="20"/>
  <c r="F62" i="20"/>
  <c r="F63" i="20"/>
  <c r="F64" i="20"/>
  <c r="F65" i="20"/>
  <c r="F55" i="20"/>
  <c r="F43" i="20"/>
  <c r="F44" i="20"/>
  <c r="F45" i="20"/>
  <c r="F46" i="20"/>
  <c r="F47" i="20"/>
  <c r="F48" i="20"/>
  <c r="F49" i="20"/>
  <c r="F50" i="20"/>
  <c r="F42" i="20"/>
  <c r="F41" i="20"/>
  <c r="F40" i="20"/>
  <c r="F39" i="20"/>
  <c r="F34" i="20"/>
  <c r="F35" i="20"/>
  <c r="F36" i="20"/>
  <c r="T112" i="40"/>
  <c r="T111" i="40"/>
  <c r="T110" i="40"/>
  <c r="T109" i="40"/>
  <c r="T108" i="40"/>
  <c r="T105" i="40"/>
  <c r="T104" i="40"/>
  <c r="T103" i="40"/>
  <c r="T102" i="40"/>
  <c r="T101" i="40"/>
  <c r="T100" i="40"/>
  <c r="T99" i="40"/>
  <c r="T96" i="40"/>
  <c r="T95" i="40"/>
  <c r="T94" i="40"/>
  <c r="T93" i="40"/>
  <c r="T92" i="40"/>
  <c r="T91" i="40"/>
  <c r="T87" i="40"/>
  <c r="T86" i="40"/>
  <c r="T85" i="40"/>
  <c r="T84" i="40"/>
  <c r="T83" i="40"/>
  <c r="T82" i="40"/>
  <c r="T81" i="40"/>
  <c r="T80" i="40"/>
  <c r="T75" i="40"/>
  <c r="T74" i="40"/>
  <c r="T73" i="40"/>
  <c r="T70" i="40"/>
  <c r="T69" i="40"/>
  <c r="T68" i="40"/>
  <c r="T65" i="40"/>
  <c r="T64" i="40"/>
  <c r="T63" i="40"/>
  <c r="T62" i="40"/>
  <c r="T61" i="40"/>
  <c r="T60" i="40"/>
  <c r="T59" i="40"/>
  <c r="T58" i="40"/>
  <c r="T57" i="40"/>
  <c r="T56" i="40"/>
  <c r="T55" i="40"/>
  <c r="T50" i="40"/>
  <c r="T49" i="40"/>
  <c r="T48" i="40"/>
  <c r="T47" i="40"/>
  <c r="T46" i="40"/>
  <c r="T45" i="40"/>
  <c r="T44" i="40"/>
  <c r="T43" i="40"/>
  <c r="T42" i="40"/>
  <c r="T41" i="40"/>
  <c r="T40" i="40"/>
  <c r="T39" i="40"/>
  <c r="T36" i="40"/>
  <c r="T35" i="40"/>
  <c r="T34" i="40"/>
  <c r="T33" i="40"/>
  <c r="T25" i="40"/>
  <c r="T24" i="40"/>
  <c r="T23" i="40"/>
  <c r="T22" i="40"/>
  <c r="T21" i="40"/>
  <c r="T20" i="40"/>
  <c r="T19" i="40"/>
  <c r="T18" i="40"/>
  <c r="T17" i="40"/>
  <c r="T16" i="40"/>
  <c r="T10" i="40"/>
  <c r="T9" i="40"/>
  <c r="T8" i="40"/>
  <c r="T7" i="40"/>
  <c r="T6" i="40"/>
  <c r="T5" i="40"/>
  <c r="S112" i="40"/>
  <c r="S111" i="40"/>
  <c r="S110" i="40"/>
  <c r="S109" i="40"/>
  <c r="S108" i="40"/>
  <c r="S105" i="40"/>
  <c r="S104" i="40"/>
  <c r="S103" i="40"/>
  <c r="S102" i="40"/>
  <c r="S101" i="40"/>
  <c r="S100" i="40"/>
  <c r="S99" i="40"/>
  <c r="S96" i="40"/>
  <c r="S95" i="40"/>
  <c r="S94" i="40"/>
  <c r="S93" i="40"/>
  <c r="S92" i="40"/>
  <c r="S91" i="40"/>
  <c r="S87" i="40"/>
  <c r="S86" i="40"/>
  <c r="S85" i="40"/>
  <c r="S84" i="40"/>
  <c r="S83" i="40"/>
  <c r="S82" i="40"/>
  <c r="S81" i="40"/>
  <c r="S80" i="40"/>
  <c r="S75" i="40"/>
  <c r="S74" i="40"/>
  <c r="S73" i="40"/>
  <c r="S70" i="40"/>
  <c r="S69" i="40"/>
  <c r="S68" i="40"/>
  <c r="S65" i="40"/>
  <c r="S64" i="40"/>
  <c r="S63" i="40"/>
  <c r="S62" i="40"/>
  <c r="S61" i="40"/>
  <c r="S60" i="40"/>
  <c r="S59" i="40"/>
  <c r="S58" i="40"/>
  <c r="S57" i="40"/>
  <c r="S56" i="40"/>
  <c r="S55" i="40"/>
  <c r="S50" i="40"/>
  <c r="S49" i="40"/>
  <c r="S48" i="40"/>
  <c r="S47" i="40"/>
  <c r="S46" i="40"/>
  <c r="S45" i="40"/>
  <c r="S44" i="40"/>
  <c r="S43" i="40"/>
  <c r="S42" i="40"/>
  <c r="S41" i="40"/>
  <c r="S40" i="40"/>
  <c r="S39" i="40"/>
  <c r="S36" i="40"/>
  <c r="S35" i="40"/>
  <c r="S34" i="40"/>
  <c r="S33" i="40"/>
  <c r="S25" i="40"/>
  <c r="S24" i="40"/>
  <c r="S23" i="40"/>
  <c r="S22" i="40"/>
  <c r="S21" i="40"/>
  <c r="S20" i="40"/>
  <c r="S19" i="40"/>
  <c r="S18" i="40"/>
  <c r="S17" i="40"/>
  <c r="S16" i="40"/>
  <c r="S10" i="40"/>
  <c r="S9" i="40"/>
  <c r="S8" i="40"/>
  <c r="S7" i="40"/>
  <c r="S6" i="40"/>
  <c r="S5" i="40"/>
  <c r="R112" i="40"/>
  <c r="R111" i="40"/>
  <c r="R110" i="40"/>
  <c r="R109" i="40"/>
  <c r="R108" i="40"/>
  <c r="R105" i="40"/>
  <c r="R104" i="40"/>
  <c r="R103" i="40"/>
  <c r="R102" i="40"/>
  <c r="R101" i="40"/>
  <c r="R100" i="40"/>
  <c r="R99" i="40"/>
  <c r="R96" i="40"/>
  <c r="R95" i="40"/>
  <c r="R94" i="40"/>
  <c r="R93" i="40"/>
  <c r="R92" i="40"/>
  <c r="R91" i="40"/>
  <c r="R87" i="40"/>
  <c r="R86" i="40"/>
  <c r="R85" i="40"/>
  <c r="R84" i="40"/>
  <c r="R83" i="40"/>
  <c r="R82" i="40"/>
  <c r="R81" i="40"/>
  <c r="R80" i="40"/>
  <c r="R75" i="40"/>
  <c r="R74" i="40"/>
  <c r="R73" i="40"/>
  <c r="R70" i="40"/>
  <c r="R69" i="40"/>
  <c r="R68" i="40"/>
  <c r="R65" i="40"/>
  <c r="R64" i="40"/>
  <c r="R63" i="40"/>
  <c r="R62" i="40"/>
  <c r="R61" i="40"/>
  <c r="R60" i="40"/>
  <c r="R59" i="40"/>
  <c r="R58" i="40"/>
  <c r="R57" i="40"/>
  <c r="R56" i="40"/>
  <c r="R55" i="40"/>
  <c r="R50" i="40"/>
  <c r="R49" i="40"/>
  <c r="R48" i="40"/>
  <c r="R47" i="40"/>
  <c r="R46" i="40"/>
  <c r="R45" i="40"/>
  <c r="R44" i="40"/>
  <c r="R43" i="40"/>
  <c r="R42" i="40"/>
  <c r="R41" i="40"/>
  <c r="R40" i="40"/>
  <c r="R39" i="40"/>
  <c r="R36" i="40"/>
  <c r="R35" i="40"/>
  <c r="R34" i="40"/>
  <c r="R33" i="40"/>
  <c r="R25" i="40"/>
  <c r="R24" i="40"/>
  <c r="R23" i="40"/>
  <c r="R22" i="40"/>
  <c r="R21" i="40"/>
  <c r="R20" i="40"/>
  <c r="R19" i="40"/>
  <c r="R18" i="40"/>
  <c r="R17" i="40"/>
  <c r="R16" i="40"/>
  <c r="R10" i="40"/>
  <c r="R9" i="40"/>
  <c r="R8" i="40"/>
  <c r="R7" i="40"/>
  <c r="R6" i="40"/>
  <c r="R5" i="40"/>
  <c r="P112" i="40"/>
  <c r="P111" i="40"/>
  <c r="P110" i="40"/>
  <c r="P109" i="40"/>
  <c r="P108" i="40"/>
  <c r="P105" i="40"/>
  <c r="P104" i="40"/>
  <c r="P103" i="40"/>
  <c r="P102" i="40"/>
  <c r="P101" i="40"/>
  <c r="P100" i="40"/>
  <c r="P99" i="40"/>
  <c r="P96" i="40"/>
  <c r="P95" i="40"/>
  <c r="P94" i="40"/>
  <c r="P93" i="40"/>
  <c r="P92" i="40"/>
  <c r="P91" i="40"/>
  <c r="P87" i="40"/>
  <c r="P86" i="40"/>
  <c r="P85" i="40"/>
  <c r="P84" i="40"/>
  <c r="P83" i="40"/>
  <c r="P82" i="40"/>
  <c r="P81" i="40"/>
  <c r="P80" i="40"/>
  <c r="P75" i="40"/>
  <c r="P74" i="40"/>
  <c r="P73" i="40"/>
  <c r="P70" i="40"/>
  <c r="P69" i="40"/>
  <c r="P68" i="40"/>
  <c r="P65" i="40"/>
  <c r="P64" i="40"/>
  <c r="P63" i="40"/>
  <c r="P62" i="40"/>
  <c r="P61" i="40"/>
  <c r="P60" i="40"/>
  <c r="P59" i="40"/>
  <c r="P58" i="40"/>
  <c r="P57" i="40"/>
  <c r="P56" i="40"/>
  <c r="P55" i="40"/>
  <c r="P50" i="40"/>
  <c r="P49" i="40"/>
  <c r="P48" i="40"/>
  <c r="P47" i="40"/>
  <c r="P46" i="40"/>
  <c r="P45" i="40"/>
  <c r="P44" i="40"/>
  <c r="P43" i="40"/>
  <c r="P42" i="40"/>
  <c r="P41" i="40"/>
  <c r="P40" i="40"/>
  <c r="P39" i="40"/>
  <c r="P36" i="40"/>
  <c r="P35" i="40"/>
  <c r="P34" i="40"/>
  <c r="P33" i="40"/>
  <c r="P25" i="40"/>
  <c r="P24" i="40"/>
  <c r="P23" i="40"/>
  <c r="P22" i="40"/>
  <c r="P21" i="40"/>
  <c r="P20" i="40"/>
  <c r="P19" i="40"/>
  <c r="P18" i="40"/>
  <c r="P17" i="40"/>
  <c r="P16" i="40"/>
  <c r="P10" i="40"/>
  <c r="P9" i="40"/>
  <c r="P8" i="40"/>
  <c r="P7" i="40"/>
  <c r="P6" i="40"/>
  <c r="P5" i="40"/>
  <c r="O112" i="40"/>
  <c r="O111" i="40"/>
  <c r="O110" i="40"/>
  <c r="O109" i="40"/>
  <c r="O108" i="40"/>
  <c r="O105" i="40"/>
  <c r="O104" i="40"/>
  <c r="O103" i="40"/>
  <c r="O102" i="40"/>
  <c r="O101" i="40"/>
  <c r="O100" i="40"/>
  <c r="O99" i="40"/>
  <c r="O96" i="40"/>
  <c r="O95" i="40"/>
  <c r="O94" i="40"/>
  <c r="O93" i="40"/>
  <c r="O92" i="40"/>
  <c r="O91" i="40"/>
  <c r="O87" i="40"/>
  <c r="O86" i="40"/>
  <c r="O85" i="40"/>
  <c r="O84" i="40"/>
  <c r="O83" i="40"/>
  <c r="O82" i="40"/>
  <c r="O81" i="40"/>
  <c r="O80" i="40"/>
  <c r="O75" i="40"/>
  <c r="O74" i="40"/>
  <c r="O73" i="40"/>
  <c r="O70" i="40"/>
  <c r="O69" i="40"/>
  <c r="O68" i="40"/>
  <c r="O65" i="40"/>
  <c r="O64" i="40"/>
  <c r="O63" i="40"/>
  <c r="O62" i="40"/>
  <c r="O61" i="40"/>
  <c r="O60" i="40"/>
  <c r="O59" i="40"/>
  <c r="O58" i="40"/>
  <c r="O57" i="40"/>
  <c r="O56" i="40"/>
  <c r="O55" i="40"/>
  <c r="O50" i="40"/>
  <c r="O49" i="40"/>
  <c r="O48" i="40"/>
  <c r="O47" i="40"/>
  <c r="O46" i="40"/>
  <c r="O45" i="40"/>
  <c r="O44" i="40"/>
  <c r="O43" i="40"/>
  <c r="O42" i="40"/>
  <c r="O41" i="40"/>
  <c r="O40" i="40"/>
  <c r="O39" i="40"/>
  <c r="O36" i="40"/>
  <c r="O35" i="40"/>
  <c r="O34" i="40"/>
  <c r="O33" i="40"/>
  <c r="O25" i="40"/>
  <c r="O24" i="40"/>
  <c r="O23" i="40"/>
  <c r="O22" i="40"/>
  <c r="O21" i="40"/>
  <c r="O20" i="40"/>
  <c r="O19" i="40"/>
  <c r="O18" i="40"/>
  <c r="O17" i="40"/>
  <c r="O16" i="40"/>
  <c r="O10" i="40"/>
  <c r="O9" i="40"/>
  <c r="O8" i="40"/>
  <c r="O7" i="40"/>
  <c r="O6" i="40"/>
  <c r="O5" i="40"/>
  <c r="N112" i="40"/>
  <c r="N111" i="40"/>
  <c r="N110" i="40"/>
  <c r="N109" i="40"/>
  <c r="N108" i="40"/>
  <c r="N105" i="40"/>
  <c r="N104" i="40"/>
  <c r="N103" i="40"/>
  <c r="N102" i="40"/>
  <c r="N101" i="40"/>
  <c r="N100" i="40"/>
  <c r="N99" i="40"/>
  <c r="N96" i="40"/>
  <c r="N95" i="40"/>
  <c r="N94" i="40"/>
  <c r="N93" i="40"/>
  <c r="N92" i="40"/>
  <c r="N91" i="40"/>
  <c r="N87" i="40"/>
  <c r="N86" i="40"/>
  <c r="N85" i="40"/>
  <c r="N84" i="40"/>
  <c r="N83" i="40"/>
  <c r="N82" i="40"/>
  <c r="N81" i="40"/>
  <c r="N80" i="40"/>
  <c r="N75" i="40"/>
  <c r="N74" i="40"/>
  <c r="N73" i="40"/>
  <c r="N70" i="40"/>
  <c r="N69" i="40"/>
  <c r="N68" i="40"/>
  <c r="N65" i="40"/>
  <c r="N64" i="40"/>
  <c r="N63" i="40"/>
  <c r="N62" i="40"/>
  <c r="N61" i="40"/>
  <c r="N60" i="40"/>
  <c r="N59" i="40"/>
  <c r="N58" i="40"/>
  <c r="N57" i="40"/>
  <c r="N56" i="40"/>
  <c r="N55" i="40"/>
  <c r="N50" i="40"/>
  <c r="N49" i="40"/>
  <c r="N48" i="40"/>
  <c r="N47" i="40"/>
  <c r="N46" i="40"/>
  <c r="N45" i="40"/>
  <c r="N44" i="40"/>
  <c r="N43" i="40"/>
  <c r="N42" i="40"/>
  <c r="N41" i="40"/>
  <c r="N40" i="40"/>
  <c r="N39" i="40"/>
  <c r="N36" i="40"/>
  <c r="N35" i="40"/>
  <c r="N34" i="40"/>
  <c r="N33" i="40"/>
  <c r="N25" i="40"/>
  <c r="N24" i="40"/>
  <c r="N23" i="40"/>
  <c r="N22" i="40"/>
  <c r="N21" i="40"/>
  <c r="N20" i="40"/>
  <c r="N19" i="40"/>
  <c r="N18" i="40"/>
  <c r="N17" i="40"/>
  <c r="N16" i="40"/>
  <c r="N10" i="40"/>
  <c r="N9" i="40"/>
  <c r="N8" i="40"/>
  <c r="N7" i="40"/>
  <c r="N6" i="40"/>
  <c r="N5" i="40"/>
  <c r="L112" i="40"/>
  <c r="L111" i="40"/>
  <c r="L110" i="40"/>
  <c r="L109" i="40"/>
  <c r="L108" i="40"/>
  <c r="L105" i="40"/>
  <c r="L104" i="40"/>
  <c r="L103" i="40"/>
  <c r="L102" i="40"/>
  <c r="L101" i="40"/>
  <c r="L100" i="40"/>
  <c r="L99" i="40"/>
  <c r="L96" i="40"/>
  <c r="L95" i="40"/>
  <c r="L94" i="40"/>
  <c r="L93" i="40"/>
  <c r="L92" i="40"/>
  <c r="L91" i="40"/>
  <c r="L87" i="40"/>
  <c r="L86" i="40"/>
  <c r="L85" i="40"/>
  <c r="L84" i="40"/>
  <c r="L83" i="40"/>
  <c r="L82" i="40"/>
  <c r="L81" i="40"/>
  <c r="L80" i="40"/>
  <c r="L75" i="40"/>
  <c r="L74" i="40"/>
  <c r="L73" i="40"/>
  <c r="L70" i="40"/>
  <c r="L69" i="40"/>
  <c r="L68" i="40"/>
  <c r="L65" i="40"/>
  <c r="L64" i="40"/>
  <c r="L63" i="40"/>
  <c r="L62" i="40"/>
  <c r="L61" i="40"/>
  <c r="L60" i="40"/>
  <c r="L59" i="40"/>
  <c r="L58" i="40"/>
  <c r="L57" i="40"/>
  <c r="L56" i="40"/>
  <c r="L55" i="40"/>
  <c r="L50" i="40"/>
  <c r="L49" i="40"/>
  <c r="L48" i="40"/>
  <c r="L47" i="40"/>
  <c r="L46" i="40"/>
  <c r="L45" i="40"/>
  <c r="L44" i="40"/>
  <c r="L43" i="40"/>
  <c r="L42" i="40"/>
  <c r="L41" i="40"/>
  <c r="L40" i="40"/>
  <c r="L39" i="40"/>
  <c r="L36" i="40"/>
  <c r="L35" i="40"/>
  <c r="L34" i="40"/>
  <c r="L33" i="40"/>
  <c r="L25" i="40"/>
  <c r="L24" i="40"/>
  <c r="L23" i="40"/>
  <c r="L22" i="40"/>
  <c r="L21" i="40"/>
  <c r="L20" i="40"/>
  <c r="L19" i="40"/>
  <c r="L18" i="40"/>
  <c r="L17" i="40"/>
  <c r="L16" i="40"/>
  <c r="L10" i="40"/>
  <c r="L9" i="40"/>
  <c r="L8" i="40"/>
  <c r="L7" i="40"/>
  <c r="L6" i="40"/>
  <c r="L5" i="40"/>
  <c r="K112" i="40"/>
  <c r="K111" i="40"/>
  <c r="K110" i="40"/>
  <c r="K109" i="40"/>
  <c r="K108" i="40"/>
  <c r="K105" i="40"/>
  <c r="K104" i="40"/>
  <c r="K103" i="40"/>
  <c r="K102" i="40"/>
  <c r="K101" i="40"/>
  <c r="K100" i="40"/>
  <c r="K99" i="40"/>
  <c r="K96" i="40"/>
  <c r="K95" i="40"/>
  <c r="K94" i="40"/>
  <c r="K93" i="40"/>
  <c r="K92" i="40"/>
  <c r="K91" i="40"/>
  <c r="K87" i="40"/>
  <c r="K86" i="40"/>
  <c r="K85" i="40"/>
  <c r="K84" i="40"/>
  <c r="K83" i="40"/>
  <c r="K82" i="40"/>
  <c r="K81" i="40"/>
  <c r="K80" i="40"/>
  <c r="K75" i="40"/>
  <c r="K74" i="40"/>
  <c r="K73" i="40"/>
  <c r="K70" i="40"/>
  <c r="K69" i="40"/>
  <c r="K68" i="40"/>
  <c r="K65" i="40"/>
  <c r="K64" i="40"/>
  <c r="K63" i="40"/>
  <c r="K62" i="40"/>
  <c r="K61" i="40"/>
  <c r="K60" i="40"/>
  <c r="K59" i="40"/>
  <c r="K58" i="40"/>
  <c r="K57" i="40"/>
  <c r="K56" i="40"/>
  <c r="K55" i="40"/>
  <c r="K50" i="40"/>
  <c r="K49" i="40"/>
  <c r="K48" i="40"/>
  <c r="K47" i="40"/>
  <c r="K46" i="40"/>
  <c r="K45" i="40"/>
  <c r="K44" i="40"/>
  <c r="K43" i="40"/>
  <c r="K42" i="40"/>
  <c r="K41" i="40"/>
  <c r="K40" i="40"/>
  <c r="K39" i="40"/>
  <c r="K36" i="40"/>
  <c r="K35" i="40"/>
  <c r="K34" i="40"/>
  <c r="K33" i="40"/>
  <c r="K25" i="40"/>
  <c r="K24" i="40"/>
  <c r="K23" i="40"/>
  <c r="K22" i="40"/>
  <c r="K21" i="40"/>
  <c r="K20" i="40"/>
  <c r="K19" i="40"/>
  <c r="K18" i="40"/>
  <c r="K17" i="40"/>
  <c r="K16" i="40"/>
  <c r="K10" i="40"/>
  <c r="K9" i="40"/>
  <c r="K8" i="40"/>
  <c r="K7" i="40"/>
  <c r="K6" i="40"/>
  <c r="K5" i="40"/>
  <c r="J112" i="40"/>
  <c r="J111" i="40"/>
  <c r="J110" i="40"/>
  <c r="J109" i="40"/>
  <c r="J108" i="40"/>
  <c r="J105" i="40"/>
  <c r="J104" i="40"/>
  <c r="J103" i="40"/>
  <c r="J102" i="40"/>
  <c r="J101" i="40"/>
  <c r="J100" i="40"/>
  <c r="J99" i="40"/>
  <c r="J96" i="40"/>
  <c r="J95" i="40"/>
  <c r="J94" i="40"/>
  <c r="J93" i="40"/>
  <c r="J92" i="40"/>
  <c r="J91" i="40"/>
  <c r="J87" i="40"/>
  <c r="J86" i="40"/>
  <c r="J85" i="40"/>
  <c r="J84" i="40"/>
  <c r="J83" i="40"/>
  <c r="J82" i="40"/>
  <c r="J81" i="40"/>
  <c r="J80" i="40"/>
  <c r="J75" i="40"/>
  <c r="J74" i="40"/>
  <c r="J73" i="40"/>
  <c r="J70" i="40"/>
  <c r="J69" i="40"/>
  <c r="J68" i="40"/>
  <c r="J65" i="40"/>
  <c r="J64" i="40"/>
  <c r="J63" i="40"/>
  <c r="J62" i="40"/>
  <c r="J61" i="40"/>
  <c r="J60" i="40"/>
  <c r="J59" i="40"/>
  <c r="J58" i="40"/>
  <c r="J57" i="40"/>
  <c r="J56" i="40"/>
  <c r="J55" i="40"/>
  <c r="J50" i="40"/>
  <c r="J49" i="40"/>
  <c r="J48" i="40"/>
  <c r="J47" i="40"/>
  <c r="J46" i="40"/>
  <c r="J45" i="40"/>
  <c r="J44" i="40"/>
  <c r="J43" i="40"/>
  <c r="J42" i="40"/>
  <c r="J41" i="40"/>
  <c r="J40" i="40"/>
  <c r="J39" i="40"/>
  <c r="J36" i="40"/>
  <c r="J35" i="40"/>
  <c r="J34" i="40"/>
  <c r="J33" i="40"/>
  <c r="J25" i="40"/>
  <c r="J24" i="40"/>
  <c r="J23" i="40"/>
  <c r="J22" i="40"/>
  <c r="J21" i="40"/>
  <c r="J20" i="40"/>
  <c r="J19" i="40"/>
  <c r="J18" i="40"/>
  <c r="J17" i="40"/>
  <c r="J16" i="40"/>
  <c r="J10" i="40"/>
  <c r="J9" i="40"/>
  <c r="J8" i="40"/>
  <c r="J7" i="40"/>
  <c r="J6" i="40"/>
  <c r="J5" i="40"/>
  <c r="H112" i="40"/>
  <c r="H111" i="40"/>
  <c r="H110" i="40"/>
  <c r="H109" i="40"/>
  <c r="H108" i="40"/>
  <c r="H105" i="40"/>
  <c r="H104" i="40"/>
  <c r="H103" i="40"/>
  <c r="H102" i="40"/>
  <c r="H101" i="40"/>
  <c r="H100" i="40"/>
  <c r="H99" i="40"/>
  <c r="H96" i="40"/>
  <c r="H95" i="40"/>
  <c r="H94" i="40"/>
  <c r="H93" i="40"/>
  <c r="H92" i="40"/>
  <c r="H91" i="40"/>
  <c r="H87" i="40"/>
  <c r="H86" i="40"/>
  <c r="H85" i="40"/>
  <c r="H84" i="40"/>
  <c r="H83" i="40"/>
  <c r="H82" i="40"/>
  <c r="H81" i="40"/>
  <c r="H80" i="40"/>
  <c r="H75" i="40"/>
  <c r="H74" i="40"/>
  <c r="H73" i="40"/>
  <c r="H70" i="40"/>
  <c r="H69" i="40"/>
  <c r="H68" i="40"/>
  <c r="H65" i="40"/>
  <c r="H64" i="40"/>
  <c r="H63" i="40"/>
  <c r="H62" i="40"/>
  <c r="H61" i="40"/>
  <c r="H60" i="40"/>
  <c r="H59" i="40"/>
  <c r="H58" i="40"/>
  <c r="H57" i="40"/>
  <c r="H56" i="40"/>
  <c r="H55" i="40"/>
  <c r="H50" i="40"/>
  <c r="H49" i="40"/>
  <c r="H48" i="40"/>
  <c r="H47" i="40"/>
  <c r="H46" i="40"/>
  <c r="H45" i="40"/>
  <c r="H44" i="40"/>
  <c r="H43" i="40"/>
  <c r="H42" i="40"/>
  <c r="H41" i="40"/>
  <c r="H40" i="40"/>
  <c r="H39" i="40"/>
  <c r="H36" i="40"/>
  <c r="H35" i="40"/>
  <c r="H34" i="40"/>
  <c r="H33" i="40"/>
  <c r="H25" i="40"/>
  <c r="H24" i="40"/>
  <c r="H23" i="40"/>
  <c r="H22" i="40"/>
  <c r="H21" i="40"/>
  <c r="H20" i="40"/>
  <c r="H19" i="40"/>
  <c r="H18" i="40"/>
  <c r="H17" i="40"/>
  <c r="H16" i="40"/>
  <c r="H10" i="40"/>
  <c r="H9" i="40"/>
  <c r="H8" i="40"/>
  <c r="H7" i="40"/>
  <c r="H6" i="40"/>
  <c r="H5" i="40"/>
  <c r="G112" i="40"/>
  <c r="G111" i="40"/>
  <c r="G110" i="40"/>
  <c r="G109" i="40"/>
  <c r="G108" i="40"/>
  <c r="G105" i="40"/>
  <c r="G104" i="40"/>
  <c r="G103" i="40"/>
  <c r="G102" i="40"/>
  <c r="G101" i="40"/>
  <c r="G100" i="40"/>
  <c r="G99" i="40"/>
  <c r="G96" i="40"/>
  <c r="G95" i="40"/>
  <c r="G94" i="40"/>
  <c r="G93" i="40"/>
  <c r="G92" i="40"/>
  <c r="G91" i="40"/>
  <c r="G87" i="40"/>
  <c r="G86" i="40"/>
  <c r="G85" i="40"/>
  <c r="G84" i="40"/>
  <c r="G83" i="40"/>
  <c r="G82" i="40"/>
  <c r="G81" i="40"/>
  <c r="G80" i="40"/>
  <c r="G75" i="40"/>
  <c r="G74" i="40"/>
  <c r="G73" i="40"/>
  <c r="G70" i="40"/>
  <c r="G69" i="40"/>
  <c r="G68" i="40"/>
  <c r="G65" i="40"/>
  <c r="G64" i="40"/>
  <c r="G63" i="40"/>
  <c r="G62" i="40"/>
  <c r="G61" i="40"/>
  <c r="G60" i="40"/>
  <c r="G59" i="40"/>
  <c r="G58" i="40"/>
  <c r="G57" i="40"/>
  <c r="G56" i="40"/>
  <c r="G55" i="40"/>
  <c r="G50" i="40"/>
  <c r="G49" i="40"/>
  <c r="G48" i="40"/>
  <c r="G47" i="40"/>
  <c r="G46" i="40"/>
  <c r="G45" i="40"/>
  <c r="G44" i="40"/>
  <c r="G43" i="40"/>
  <c r="G42" i="40"/>
  <c r="G41" i="40"/>
  <c r="G40" i="40"/>
  <c r="G39" i="40"/>
  <c r="G36" i="40"/>
  <c r="G35" i="40"/>
  <c r="G34" i="40"/>
  <c r="G25" i="40"/>
  <c r="G24" i="40"/>
  <c r="G23" i="40"/>
  <c r="G22" i="40"/>
  <c r="G21" i="40"/>
  <c r="G20" i="40"/>
  <c r="G19" i="40"/>
  <c r="G18" i="40"/>
  <c r="G17" i="40"/>
  <c r="G16" i="40"/>
  <c r="G10" i="40"/>
  <c r="G9" i="40"/>
  <c r="G8" i="40"/>
  <c r="G7" i="40"/>
  <c r="G6" i="40"/>
  <c r="G5" i="40"/>
  <c r="F34" i="40"/>
  <c r="F35" i="40"/>
  <c r="F33" i="40"/>
  <c r="F17" i="40"/>
  <c r="F18" i="40"/>
  <c r="F19" i="40"/>
  <c r="F20" i="40"/>
  <c r="F21" i="40"/>
  <c r="F22" i="40"/>
  <c r="F23" i="40"/>
  <c r="F24" i="40"/>
  <c r="F25" i="40"/>
  <c r="F16" i="40"/>
  <c r="F6" i="40"/>
  <c r="F7" i="40"/>
  <c r="F8" i="40"/>
  <c r="F9" i="40"/>
  <c r="F10" i="40"/>
  <c r="F5" i="40"/>
  <c r="F37" i="40" l="1"/>
  <c r="F52" i="40" s="1"/>
  <c r="U124" i="33"/>
  <c r="T123" i="27"/>
  <c r="S123" i="27"/>
  <c r="P123" i="27"/>
  <c r="O123" i="27"/>
  <c r="N123" i="27"/>
  <c r="M124" i="33"/>
  <c r="K123" i="27"/>
  <c r="Q124" i="33"/>
  <c r="T12" i="39"/>
  <c r="G16" i="56" s="1"/>
  <c r="P12" i="39"/>
  <c r="F16" i="56" s="1"/>
  <c r="M20" i="39"/>
  <c r="Q19" i="39"/>
  <c r="T11" i="39"/>
  <c r="G14" i="56" s="1"/>
  <c r="M19" i="39"/>
  <c r="P11" i="39"/>
  <c r="F14" i="56" s="1"/>
  <c r="T20" i="39"/>
  <c r="T19" i="39"/>
  <c r="P19" i="39"/>
  <c r="V10" i="30"/>
  <c r="I12" i="30"/>
  <c r="U12" i="20"/>
  <c r="Q12" i="20"/>
  <c r="Q30" i="20" s="1"/>
  <c r="V5" i="20"/>
  <c r="V18" i="20"/>
  <c r="V17" i="20"/>
  <c r="V20" i="20"/>
  <c r="V8" i="20"/>
  <c r="F30" i="30"/>
  <c r="V10" i="20"/>
  <c r="V9" i="20"/>
  <c r="H30" i="20"/>
  <c r="I12" i="20"/>
  <c r="T29" i="20"/>
  <c r="N29" i="20"/>
  <c r="P30" i="20"/>
  <c r="I26" i="20"/>
  <c r="V19" i="20"/>
  <c r="V21" i="20"/>
  <c r="V23" i="20"/>
  <c r="V25" i="20"/>
  <c r="O29" i="20"/>
  <c r="T30" i="20"/>
  <c r="L29" i="20"/>
  <c r="M26" i="20"/>
  <c r="V22" i="20"/>
  <c r="F29" i="20"/>
  <c r="Q26" i="20"/>
  <c r="V16" i="20"/>
  <c r="H76" i="20"/>
  <c r="M12" i="20"/>
  <c r="M30" i="20" s="1"/>
  <c r="V24" i="20"/>
  <c r="Q12" i="30"/>
  <c r="V9" i="30"/>
  <c r="V17" i="30"/>
  <c r="H30" i="30"/>
  <c r="V19" i="30"/>
  <c r="N30" i="30"/>
  <c r="U12" i="30"/>
  <c r="U30" i="30" s="1"/>
  <c r="O30" i="30"/>
  <c r="V22" i="30"/>
  <c r="V23" i="30"/>
  <c r="P30" i="30"/>
  <c r="U26" i="30"/>
  <c r="O76" i="20"/>
  <c r="V8" i="30"/>
  <c r="V16" i="30"/>
  <c r="V26" i="30" s="1"/>
  <c r="V24" i="30"/>
  <c r="G106" i="40"/>
  <c r="H71" i="40"/>
  <c r="P71" i="40"/>
  <c r="U30" i="20"/>
  <c r="G97" i="20"/>
  <c r="V7" i="20"/>
  <c r="J29" i="20"/>
  <c r="R29" i="20"/>
  <c r="K71" i="20"/>
  <c r="L37" i="20"/>
  <c r="K29" i="20"/>
  <c r="S29" i="20"/>
  <c r="S106" i="20"/>
  <c r="U26" i="20"/>
  <c r="U29" i="20" s="1"/>
  <c r="P76" i="20"/>
  <c r="S97" i="20"/>
  <c r="V6" i="20"/>
  <c r="J51" i="20"/>
  <c r="I29" i="30"/>
  <c r="I30" i="30" s="1"/>
  <c r="Q29" i="30"/>
  <c r="Q30" i="30"/>
  <c r="U29" i="30"/>
  <c r="M12" i="30"/>
  <c r="V18" i="30"/>
  <c r="G37" i="20"/>
  <c r="G66" i="20"/>
  <c r="G106" i="20"/>
  <c r="J76" i="20"/>
  <c r="L76" i="20"/>
  <c r="N97" i="20"/>
  <c r="R97" i="20"/>
  <c r="T97" i="20"/>
  <c r="V7" i="30"/>
  <c r="J29" i="30"/>
  <c r="R29" i="30"/>
  <c r="H71" i="20"/>
  <c r="L106" i="20"/>
  <c r="P88" i="20"/>
  <c r="R51" i="20"/>
  <c r="T71" i="20"/>
  <c r="K29" i="30"/>
  <c r="S29" i="30"/>
  <c r="H37" i="20"/>
  <c r="F113" i="20"/>
  <c r="O106" i="20"/>
  <c r="P66" i="20"/>
  <c r="M26" i="30"/>
  <c r="L29" i="30"/>
  <c r="T29" i="30"/>
  <c r="S76" i="20"/>
  <c r="J106" i="20"/>
  <c r="R76" i="20"/>
  <c r="S71" i="20"/>
  <c r="R106" i="20"/>
  <c r="J97" i="20"/>
  <c r="K76" i="20"/>
  <c r="L97" i="20"/>
  <c r="O88" i="20"/>
  <c r="O97" i="20"/>
  <c r="T76" i="20"/>
  <c r="N106" i="20"/>
  <c r="T106" i="20"/>
  <c r="K76" i="40"/>
  <c r="P76" i="40"/>
  <c r="S76" i="40"/>
  <c r="G76" i="40"/>
  <c r="J26" i="40"/>
  <c r="J76" i="40"/>
  <c r="O76" i="40"/>
  <c r="T76" i="40"/>
  <c r="J106" i="40"/>
  <c r="K106" i="40"/>
  <c r="L51" i="40"/>
  <c r="L97" i="40"/>
  <c r="N66" i="40"/>
  <c r="N76" i="40"/>
  <c r="H66" i="40"/>
  <c r="P106" i="40"/>
  <c r="L106" i="40"/>
  <c r="P97" i="40"/>
  <c r="R106" i="40"/>
  <c r="S71" i="40"/>
  <c r="G88" i="40"/>
  <c r="G97" i="40"/>
  <c r="L37" i="40"/>
  <c r="O26" i="40"/>
  <c r="O37" i="40"/>
  <c r="F113" i="40"/>
  <c r="G37" i="40"/>
  <c r="H76" i="40"/>
  <c r="R97" i="40"/>
  <c r="T88" i="40"/>
  <c r="N26" i="40"/>
  <c r="S97" i="40"/>
  <c r="O71" i="40"/>
  <c r="T71" i="40"/>
  <c r="H51" i="40"/>
  <c r="J97" i="40"/>
  <c r="K12" i="40"/>
  <c r="K88" i="40"/>
  <c r="K97" i="40"/>
  <c r="O12" i="40"/>
  <c r="P51" i="40"/>
  <c r="R76" i="40"/>
  <c r="S12" i="40"/>
  <c r="S37" i="40"/>
  <c r="T66" i="40"/>
  <c r="T97" i="40"/>
  <c r="G71" i="40"/>
  <c r="J12" i="40"/>
  <c r="J37" i="40"/>
  <c r="K66" i="40"/>
  <c r="K71" i="40"/>
  <c r="L76" i="40"/>
  <c r="N12" i="40"/>
  <c r="N37" i="40"/>
  <c r="O88" i="40"/>
  <c r="T51" i="40"/>
  <c r="G51" i="40"/>
  <c r="H106" i="40"/>
  <c r="O66" i="40"/>
  <c r="R26" i="40"/>
  <c r="R37" i="40"/>
  <c r="R66" i="40"/>
  <c r="S88" i="40"/>
  <c r="G26" i="40"/>
  <c r="H97" i="40"/>
  <c r="J88" i="40"/>
  <c r="K51" i="40"/>
  <c r="L12" i="40"/>
  <c r="L26" i="40"/>
  <c r="L66" i="40"/>
  <c r="N106" i="40"/>
  <c r="O51" i="40"/>
  <c r="R88" i="40"/>
  <c r="S66" i="40"/>
  <c r="T26" i="40"/>
  <c r="H12" i="40"/>
  <c r="H26" i="40"/>
  <c r="H37" i="40"/>
  <c r="J66" i="40"/>
  <c r="J71" i="40"/>
  <c r="K26" i="40"/>
  <c r="L88" i="40"/>
  <c r="N88" i="40"/>
  <c r="N97" i="40"/>
  <c r="P26" i="40"/>
  <c r="P37" i="40"/>
  <c r="P66" i="40"/>
  <c r="S51" i="40"/>
  <c r="G12" i="40"/>
  <c r="J51" i="40"/>
  <c r="N71" i="40"/>
  <c r="O106" i="40"/>
  <c r="P12" i="40"/>
  <c r="P88" i="40"/>
  <c r="R12" i="40"/>
  <c r="R71" i="40"/>
  <c r="T12" i="40"/>
  <c r="T37" i="40"/>
  <c r="T106" i="40"/>
  <c r="G66" i="40"/>
  <c r="H88" i="40"/>
  <c r="K37" i="40"/>
  <c r="L71" i="40"/>
  <c r="N51" i="40"/>
  <c r="O97" i="40"/>
  <c r="R51" i="40"/>
  <c r="S26" i="40"/>
  <c r="S106" i="40"/>
  <c r="J88" i="20"/>
  <c r="K37" i="20"/>
  <c r="L71" i="20"/>
  <c r="P37" i="20"/>
  <c r="P97" i="20"/>
  <c r="R37" i="20"/>
  <c r="S51" i="20"/>
  <c r="G76" i="20"/>
  <c r="K66" i="20"/>
  <c r="K88" i="20"/>
  <c r="K97" i="20"/>
  <c r="L51" i="20"/>
  <c r="O37" i="20"/>
  <c r="R71" i="20"/>
  <c r="H106" i="20"/>
  <c r="J66" i="20"/>
  <c r="J71" i="20"/>
  <c r="K51" i="20"/>
  <c r="N76" i="20"/>
  <c r="T37" i="20"/>
  <c r="G88" i="20"/>
  <c r="H66" i="20"/>
  <c r="H88" i="20"/>
  <c r="H97" i="20"/>
  <c r="N66" i="20"/>
  <c r="N88" i="20"/>
  <c r="O66" i="20"/>
  <c r="O71" i="20"/>
  <c r="P51" i="20"/>
  <c r="P71" i="20"/>
  <c r="S37" i="20"/>
  <c r="T88" i="20"/>
  <c r="H51" i="20"/>
  <c r="L66" i="20"/>
  <c r="N37" i="20"/>
  <c r="O51" i="20"/>
  <c r="S66" i="20"/>
  <c r="S88" i="20"/>
  <c r="T66" i="20"/>
  <c r="G71" i="20"/>
  <c r="L88" i="20"/>
  <c r="N71" i="20"/>
  <c r="G51" i="20"/>
  <c r="J37" i="20"/>
  <c r="J52" i="20" s="1"/>
  <c r="K106" i="20"/>
  <c r="N51" i="20"/>
  <c r="P106" i="20"/>
  <c r="R66" i="20"/>
  <c r="R88" i="20"/>
  <c r="T51" i="20"/>
  <c r="F113" i="51"/>
  <c r="U112" i="51"/>
  <c r="Q112" i="51"/>
  <c r="M112" i="51"/>
  <c r="I112" i="51"/>
  <c r="U111" i="51"/>
  <c r="Q111" i="51"/>
  <c r="M111" i="51"/>
  <c r="I111" i="51"/>
  <c r="V111" i="51" s="1"/>
  <c r="U110" i="51"/>
  <c r="Q110" i="51"/>
  <c r="M110" i="51"/>
  <c r="I110" i="51"/>
  <c r="U109" i="51"/>
  <c r="Q109" i="51"/>
  <c r="M109" i="51"/>
  <c r="I109" i="51"/>
  <c r="U108" i="51"/>
  <c r="Q108" i="51"/>
  <c r="M108" i="51"/>
  <c r="I108" i="51"/>
  <c r="T106" i="51"/>
  <c r="S106" i="51"/>
  <c r="R106" i="51"/>
  <c r="P106" i="51"/>
  <c r="O106" i="51"/>
  <c r="N106" i="51"/>
  <c r="L106" i="51"/>
  <c r="K106" i="51"/>
  <c r="J106" i="51"/>
  <c r="H106" i="51"/>
  <c r="F106" i="51"/>
  <c r="U105" i="51"/>
  <c r="Q105" i="51"/>
  <c r="M105" i="51"/>
  <c r="I105" i="51"/>
  <c r="V105" i="51" s="1"/>
  <c r="U104" i="51"/>
  <c r="Q104" i="51"/>
  <c r="M104" i="51"/>
  <c r="I104" i="51"/>
  <c r="V104" i="51" s="1"/>
  <c r="U103" i="51"/>
  <c r="Q103" i="51"/>
  <c r="M103" i="51"/>
  <c r="I103" i="51"/>
  <c r="U102" i="51"/>
  <c r="Q102" i="51"/>
  <c r="M102" i="51"/>
  <c r="I102" i="51"/>
  <c r="U101" i="51"/>
  <c r="Q101" i="51"/>
  <c r="M101" i="51"/>
  <c r="I101" i="51"/>
  <c r="V101" i="51" s="1"/>
  <c r="U100" i="51"/>
  <c r="Q100" i="51"/>
  <c r="M100" i="51"/>
  <c r="I100" i="51"/>
  <c r="U99" i="51"/>
  <c r="Q99" i="51"/>
  <c r="M99" i="51"/>
  <c r="I99" i="51"/>
  <c r="T97" i="51"/>
  <c r="T114" i="51" s="1"/>
  <c r="S97" i="51"/>
  <c r="R97" i="51"/>
  <c r="P97" i="51"/>
  <c r="P114" i="51" s="1"/>
  <c r="O97" i="51"/>
  <c r="N97" i="51"/>
  <c r="L97" i="51"/>
  <c r="K97" i="51"/>
  <c r="J97" i="51"/>
  <c r="H97" i="51"/>
  <c r="H114" i="51" s="1"/>
  <c r="F97" i="51"/>
  <c r="U96" i="51"/>
  <c r="Q96" i="51"/>
  <c r="M96" i="51"/>
  <c r="I96" i="51"/>
  <c r="V96" i="51" s="1"/>
  <c r="U95" i="51"/>
  <c r="Q95" i="51"/>
  <c r="M95" i="51"/>
  <c r="I95" i="51"/>
  <c r="U94" i="51"/>
  <c r="Q94" i="51"/>
  <c r="M94" i="51"/>
  <c r="I94" i="51"/>
  <c r="U93" i="51"/>
  <c r="Q93" i="51"/>
  <c r="M93" i="51"/>
  <c r="I93" i="51"/>
  <c r="U92" i="51"/>
  <c r="Q92" i="51"/>
  <c r="M92" i="51"/>
  <c r="I92" i="51"/>
  <c r="U91" i="51"/>
  <c r="Q91" i="51"/>
  <c r="Q97" i="51" s="1"/>
  <c r="M91" i="51"/>
  <c r="I91" i="51"/>
  <c r="U90" i="51"/>
  <c r="Q90" i="51"/>
  <c r="M90" i="51"/>
  <c r="I90" i="51"/>
  <c r="O114" i="51"/>
  <c r="N114" i="51"/>
  <c r="L114" i="51"/>
  <c r="G114" i="51"/>
  <c r="F88" i="51"/>
  <c r="U87" i="51"/>
  <c r="Q87" i="51"/>
  <c r="M87" i="51"/>
  <c r="I87" i="51"/>
  <c r="V87" i="51" s="1"/>
  <c r="U86" i="51"/>
  <c r="Q86" i="51"/>
  <c r="M86" i="51"/>
  <c r="I86" i="51"/>
  <c r="U85" i="51"/>
  <c r="Q85" i="51"/>
  <c r="M85" i="51"/>
  <c r="I85" i="51"/>
  <c r="U84" i="51"/>
  <c r="Q84" i="51"/>
  <c r="M84" i="51"/>
  <c r="I84" i="51"/>
  <c r="U83" i="51"/>
  <c r="Q83" i="51"/>
  <c r="M83" i="51"/>
  <c r="I83" i="51"/>
  <c r="U82" i="51"/>
  <c r="Q82" i="51"/>
  <c r="M82" i="51"/>
  <c r="I82" i="51"/>
  <c r="U81" i="51"/>
  <c r="Q81" i="51"/>
  <c r="M81" i="51"/>
  <c r="I81" i="51"/>
  <c r="U80" i="51"/>
  <c r="Q80" i="51"/>
  <c r="M80" i="51"/>
  <c r="I80" i="51"/>
  <c r="F76" i="51"/>
  <c r="U75" i="51"/>
  <c r="Q75" i="51"/>
  <c r="M75" i="51"/>
  <c r="I75" i="51"/>
  <c r="U74" i="51"/>
  <c r="Q74" i="51"/>
  <c r="M74" i="51"/>
  <c r="I74" i="51"/>
  <c r="U73" i="51"/>
  <c r="Q73" i="51"/>
  <c r="M73" i="51"/>
  <c r="I73" i="51"/>
  <c r="U70" i="51"/>
  <c r="Q70" i="51"/>
  <c r="M70" i="51"/>
  <c r="I70" i="51"/>
  <c r="U69" i="51"/>
  <c r="Q69" i="51"/>
  <c r="M69" i="51"/>
  <c r="I69" i="51"/>
  <c r="U68" i="51"/>
  <c r="Q68" i="51"/>
  <c r="M68" i="51"/>
  <c r="I68" i="51"/>
  <c r="F66" i="51"/>
  <c r="U65" i="51"/>
  <c r="Q65" i="51"/>
  <c r="M65" i="51"/>
  <c r="I65" i="51"/>
  <c r="U64" i="51"/>
  <c r="Q64" i="51"/>
  <c r="M64" i="51"/>
  <c r="I64" i="51"/>
  <c r="U63" i="51"/>
  <c r="Q63" i="51"/>
  <c r="M63" i="51"/>
  <c r="I63" i="51"/>
  <c r="U62" i="51"/>
  <c r="Q62" i="51"/>
  <c r="M62" i="51"/>
  <c r="I62" i="51"/>
  <c r="U61" i="51"/>
  <c r="Q61" i="51"/>
  <c r="M61" i="51"/>
  <c r="I61" i="51"/>
  <c r="U60" i="51"/>
  <c r="Q60" i="51"/>
  <c r="M60" i="51"/>
  <c r="I60" i="51"/>
  <c r="U59" i="51"/>
  <c r="Q59" i="51"/>
  <c r="M59" i="51"/>
  <c r="I59" i="51"/>
  <c r="U58" i="51"/>
  <c r="Q58" i="51"/>
  <c r="M58" i="51"/>
  <c r="I58" i="51"/>
  <c r="U57" i="51"/>
  <c r="Q57" i="51"/>
  <c r="M57" i="51"/>
  <c r="I57" i="51"/>
  <c r="U56" i="51"/>
  <c r="Q56" i="51"/>
  <c r="M56" i="51"/>
  <c r="I56" i="51"/>
  <c r="U55" i="51"/>
  <c r="Q55" i="51"/>
  <c r="M55" i="51"/>
  <c r="I55" i="51"/>
  <c r="V53" i="51"/>
  <c r="F51" i="51"/>
  <c r="U50" i="51"/>
  <c r="Q50" i="51"/>
  <c r="M50" i="51"/>
  <c r="I50" i="51"/>
  <c r="U49" i="51"/>
  <c r="Q49" i="51"/>
  <c r="M49" i="51"/>
  <c r="I49" i="51"/>
  <c r="U48" i="51"/>
  <c r="Q48" i="51"/>
  <c r="M48" i="51"/>
  <c r="I48" i="51"/>
  <c r="U47" i="51"/>
  <c r="Q47" i="51"/>
  <c r="M47" i="51"/>
  <c r="I47" i="51"/>
  <c r="U46" i="51"/>
  <c r="Q46" i="51"/>
  <c r="M46" i="51"/>
  <c r="I46" i="51"/>
  <c r="U45" i="51"/>
  <c r="Q45" i="51"/>
  <c r="M45" i="51"/>
  <c r="I45" i="51"/>
  <c r="U44" i="51"/>
  <c r="Q44" i="51"/>
  <c r="M44" i="51"/>
  <c r="I44" i="51"/>
  <c r="U43" i="51"/>
  <c r="Q43" i="51"/>
  <c r="M43" i="51"/>
  <c r="I43" i="51"/>
  <c r="U42" i="51"/>
  <c r="Q42" i="51"/>
  <c r="M42" i="51"/>
  <c r="I42" i="51"/>
  <c r="U41" i="51"/>
  <c r="Q41" i="51"/>
  <c r="M41" i="51"/>
  <c r="I41" i="51"/>
  <c r="U40" i="51"/>
  <c r="Q40" i="51"/>
  <c r="M40" i="51"/>
  <c r="I40" i="51"/>
  <c r="U39" i="51"/>
  <c r="Q39" i="51"/>
  <c r="M39" i="51"/>
  <c r="I39" i="51"/>
  <c r="U36" i="51"/>
  <c r="Q36" i="51"/>
  <c r="M36" i="51"/>
  <c r="I36" i="51"/>
  <c r="U35" i="51"/>
  <c r="Q35" i="51"/>
  <c r="M35" i="51"/>
  <c r="I35" i="51"/>
  <c r="U34" i="51"/>
  <c r="Q34" i="51"/>
  <c r="M34" i="51"/>
  <c r="I34" i="51"/>
  <c r="U33" i="51"/>
  <c r="Q33" i="51"/>
  <c r="M33" i="51"/>
  <c r="I33" i="51"/>
  <c r="F26" i="51"/>
  <c r="E11" i="39" s="1"/>
  <c r="H11" i="39" s="1"/>
  <c r="U25" i="51"/>
  <c r="Q25" i="51"/>
  <c r="M25" i="51"/>
  <c r="I25" i="51"/>
  <c r="U24" i="51"/>
  <c r="Q24" i="51"/>
  <c r="M24" i="51"/>
  <c r="I24" i="51"/>
  <c r="U23" i="51"/>
  <c r="Q23" i="51"/>
  <c r="M23" i="51"/>
  <c r="I23" i="51"/>
  <c r="U22" i="51"/>
  <c r="Q22" i="51"/>
  <c r="M22" i="51"/>
  <c r="I22" i="51"/>
  <c r="U21" i="51"/>
  <c r="Q21" i="51"/>
  <c r="M21" i="51"/>
  <c r="I21" i="51"/>
  <c r="U20" i="51"/>
  <c r="Q20" i="51"/>
  <c r="M20" i="51"/>
  <c r="I20" i="51"/>
  <c r="U19" i="51"/>
  <c r="Q19" i="51"/>
  <c r="M19" i="51"/>
  <c r="I19" i="51"/>
  <c r="U18" i="51"/>
  <c r="Q18" i="51"/>
  <c r="M18" i="51"/>
  <c r="I18" i="51"/>
  <c r="U17" i="51"/>
  <c r="Q17" i="51"/>
  <c r="M17" i="51"/>
  <c r="I17" i="51"/>
  <c r="U16" i="51"/>
  <c r="Q16" i="51"/>
  <c r="M16" i="51"/>
  <c r="I16" i="51"/>
  <c r="F12" i="51"/>
  <c r="U10" i="51"/>
  <c r="Q10" i="51"/>
  <c r="M10" i="51"/>
  <c r="I10" i="51"/>
  <c r="U9" i="51"/>
  <c r="Q9" i="51"/>
  <c r="M9" i="51"/>
  <c r="I9" i="51"/>
  <c r="U8" i="51"/>
  <c r="Q8" i="51"/>
  <c r="M8" i="51"/>
  <c r="I8" i="51"/>
  <c r="U7" i="51"/>
  <c r="Q7" i="51"/>
  <c r="M7" i="51"/>
  <c r="I7" i="51"/>
  <c r="U6" i="51"/>
  <c r="Q6" i="51"/>
  <c r="M6" i="51"/>
  <c r="I6" i="51"/>
  <c r="U5" i="51"/>
  <c r="Q5" i="51"/>
  <c r="M5" i="51"/>
  <c r="I5" i="51"/>
  <c r="P20" i="39" l="1"/>
  <c r="L52" i="20"/>
  <c r="H52" i="20"/>
  <c r="U76" i="51"/>
  <c r="U88" i="51"/>
  <c r="U51" i="51"/>
  <c r="Q51" i="51"/>
  <c r="V94" i="51"/>
  <c r="Q66" i="51"/>
  <c r="M71" i="51"/>
  <c r="V57" i="51"/>
  <c r="V85" i="51"/>
  <c r="V10" i="51"/>
  <c r="V92" i="51"/>
  <c r="V95" i="51"/>
  <c r="M12" i="51"/>
  <c r="M29" i="51" s="1"/>
  <c r="M30" i="51" s="1"/>
  <c r="I37" i="51"/>
  <c r="V70" i="51"/>
  <c r="U11" i="39"/>
  <c r="D14" i="56"/>
  <c r="H14" i="56" s="1"/>
  <c r="P29" i="40"/>
  <c r="P30" i="40" s="1"/>
  <c r="O29" i="40"/>
  <c r="I26" i="51"/>
  <c r="T52" i="20"/>
  <c r="T77" i="20" s="1"/>
  <c r="Q29" i="20"/>
  <c r="M29" i="20"/>
  <c r="V26" i="20"/>
  <c r="V12" i="20"/>
  <c r="V29" i="20" s="1"/>
  <c r="V30" i="20" s="1"/>
  <c r="I29" i="20"/>
  <c r="I30" i="20" s="1"/>
  <c r="F30" i="20"/>
  <c r="G52" i="20"/>
  <c r="G77" i="20" s="1"/>
  <c r="H77" i="20"/>
  <c r="V12" i="30"/>
  <c r="V29" i="30" s="1"/>
  <c r="J29" i="40"/>
  <c r="O52" i="40"/>
  <c r="O77" i="40" s="1"/>
  <c r="U12" i="51"/>
  <c r="J117" i="51"/>
  <c r="U26" i="51"/>
  <c r="I71" i="51"/>
  <c r="I106" i="51"/>
  <c r="P52" i="40"/>
  <c r="P77" i="40" s="1"/>
  <c r="V81" i="51"/>
  <c r="M106" i="51"/>
  <c r="K117" i="51"/>
  <c r="Q26" i="51"/>
  <c r="V56" i="51"/>
  <c r="U71" i="51"/>
  <c r="U106" i="51"/>
  <c r="H29" i="40"/>
  <c r="H30" i="40" s="1"/>
  <c r="O30" i="40"/>
  <c r="T29" i="40"/>
  <c r="T30" i="40" s="1"/>
  <c r="G52" i="40"/>
  <c r="G77" i="40" s="1"/>
  <c r="N29" i="40"/>
  <c r="N30" i="40" s="1"/>
  <c r="L52" i="40"/>
  <c r="L77" i="40" s="1"/>
  <c r="K52" i="40"/>
  <c r="K77" i="40" s="1"/>
  <c r="H52" i="40"/>
  <c r="H77" i="40" s="1"/>
  <c r="L77" i="20"/>
  <c r="S52" i="20"/>
  <c r="S77" i="20" s="1"/>
  <c r="R52" i="20"/>
  <c r="R77" i="20" s="1"/>
  <c r="J77" i="20"/>
  <c r="M30" i="30"/>
  <c r="M29" i="30"/>
  <c r="O52" i="20"/>
  <c r="O77" i="20" s="1"/>
  <c r="N52" i="20"/>
  <c r="N77" i="20" s="1"/>
  <c r="K29" i="40"/>
  <c r="K30" i="40" s="1"/>
  <c r="K114" i="51"/>
  <c r="V20" i="51"/>
  <c r="V41" i="51"/>
  <c r="V49" i="51"/>
  <c r="M66" i="51"/>
  <c r="V58" i="51"/>
  <c r="V60" i="51"/>
  <c r="V64" i="51"/>
  <c r="M113" i="51"/>
  <c r="V110" i="51"/>
  <c r="V112" i="51"/>
  <c r="V25" i="51"/>
  <c r="V8" i="51"/>
  <c r="M26" i="51"/>
  <c r="V40" i="51"/>
  <c r="V42" i="51"/>
  <c r="V44" i="51"/>
  <c r="V46" i="51"/>
  <c r="V48" i="51"/>
  <c r="V50" i="51"/>
  <c r="V69" i="51"/>
  <c r="V83" i="51"/>
  <c r="Q106" i="51"/>
  <c r="Q113" i="51"/>
  <c r="G29" i="40"/>
  <c r="G30" i="40" s="1"/>
  <c r="L29" i="40"/>
  <c r="L30" i="40" s="1"/>
  <c r="R29" i="40"/>
  <c r="R30" i="40" s="1"/>
  <c r="V9" i="51"/>
  <c r="V35" i="51"/>
  <c r="V73" i="51"/>
  <c r="I76" i="51"/>
  <c r="V80" i="51"/>
  <c r="V90" i="51"/>
  <c r="V103" i="51"/>
  <c r="U113" i="51"/>
  <c r="M37" i="51"/>
  <c r="V55" i="51"/>
  <c r="U66" i="51"/>
  <c r="M88" i="51"/>
  <c r="V84" i="51"/>
  <c r="V91" i="51"/>
  <c r="V93" i="51"/>
  <c r="V100" i="51"/>
  <c r="V102" i="51"/>
  <c r="I113" i="51"/>
  <c r="V23" i="51"/>
  <c r="M76" i="51"/>
  <c r="V82" i="51"/>
  <c r="Q37" i="51"/>
  <c r="Q52" i="51" s="1"/>
  <c r="T115" i="51"/>
  <c r="O115" i="51"/>
  <c r="V59" i="51"/>
  <c r="V61" i="51"/>
  <c r="V63" i="51"/>
  <c r="V65" i="51"/>
  <c r="V68" i="51"/>
  <c r="Q76" i="51"/>
  <c r="Q88" i="51"/>
  <c r="Q89" i="51" s="1"/>
  <c r="Q114" i="51" s="1"/>
  <c r="M97" i="51"/>
  <c r="R114" i="51"/>
  <c r="T52" i="40"/>
  <c r="T77" i="40" s="1"/>
  <c r="S29" i="40"/>
  <c r="S30" i="40" s="1"/>
  <c r="S114" i="51"/>
  <c r="J30" i="40"/>
  <c r="S117" i="51"/>
  <c r="V39" i="51"/>
  <c r="V43" i="51"/>
  <c r="V45" i="51"/>
  <c r="V47" i="51"/>
  <c r="Q12" i="51"/>
  <c r="V34" i="51"/>
  <c r="L117" i="51"/>
  <c r="M51" i="51"/>
  <c r="Q71" i="51"/>
  <c r="V71" i="51" s="1"/>
  <c r="V74" i="51"/>
  <c r="V86" i="51"/>
  <c r="U97" i="51"/>
  <c r="J114" i="51"/>
  <c r="S52" i="40"/>
  <c r="S77" i="40" s="1"/>
  <c r="J52" i="40"/>
  <c r="J77" i="40" s="1"/>
  <c r="N52" i="40"/>
  <c r="N77" i="40" s="1"/>
  <c r="R52" i="40"/>
  <c r="R77" i="40" s="1"/>
  <c r="P52" i="20"/>
  <c r="P77" i="20" s="1"/>
  <c r="K52" i="20"/>
  <c r="K77" i="20" s="1"/>
  <c r="F114" i="51"/>
  <c r="V36" i="51"/>
  <c r="V33" i="51"/>
  <c r="V18" i="51"/>
  <c r="V22" i="51"/>
  <c r="V24" i="51"/>
  <c r="V16" i="51"/>
  <c r="V19" i="51"/>
  <c r="V21" i="51"/>
  <c r="V6" i="51"/>
  <c r="I12" i="51"/>
  <c r="V7" i="51"/>
  <c r="U89" i="51"/>
  <c r="N115" i="51"/>
  <c r="R117" i="51"/>
  <c r="G115" i="51"/>
  <c r="V108" i="51"/>
  <c r="F37" i="51"/>
  <c r="F52" i="51" s="1"/>
  <c r="F77" i="51" s="1"/>
  <c r="F122" i="51" s="1"/>
  <c r="I122" i="51" s="1"/>
  <c r="V122" i="51" s="1"/>
  <c r="I51" i="51"/>
  <c r="I88" i="51"/>
  <c r="I89" i="51" s="1"/>
  <c r="F29" i="51"/>
  <c r="F30" i="51" s="1"/>
  <c r="N117" i="51"/>
  <c r="I97" i="51"/>
  <c r="V62" i="51"/>
  <c r="G117" i="51"/>
  <c r="I66" i="51"/>
  <c r="V75" i="51"/>
  <c r="V17" i="51"/>
  <c r="V5" i="51"/>
  <c r="V99" i="51"/>
  <c r="U37" i="51"/>
  <c r="V109" i="51"/>
  <c r="U29" i="51" l="1"/>
  <c r="U30" i="51" s="1"/>
  <c r="U52" i="51"/>
  <c r="U77" i="51" s="1"/>
  <c r="U115" i="51" s="1"/>
  <c r="I29" i="51"/>
  <c r="I30" i="51" s="1"/>
  <c r="V30" i="30"/>
  <c r="P115" i="51"/>
  <c r="J115" i="51"/>
  <c r="K115" i="51"/>
  <c r="U114" i="51"/>
  <c r="Q77" i="51"/>
  <c r="Q115" i="51" s="1"/>
  <c r="V37" i="51"/>
  <c r="P117" i="51"/>
  <c r="R115" i="51"/>
  <c r="V76" i="51"/>
  <c r="Q29" i="51"/>
  <c r="Q30" i="51" s="1"/>
  <c r="V12" i="51"/>
  <c r="M52" i="51"/>
  <c r="M77" i="51" s="1"/>
  <c r="V106" i="51"/>
  <c r="V66" i="51"/>
  <c r="H115" i="51"/>
  <c r="S115" i="51"/>
  <c r="T117" i="51"/>
  <c r="U117" i="51" s="1"/>
  <c r="M117" i="51"/>
  <c r="O117" i="51"/>
  <c r="Q117" i="51" s="1"/>
  <c r="L115" i="51"/>
  <c r="M89" i="51"/>
  <c r="M114" i="51" s="1"/>
  <c r="H117" i="51"/>
  <c r="V97" i="51"/>
  <c r="F115" i="51"/>
  <c r="F117" i="51"/>
  <c r="V26" i="51"/>
  <c r="V89" i="51"/>
  <c r="I114" i="51"/>
  <c r="V88" i="51"/>
  <c r="V51" i="51"/>
  <c r="I52" i="51"/>
  <c r="V52" i="51" s="1"/>
  <c r="V113" i="51"/>
  <c r="V29" i="51" l="1"/>
  <c r="V30" i="51" s="1"/>
  <c r="M115" i="51"/>
  <c r="I117" i="51"/>
  <c r="V117" i="51" s="1"/>
  <c r="I77" i="51"/>
  <c r="V77" i="51" s="1"/>
  <c r="V114" i="51"/>
  <c r="I115" i="51" l="1"/>
  <c r="V115" i="51" s="1"/>
  <c r="Y110" i="3" l="1"/>
  <c r="Y101" i="3"/>
  <c r="Y93" i="3"/>
  <c r="Y82" i="3"/>
  <c r="Y81" i="3"/>
  <c r="Y75" i="3"/>
  <c r="Y70" i="3"/>
  <c r="Y57" i="3"/>
  <c r="Y56" i="3"/>
  <c r="Y41" i="3"/>
  <c r="I81" i="30" l="1"/>
  <c r="T113" i="30"/>
  <c r="S113" i="30"/>
  <c r="R113" i="30"/>
  <c r="P113" i="30"/>
  <c r="O113" i="30"/>
  <c r="N113" i="30"/>
  <c r="L113" i="30"/>
  <c r="K113" i="30"/>
  <c r="J113" i="30"/>
  <c r="H113" i="30"/>
  <c r="G113" i="30"/>
  <c r="F113" i="30"/>
  <c r="U112" i="30"/>
  <c r="Q112" i="30"/>
  <c r="M112" i="30"/>
  <c r="I112" i="30"/>
  <c r="U111" i="30"/>
  <c r="Q111" i="30"/>
  <c r="M111" i="30"/>
  <c r="I111" i="30"/>
  <c r="V111" i="30" s="1"/>
  <c r="U110" i="30"/>
  <c r="Q110" i="30"/>
  <c r="M110" i="30"/>
  <c r="I110" i="30"/>
  <c r="U109" i="30"/>
  <c r="Q109" i="30"/>
  <c r="M109" i="30"/>
  <c r="I109" i="30"/>
  <c r="V109" i="30" s="1"/>
  <c r="U108" i="30"/>
  <c r="U113" i="30" s="1"/>
  <c r="Q108" i="30"/>
  <c r="M108" i="30"/>
  <c r="I108" i="30"/>
  <c r="T106" i="30"/>
  <c r="S106" i="30"/>
  <c r="S114" i="30" s="1"/>
  <c r="R106" i="30"/>
  <c r="P106" i="30"/>
  <c r="O106" i="30"/>
  <c r="N106" i="30"/>
  <c r="L106" i="30"/>
  <c r="K106" i="30"/>
  <c r="J106" i="30"/>
  <c r="H106" i="30"/>
  <c r="G106" i="30"/>
  <c r="F106" i="30"/>
  <c r="U105" i="30"/>
  <c r="Q105" i="30"/>
  <c r="M105" i="30"/>
  <c r="I105" i="30"/>
  <c r="U104" i="30"/>
  <c r="Q104" i="30"/>
  <c r="M104" i="30"/>
  <c r="I104" i="30"/>
  <c r="U103" i="30"/>
  <c r="Q103" i="30"/>
  <c r="M103" i="30"/>
  <c r="I103" i="30"/>
  <c r="U102" i="30"/>
  <c r="Q102" i="30"/>
  <c r="M102" i="30"/>
  <c r="I102" i="30"/>
  <c r="U101" i="30"/>
  <c r="Q101" i="30"/>
  <c r="M101" i="30"/>
  <c r="I101" i="30"/>
  <c r="U100" i="30"/>
  <c r="Q100" i="30"/>
  <c r="M100" i="30"/>
  <c r="I100" i="30"/>
  <c r="U99" i="30"/>
  <c r="U106" i="30" s="1"/>
  <c r="Q99" i="30"/>
  <c r="M99" i="30"/>
  <c r="I99" i="30"/>
  <c r="F97" i="30"/>
  <c r="U96" i="30"/>
  <c r="Q96" i="30"/>
  <c r="M96" i="30"/>
  <c r="I96" i="30"/>
  <c r="U95" i="30"/>
  <c r="Q95" i="30"/>
  <c r="M95" i="30"/>
  <c r="I95" i="30"/>
  <c r="U94" i="30"/>
  <c r="Q94" i="30"/>
  <c r="M94" i="30"/>
  <c r="I94" i="30"/>
  <c r="U93" i="30"/>
  <c r="Q93" i="30"/>
  <c r="M93" i="30"/>
  <c r="I93" i="30"/>
  <c r="U92" i="30"/>
  <c r="Q92" i="30"/>
  <c r="M92" i="30"/>
  <c r="I92" i="30"/>
  <c r="U91" i="30"/>
  <c r="Q91" i="30"/>
  <c r="M91" i="30"/>
  <c r="I91" i="30"/>
  <c r="V90" i="30"/>
  <c r="V89" i="30"/>
  <c r="H114" i="30"/>
  <c r="F88" i="30"/>
  <c r="U87" i="30"/>
  <c r="Q87" i="30"/>
  <c r="M87" i="30"/>
  <c r="I87" i="30"/>
  <c r="U86" i="30"/>
  <c r="Q86" i="30"/>
  <c r="M86" i="30"/>
  <c r="I86" i="30"/>
  <c r="U85" i="30"/>
  <c r="Q85" i="30"/>
  <c r="M85" i="30"/>
  <c r="I85" i="30"/>
  <c r="U84" i="30"/>
  <c r="Q84" i="30"/>
  <c r="M84" i="30"/>
  <c r="I84" i="30"/>
  <c r="U83" i="30"/>
  <c r="Q83" i="30"/>
  <c r="M83" i="30"/>
  <c r="I83" i="30"/>
  <c r="U82" i="30"/>
  <c r="Q82" i="30"/>
  <c r="M82" i="30"/>
  <c r="I82" i="30"/>
  <c r="U81" i="30"/>
  <c r="Q81" i="30"/>
  <c r="M81" i="30"/>
  <c r="U80" i="30"/>
  <c r="Q80" i="30"/>
  <c r="M80" i="30"/>
  <c r="I80" i="30"/>
  <c r="F76" i="30"/>
  <c r="U75" i="30"/>
  <c r="Q75" i="30"/>
  <c r="M75" i="30"/>
  <c r="I75" i="30"/>
  <c r="U74" i="30"/>
  <c r="Q74" i="30"/>
  <c r="M74" i="30"/>
  <c r="I74" i="30"/>
  <c r="U73" i="30"/>
  <c r="Q73" i="30"/>
  <c r="M73" i="30"/>
  <c r="I73" i="30"/>
  <c r="F71" i="30"/>
  <c r="U70" i="30"/>
  <c r="Q70" i="30"/>
  <c r="M70" i="30"/>
  <c r="I70" i="30"/>
  <c r="U69" i="30"/>
  <c r="Q69" i="30"/>
  <c r="M69" i="30"/>
  <c r="I69" i="30"/>
  <c r="U68" i="30"/>
  <c r="Q68" i="30"/>
  <c r="M68" i="30"/>
  <c r="I68" i="30"/>
  <c r="G66" i="30"/>
  <c r="F66" i="30"/>
  <c r="U65" i="30"/>
  <c r="Q65" i="30"/>
  <c r="M65" i="30"/>
  <c r="I65" i="30"/>
  <c r="U64" i="30"/>
  <c r="Q64" i="30"/>
  <c r="M64" i="30"/>
  <c r="I64" i="30"/>
  <c r="U63" i="30"/>
  <c r="Q63" i="30"/>
  <c r="M63" i="30"/>
  <c r="I63" i="30"/>
  <c r="U62" i="30"/>
  <c r="Q62" i="30"/>
  <c r="M62" i="30"/>
  <c r="I62" i="30"/>
  <c r="U61" i="30"/>
  <c r="Q61" i="30"/>
  <c r="M61" i="30"/>
  <c r="I61" i="30"/>
  <c r="U60" i="30"/>
  <c r="Q60" i="30"/>
  <c r="M60" i="30"/>
  <c r="I60" i="30"/>
  <c r="U59" i="30"/>
  <c r="Q59" i="30"/>
  <c r="M59" i="30"/>
  <c r="I59" i="30"/>
  <c r="U58" i="30"/>
  <c r="Q58" i="30"/>
  <c r="M58" i="30"/>
  <c r="I58" i="30"/>
  <c r="U57" i="30"/>
  <c r="Q57" i="30"/>
  <c r="M57" i="30"/>
  <c r="I57" i="30"/>
  <c r="U56" i="30"/>
  <c r="Q56" i="30"/>
  <c r="M56" i="30"/>
  <c r="I56" i="30"/>
  <c r="U55" i="30"/>
  <c r="Q55" i="30"/>
  <c r="M55" i="30"/>
  <c r="I55" i="30"/>
  <c r="V53" i="30"/>
  <c r="G51" i="30"/>
  <c r="F51" i="30"/>
  <c r="U50" i="30"/>
  <c r="Q50" i="30"/>
  <c r="M50" i="30"/>
  <c r="I50" i="30"/>
  <c r="U49" i="30"/>
  <c r="Q49" i="30"/>
  <c r="M49" i="30"/>
  <c r="I49" i="30"/>
  <c r="U48" i="30"/>
  <c r="Q48" i="30"/>
  <c r="M48" i="30"/>
  <c r="I48" i="30"/>
  <c r="U47" i="30"/>
  <c r="Q47" i="30"/>
  <c r="M47" i="30"/>
  <c r="I47" i="30"/>
  <c r="U46" i="30"/>
  <c r="Q46" i="30"/>
  <c r="M46" i="30"/>
  <c r="I46" i="30"/>
  <c r="U45" i="30"/>
  <c r="Q45" i="30"/>
  <c r="M45" i="30"/>
  <c r="I45" i="30"/>
  <c r="U44" i="30"/>
  <c r="Q44" i="30"/>
  <c r="M44" i="30"/>
  <c r="I44" i="30"/>
  <c r="U43" i="30"/>
  <c r="Q43" i="30"/>
  <c r="M43" i="30"/>
  <c r="I43" i="30"/>
  <c r="U42" i="30"/>
  <c r="Q42" i="30"/>
  <c r="M42" i="30"/>
  <c r="I42" i="30"/>
  <c r="U41" i="30"/>
  <c r="Q41" i="30"/>
  <c r="M41" i="30"/>
  <c r="I41" i="30"/>
  <c r="U40" i="30"/>
  <c r="Q40" i="30"/>
  <c r="M40" i="30"/>
  <c r="I40" i="30"/>
  <c r="U39" i="30"/>
  <c r="Q39" i="30"/>
  <c r="M39" i="30"/>
  <c r="I39" i="30"/>
  <c r="G52" i="30"/>
  <c r="G77" i="30" s="1"/>
  <c r="U36" i="30"/>
  <c r="Q36" i="30"/>
  <c r="M36" i="30"/>
  <c r="I36" i="30"/>
  <c r="U35" i="30"/>
  <c r="Q35" i="30"/>
  <c r="M35" i="30"/>
  <c r="I35" i="30"/>
  <c r="U34" i="30"/>
  <c r="Q34" i="30"/>
  <c r="M34" i="30"/>
  <c r="I34" i="30"/>
  <c r="U33" i="30"/>
  <c r="Q33" i="30"/>
  <c r="M33" i="30"/>
  <c r="I33" i="30"/>
  <c r="U112" i="50"/>
  <c r="Q112" i="50"/>
  <c r="M112" i="50"/>
  <c r="I112" i="50"/>
  <c r="U111" i="50"/>
  <c r="Q111" i="50"/>
  <c r="M111" i="50"/>
  <c r="I111" i="50"/>
  <c r="V110" i="50"/>
  <c r="U110" i="50"/>
  <c r="Q110" i="50"/>
  <c r="M110" i="50"/>
  <c r="I110" i="50"/>
  <c r="U109" i="50"/>
  <c r="Q109" i="50"/>
  <c r="M109" i="50"/>
  <c r="I109" i="50"/>
  <c r="V109" i="50" s="1"/>
  <c r="U108" i="50"/>
  <c r="Q108" i="50"/>
  <c r="Q113" i="50" s="1"/>
  <c r="M108" i="50"/>
  <c r="I108" i="50"/>
  <c r="V108" i="50" s="1"/>
  <c r="T106" i="50"/>
  <c r="T114" i="50" s="1"/>
  <c r="S106" i="50"/>
  <c r="S114" i="50" s="1"/>
  <c r="R106" i="50"/>
  <c r="P106" i="50"/>
  <c r="O106" i="50"/>
  <c r="N106" i="50"/>
  <c r="L106" i="50"/>
  <c r="K106" i="50"/>
  <c r="J106" i="50"/>
  <c r="H106" i="50"/>
  <c r="H114" i="50" s="1"/>
  <c r="G106" i="50"/>
  <c r="F106" i="50"/>
  <c r="U105" i="50"/>
  <c r="Q105" i="50"/>
  <c r="M105" i="50"/>
  <c r="I105" i="50"/>
  <c r="V105" i="50" s="1"/>
  <c r="U104" i="50"/>
  <c r="Q104" i="50"/>
  <c r="M104" i="50"/>
  <c r="I104" i="50"/>
  <c r="U103" i="50"/>
  <c r="Q103" i="50"/>
  <c r="M103" i="50"/>
  <c r="I103" i="50"/>
  <c r="U102" i="50"/>
  <c r="Q102" i="50"/>
  <c r="M102" i="50"/>
  <c r="I102" i="50"/>
  <c r="U101" i="50"/>
  <c r="Q101" i="50"/>
  <c r="M101" i="50"/>
  <c r="I101" i="50"/>
  <c r="V101" i="50" s="1"/>
  <c r="U100" i="50"/>
  <c r="Q100" i="50"/>
  <c r="M100" i="50"/>
  <c r="I100" i="50"/>
  <c r="U99" i="50"/>
  <c r="Q99" i="50"/>
  <c r="M99" i="50"/>
  <c r="I99" i="50"/>
  <c r="I106" i="50" s="1"/>
  <c r="G97" i="50"/>
  <c r="F97" i="50"/>
  <c r="U96" i="50"/>
  <c r="Q96" i="50"/>
  <c r="M96" i="50"/>
  <c r="I96" i="50"/>
  <c r="U95" i="50"/>
  <c r="Q95" i="50"/>
  <c r="M95" i="50"/>
  <c r="I95" i="50"/>
  <c r="U94" i="50"/>
  <c r="Q94" i="50"/>
  <c r="M94" i="50"/>
  <c r="I94" i="50"/>
  <c r="U93" i="50"/>
  <c r="Q93" i="50"/>
  <c r="M93" i="50"/>
  <c r="I93" i="50"/>
  <c r="U92" i="50"/>
  <c r="Q92" i="50"/>
  <c r="M92" i="50"/>
  <c r="I92" i="50"/>
  <c r="U91" i="50"/>
  <c r="Q91" i="50"/>
  <c r="M91" i="50"/>
  <c r="I91" i="50"/>
  <c r="U90" i="50"/>
  <c r="Q90" i="50"/>
  <c r="M90" i="50"/>
  <c r="I90" i="50"/>
  <c r="R114" i="50"/>
  <c r="O114" i="50"/>
  <c r="N114" i="50"/>
  <c r="L114" i="50"/>
  <c r="K114" i="50"/>
  <c r="J114" i="50"/>
  <c r="G88" i="50"/>
  <c r="F88" i="50"/>
  <c r="U87" i="50"/>
  <c r="Q87" i="50"/>
  <c r="M87" i="50"/>
  <c r="I87" i="50"/>
  <c r="U86" i="50"/>
  <c r="Q86" i="50"/>
  <c r="M86" i="50"/>
  <c r="I86" i="50"/>
  <c r="U85" i="50"/>
  <c r="Q85" i="50"/>
  <c r="M85" i="50"/>
  <c r="I85" i="50"/>
  <c r="U84" i="50"/>
  <c r="Q84" i="50"/>
  <c r="M84" i="50"/>
  <c r="I84" i="50"/>
  <c r="U83" i="50"/>
  <c r="Q83" i="50"/>
  <c r="M83" i="50"/>
  <c r="I83" i="50"/>
  <c r="U82" i="50"/>
  <c r="Q82" i="50"/>
  <c r="M82" i="50"/>
  <c r="I82" i="50"/>
  <c r="U81" i="50"/>
  <c r="Q81" i="50"/>
  <c r="M81" i="50"/>
  <c r="I81" i="50"/>
  <c r="U80" i="50"/>
  <c r="Q80" i="50"/>
  <c r="M80" i="50"/>
  <c r="I80" i="50"/>
  <c r="G76" i="50"/>
  <c r="F76" i="50"/>
  <c r="U75" i="50"/>
  <c r="Q75" i="50"/>
  <c r="M75" i="50"/>
  <c r="I75" i="50"/>
  <c r="U74" i="50"/>
  <c r="Q74" i="50"/>
  <c r="M74" i="50"/>
  <c r="I74" i="50"/>
  <c r="U73" i="50"/>
  <c r="Q73" i="50"/>
  <c r="M73" i="50"/>
  <c r="I73" i="50"/>
  <c r="U70" i="50"/>
  <c r="Q70" i="50"/>
  <c r="M70" i="50"/>
  <c r="I70" i="50"/>
  <c r="U69" i="50"/>
  <c r="Q69" i="50"/>
  <c r="M69" i="50"/>
  <c r="I69" i="50"/>
  <c r="U68" i="50"/>
  <c r="Q68" i="50"/>
  <c r="M68" i="50"/>
  <c r="I68" i="50"/>
  <c r="I71" i="50" s="1"/>
  <c r="G66" i="50"/>
  <c r="F66" i="50"/>
  <c r="U65" i="50"/>
  <c r="Q65" i="50"/>
  <c r="M65" i="50"/>
  <c r="I65" i="50"/>
  <c r="U64" i="50"/>
  <c r="Q64" i="50"/>
  <c r="M64" i="50"/>
  <c r="I64" i="50"/>
  <c r="U63" i="50"/>
  <c r="Q63" i="50"/>
  <c r="M63" i="50"/>
  <c r="I63" i="50"/>
  <c r="U62" i="50"/>
  <c r="Q62" i="50"/>
  <c r="M62" i="50"/>
  <c r="I62" i="50"/>
  <c r="U61" i="50"/>
  <c r="Q61" i="50"/>
  <c r="M61" i="50"/>
  <c r="I61" i="50"/>
  <c r="U60" i="50"/>
  <c r="Q60" i="50"/>
  <c r="M60" i="50"/>
  <c r="I60" i="50"/>
  <c r="U59" i="50"/>
  <c r="Q59" i="50"/>
  <c r="M59" i="50"/>
  <c r="I59" i="50"/>
  <c r="U58" i="50"/>
  <c r="Q58" i="50"/>
  <c r="M58" i="50"/>
  <c r="I58" i="50"/>
  <c r="U57" i="50"/>
  <c r="Q57" i="50"/>
  <c r="M57" i="50"/>
  <c r="I57" i="50"/>
  <c r="U56" i="50"/>
  <c r="Q56" i="50"/>
  <c r="M56" i="50"/>
  <c r="I56" i="50"/>
  <c r="U55" i="50"/>
  <c r="Q55" i="50"/>
  <c r="M55" i="50"/>
  <c r="I55" i="50"/>
  <c r="V53" i="50"/>
  <c r="G51" i="50"/>
  <c r="G52" i="50" s="1"/>
  <c r="F51" i="50"/>
  <c r="U50" i="50"/>
  <c r="Q50" i="50"/>
  <c r="M50" i="50"/>
  <c r="I50" i="50"/>
  <c r="U49" i="50"/>
  <c r="Q49" i="50"/>
  <c r="M49" i="50"/>
  <c r="I49" i="50"/>
  <c r="U48" i="50"/>
  <c r="Q48" i="50"/>
  <c r="M48" i="50"/>
  <c r="I48" i="50"/>
  <c r="U47" i="50"/>
  <c r="Q47" i="50"/>
  <c r="M47" i="50"/>
  <c r="I47" i="50"/>
  <c r="U46" i="50"/>
  <c r="Q46" i="50"/>
  <c r="M46" i="50"/>
  <c r="I46" i="50"/>
  <c r="U45" i="50"/>
  <c r="Q45" i="50"/>
  <c r="M45" i="50"/>
  <c r="I45" i="50"/>
  <c r="U44" i="50"/>
  <c r="Q44" i="50"/>
  <c r="M44" i="50"/>
  <c r="I44" i="50"/>
  <c r="U43" i="50"/>
  <c r="Q43" i="50"/>
  <c r="M43" i="50"/>
  <c r="I43" i="50"/>
  <c r="U42" i="50"/>
  <c r="Q42" i="50"/>
  <c r="M42" i="50"/>
  <c r="I42" i="50"/>
  <c r="U41" i="50"/>
  <c r="Q41" i="50"/>
  <c r="M41" i="50"/>
  <c r="I41" i="50"/>
  <c r="U40" i="50"/>
  <c r="Q40" i="50"/>
  <c r="M40" i="50"/>
  <c r="I40" i="50"/>
  <c r="U39" i="50"/>
  <c r="Q39" i="50"/>
  <c r="M39" i="50"/>
  <c r="I39" i="50"/>
  <c r="T120" i="50"/>
  <c r="S120" i="50"/>
  <c r="R120" i="50"/>
  <c r="P120" i="50"/>
  <c r="L120" i="50"/>
  <c r="L121" i="50" s="1"/>
  <c r="L122" i="50" s="1"/>
  <c r="K120" i="50"/>
  <c r="K121" i="50" s="1"/>
  <c r="K122" i="50" s="1"/>
  <c r="J120" i="50"/>
  <c r="J121" i="50" s="1"/>
  <c r="J122" i="50" s="1"/>
  <c r="H120" i="50"/>
  <c r="U36" i="50"/>
  <c r="Q36" i="50"/>
  <c r="M36" i="50"/>
  <c r="I36" i="50"/>
  <c r="U35" i="50"/>
  <c r="Q35" i="50"/>
  <c r="M35" i="50"/>
  <c r="I35" i="50"/>
  <c r="U34" i="50"/>
  <c r="Q34" i="50"/>
  <c r="M34" i="50"/>
  <c r="I34" i="50"/>
  <c r="U33" i="50"/>
  <c r="Q33" i="50"/>
  <c r="M33" i="50"/>
  <c r="I33" i="50"/>
  <c r="L29" i="50"/>
  <c r="L117" i="50" s="1"/>
  <c r="T26" i="50"/>
  <c r="S26" i="50"/>
  <c r="R26" i="50"/>
  <c r="P26" i="50"/>
  <c r="O26" i="50"/>
  <c r="N26" i="50"/>
  <c r="L26" i="50"/>
  <c r="K26" i="50"/>
  <c r="J26" i="50"/>
  <c r="H26" i="50"/>
  <c r="G26" i="50"/>
  <c r="F26" i="50"/>
  <c r="U25" i="50"/>
  <c r="Q25" i="50"/>
  <c r="M25" i="50"/>
  <c r="V25" i="50" s="1"/>
  <c r="I25" i="50"/>
  <c r="U24" i="50"/>
  <c r="Q24" i="50"/>
  <c r="M24" i="50"/>
  <c r="I24" i="50"/>
  <c r="U23" i="50"/>
  <c r="Q23" i="50"/>
  <c r="M23" i="50"/>
  <c r="I23" i="50"/>
  <c r="U22" i="50"/>
  <c r="Q22" i="50"/>
  <c r="M22" i="50"/>
  <c r="I22" i="50"/>
  <c r="U21" i="50"/>
  <c r="Q21" i="50"/>
  <c r="M21" i="50"/>
  <c r="I21" i="50"/>
  <c r="U20" i="50"/>
  <c r="V20" i="50" s="1"/>
  <c r="Q20" i="50"/>
  <c r="M20" i="50"/>
  <c r="I20" i="50"/>
  <c r="U19" i="50"/>
  <c r="Q19" i="50"/>
  <c r="M19" i="50"/>
  <c r="I19" i="50"/>
  <c r="V18" i="50"/>
  <c r="U18" i="50"/>
  <c r="Q18" i="50"/>
  <c r="M18" i="50"/>
  <c r="I18" i="50"/>
  <c r="U17" i="50"/>
  <c r="V17" i="50" s="1"/>
  <c r="Q17" i="50"/>
  <c r="M17" i="50"/>
  <c r="I17" i="50"/>
  <c r="U16" i="50"/>
  <c r="Q16" i="50"/>
  <c r="Q26" i="50" s="1"/>
  <c r="M16" i="50"/>
  <c r="I16" i="50"/>
  <c r="T12" i="50"/>
  <c r="T30" i="50" s="1"/>
  <c r="S12" i="50"/>
  <c r="S29" i="50" s="1"/>
  <c r="S117" i="50" s="1"/>
  <c r="R12" i="50"/>
  <c r="R30" i="50" s="1"/>
  <c r="P12" i="50"/>
  <c r="P30" i="50" s="1"/>
  <c r="O12" i="50"/>
  <c r="O30" i="50" s="1"/>
  <c r="N12" i="50"/>
  <c r="N30" i="50" s="1"/>
  <c r="L12" i="50"/>
  <c r="L30" i="50" s="1"/>
  <c r="K12" i="50"/>
  <c r="J12" i="50"/>
  <c r="J30" i="50" s="1"/>
  <c r="H12" i="50"/>
  <c r="H30" i="50" s="1"/>
  <c r="G12" i="50"/>
  <c r="G30" i="50" s="1"/>
  <c r="F12" i="50"/>
  <c r="F30" i="50" s="1"/>
  <c r="U10" i="50"/>
  <c r="V10" i="50" s="1"/>
  <c r="Q10" i="50"/>
  <c r="M10" i="50"/>
  <c r="I10" i="50"/>
  <c r="U9" i="50"/>
  <c r="V9" i="50" s="1"/>
  <c r="Q9" i="50"/>
  <c r="M9" i="50"/>
  <c r="I9" i="50"/>
  <c r="U8" i="50"/>
  <c r="Q8" i="50"/>
  <c r="M8" i="50"/>
  <c r="I8" i="50"/>
  <c r="U7" i="50"/>
  <c r="V7" i="50" s="1"/>
  <c r="Q7" i="50"/>
  <c r="M7" i="50"/>
  <c r="I7" i="50"/>
  <c r="U6" i="50"/>
  <c r="Q6" i="50"/>
  <c r="M6" i="50"/>
  <c r="I6" i="50"/>
  <c r="U5" i="50"/>
  <c r="U12" i="50" s="1"/>
  <c r="Q5" i="50"/>
  <c r="M5" i="50"/>
  <c r="I5" i="50"/>
  <c r="U112" i="49"/>
  <c r="Q112" i="49"/>
  <c r="M112" i="49"/>
  <c r="V112" i="49" s="1"/>
  <c r="I112" i="49"/>
  <c r="U111" i="49"/>
  <c r="Q111" i="49"/>
  <c r="Q113" i="49" s="1"/>
  <c r="M111" i="49"/>
  <c r="I111" i="49"/>
  <c r="U110" i="49"/>
  <c r="Q110" i="49"/>
  <c r="M110" i="49"/>
  <c r="I110" i="49"/>
  <c r="V110" i="49" s="1"/>
  <c r="U109" i="49"/>
  <c r="U113" i="49" s="1"/>
  <c r="Q109" i="49"/>
  <c r="M109" i="49"/>
  <c r="I109" i="49"/>
  <c r="U108" i="49"/>
  <c r="Q108" i="49"/>
  <c r="M108" i="49"/>
  <c r="I108" i="49"/>
  <c r="T106" i="49"/>
  <c r="S106" i="49"/>
  <c r="R106" i="49"/>
  <c r="P106" i="49"/>
  <c r="O106" i="49"/>
  <c r="N106" i="49"/>
  <c r="L106" i="49"/>
  <c r="K106" i="49"/>
  <c r="J106" i="49"/>
  <c r="H106" i="49"/>
  <c r="G106" i="49"/>
  <c r="F106" i="49"/>
  <c r="U105" i="49"/>
  <c r="Q105" i="49"/>
  <c r="M105" i="49"/>
  <c r="I105" i="49"/>
  <c r="V105" i="49" s="1"/>
  <c r="U104" i="49"/>
  <c r="Q104" i="49"/>
  <c r="M104" i="49"/>
  <c r="I104" i="49"/>
  <c r="U103" i="49"/>
  <c r="Q103" i="49"/>
  <c r="M103" i="49"/>
  <c r="I103" i="49"/>
  <c r="V103" i="49" s="1"/>
  <c r="U102" i="49"/>
  <c r="Q102" i="49"/>
  <c r="M102" i="49"/>
  <c r="I102" i="49"/>
  <c r="V102" i="49" s="1"/>
  <c r="U101" i="49"/>
  <c r="Q101" i="49"/>
  <c r="M101" i="49"/>
  <c r="M106" i="49" s="1"/>
  <c r="I101" i="49"/>
  <c r="U100" i="49"/>
  <c r="Q100" i="49"/>
  <c r="M100" i="49"/>
  <c r="I100" i="49"/>
  <c r="V100" i="49" s="1"/>
  <c r="U99" i="49"/>
  <c r="Q99" i="49"/>
  <c r="Q106" i="49" s="1"/>
  <c r="M99" i="49"/>
  <c r="I99" i="49"/>
  <c r="V99" i="49" s="1"/>
  <c r="T97" i="49"/>
  <c r="S97" i="49"/>
  <c r="R97" i="49"/>
  <c r="P97" i="49"/>
  <c r="O97" i="49"/>
  <c r="N97" i="49"/>
  <c r="L97" i="49"/>
  <c r="K97" i="49"/>
  <c r="J97" i="49"/>
  <c r="H97" i="49"/>
  <c r="G97" i="49"/>
  <c r="F97" i="49"/>
  <c r="U96" i="49"/>
  <c r="Q96" i="49"/>
  <c r="M96" i="49"/>
  <c r="I96" i="49"/>
  <c r="U95" i="49"/>
  <c r="Q95" i="49"/>
  <c r="M95" i="49"/>
  <c r="I95" i="49"/>
  <c r="U94" i="49"/>
  <c r="Q94" i="49"/>
  <c r="M94" i="49"/>
  <c r="V94" i="49" s="1"/>
  <c r="I94" i="49"/>
  <c r="U93" i="49"/>
  <c r="Q93" i="49"/>
  <c r="M93" i="49"/>
  <c r="I93" i="49"/>
  <c r="U92" i="49"/>
  <c r="Q92" i="49"/>
  <c r="M92" i="49"/>
  <c r="I92" i="49"/>
  <c r="V92" i="49" s="1"/>
  <c r="U91" i="49"/>
  <c r="Q91" i="49"/>
  <c r="M91" i="49"/>
  <c r="I91" i="49"/>
  <c r="U90" i="49"/>
  <c r="Q90" i="49"/>
  <c r="M90" i="49"/>
  <c r="I90" i="49"/>
  <c r="V90" i="49" s="1"/>
  <c r="T88" i="49"/>
  <c r="T114" i="49" s="1"/>
  <c r="S88" i="49"/>
  <c r="S114" i="49" s="1"/>
  <c r="R88" i="49"/>
  <c r="P88" i="49"/>
  <c r="O88" i="49"/>
  <c r="N88" i="49"/>
  <c r="L88" i="49"/>
  <c r="L114" i="49" s="1"/>
  <c r="K88" i="49"/>
  <c r="K114" i="49" s="1"/>
  <c r="J88" i="49"/>
  <c r="J114" i="49" s="1"/>
  <c r="H88" i="49"/>
  <c r="G88" i="49"/>
  <c r="F88" i="49"/>
  <c r="U87" i="49"/>
  <c r="Q87" i="49"/>
  <c r="M87" i="49"/>
  <c r="I87" i="49"/>
  <c r="V87" i="49" s="1"/>
  <c r="U86" i="49"/>
  <c r="Q86" i="49"/>
  <c r="M86" i="49"/>
  <c r="I86" i="49"/>
  <c r="V86" i="49" s="1"/>
  <c r="U85" i="49"/>
  <c r="Q85" i="49"/>
  <c r="M85" i="49"/>
  <c r="I85" i="49"/>
  <c r="V85" i="49" s="1"/>
  <c r="U84" i="49"/>
  <c r="Q84" i="49"/>
  <c r="M84" i="49"/>
  <c r="I84" i="49"/>
  <c r="U83" i="49"/>
  <c r="Q83" i="49"/>
  <c r="M83" i="49"/>
  <c r="I83" i="49"/>
  <c r="V83" i="49" s="1"/>
  <c r="U82" i="49"/>
  <c r="Q82" i="49"/>
  <c r="M82" i="49"/>
  <c r="I82" i="49"/>
  <c r="U81" i="49"/>
  <c r="Q81" i="49"/>
  <c r="M81" i="49"/>
  <c r="I81" i="49"/>
  <c r="U80" i="49"/>
  <c r="Q80" i="49"/>
  <c r="M80" i="49"/>
  <c r="I80" i="49"/>
  <c r="T76" i="49"/>
  <c r="S76" i="49"/>
  <c r="R76" i="49"/>
  <c r="P76" i="49"/>
  <c r="O76" i="49"/>
  <c r="N76" i="49"/>
  <c r="L76" i="49"/>
  <c r="K76" i="49"/>
  <c r="J76" i="49"/>
  <c r="H76" i="49"/>
  <c r="G76" i="49"/>
  <c r="F76" i="49"/>
  <c r="U75" i="49"/>
  <c r="V75" i="49" s="1"/>
  <c r="Q75" i="49"/>
  <c r="M75" i="49"/>
  <c r="I75" i="49"/>
  <c r="U74" i="49"/>
  <c r="Q74" i="49"/>
  <c r="M74" i="49"/>
  <c r="M76" i="49" s="1"/>
  <c r="I74" i="49"/>
  <c r="V73" i="49"/>
  <c r="U73" i="49"/>
  <c r="U76" i="49" s="1"/>
  <c r="Q73" i="49"/>
  <c r="M73" i="49"/>
  <c r="I73" i="49"/>
  <c r="I76" i="49" s="1"/>
  <c r="U70" i="49"/>
  <c r="U71" i="49" s="1"/>
  <c r="Q70" i="49"/>
  <c r="M70" i="49"/>
  <c r="I70" i="49"/>
  <c r="U69" i="49"/>
  <c r="Q69" i="49"/>
  <c r="M69" i="49"/>
  <c r="I69" i="49"/>
  <c r="U68" i="49"/>
  <c r="Q68" i="49"/>
  <c r="M68" i="49"/>
  <c r="I68" i="49"/>
  <c r="G66" i="49"/>
  <c r="F66" i="49"/>
  <c r="U65" i="49"/>
  <c r="Q65" i="49"/>
  <c r="M65" i="49"/>
  <c r="I65" i="49"/>
  <c r="U64" i="49"/>
  <c r="Q64" i="49"/>
  <c r="M64" i="49"/>
  <c r="I64" i="49"/>
  <c r="U63" i="49"/>
  <c r="Q63" i="49"/>
  <c r="M63" i="49"/>
  <c r="I63" i="49"/>
  <c r="U62" i="49"/>
  <c r="Q62" i="49"/>
  <c r="M62" i="49"/>
  <c r="I62" i="49"/>
  <c r="U61" i="49"/>
  <c r="Q61" i="49"/>
  <c r="M61" i="49"/>
  <c r="I61" i="49"/>
  <c r="U60" i="49"/>
  <c r="Q60" i="49"/>
  <c r="M60" i="49"/>
  <c r="I60" i="49"/>
  <c r="U59" i="49"/>
  <c r="Q59" i="49"/>
  <c r="M59" i="49"/>
  <c r="I59" i="49"/>
  <c r="U58" i="49"/>
  <c r="Q58" i="49"/>
  <c r="M58" i="49"/>
  <c r="I58" i="49"/>
  <c r="U57" i="49"/>
  <c r="Q57" i="49"/>
  <c r="M57" i="49"/>
  <c r="I57" i="49"/>
  <c r="U56" i="49"/>
  <c r="Q56" i="49"/>
  <c r="M56" i="49"/>
  <c r="I56" i="49"/>
  <c r="U55" i="49"/>
  <c r="Q55" i="49"/>
  <c r="M55" i="49"/>
  <c r="I55" i="49"/>
  <c r="V53" i="49"/>
  <c r="J77" i="49"/>
  <c r="J120" i="49" s="1"/>
  <c r="K77" i="49"/>
  <c r="K120" i="49" s="1"/>
  <c r="G51" i="49"/>
  <c r="F51" i="49"/>
  <c r="U50" i="49"/>
  <c r="Q50" i="49"/>
  <c r="M50" i="49"/>
  <c r="I50" i="49"/>
  <c r="U49" i="49"/>
  <c r="Q49" i="49"/>
  <c r="M49" i="49"/>
  <c r="I49" i="49"/>
  <c r="U48" i="49"/>
  <c r="Q48" i="49"/>
  <c r="M48" i="49"/>
  <c r="I48" i="49"/>
  <c r="U47" i="49"/>
  <c r="Q47" i="49"/>
  <c r="M47" i="49"/>
  <c r="I47" i="49"/>
  <c r="U46" i="49"/>
  <c r="Q46" i="49"/>
  <c r="M46" i="49"/>
  <c r="I46" i="49"/>
  <c r="U45" i="49"/>
  <c r="Q45" i="49"/>
  <c r="M45" i="49"/>
  <c r="I45" i="49"/>
  <c r="U44" i="49"/>
  <c r="Q44" i="49"/>
  <c r="M44" i="49"/>
  <c r="I44" i="49"/>
  <c r="U43" i="49"/>
  <c r="Q43" i="49"/>
  <c r="M43" i="49"/>
  <c r="I43" i="49"/>
  <c r="U42" i="49"/>
  <c r="Q42" i="49"/>
  <c r="M42" i="49"/>
  <c r="I42" i="49"/>
  <c r="U41" i="49"/>
  <c r="Q41" i="49"/>
  <c r="M41" i="49"/>
  <c r="I41" i="49"/>
  <c r="U40" i="49"/>
  <c r="Q40" i="49"/>
  <c r="M40" i="49"/>
  <c r="I40" i="49"/>
  <c r="U39" i="49"/>
  <c r="Q39" i="49"/>
  <c r="M39" i="49"/>
  <c r="I39" i="49"/>
  <c r="T77" i="49"/>
  <c r="T120" i="49" s="1"/>
  <c r="R77" i="49"/>
  <c r="R120" i="49" s="1"/>
  <c r="O77" i="49"/>
  <c r="O120" i="49" s="1"/>
  <c r="N77" i="49"/>
  <c r="N120" i="49" s="1"/>
  <c r="H77" i="49"/>
  <c r="H120" i="49" s="1"/>
  <c r="F37" i="49"/>
  <c r="U36" i="49"/>
  <c r="Q36" i="49"/>
  <c r="M36" i="49"/>
  <c r="I36" i="49"/>
  <c r="U35" i="49"/>
  <c r="Q35" i="49"/>
  <c r="M35" i="49"/>
  <c r="I35" i="49"/>
  <c r="U34" i="49"/>
  <c r="Q34" i="49"/>
  <c r="M34" i="49"/>
  <c r="I34" i="49"/>
  <c r="U33" i="49"/>
  <c r="Q33" i="49"/>
  <c r="M33" i="49"/>
  <c r="I33" i="49"/>
  <c r="F30" i="49"/>
  <c r="T26" i="49"/>
  <c r="S26" i="49"/>
  <c r="R26" i="49"/>
  <c r="P26" i="49"/>
  <c r="O26" i="49"/>
  <c r="N26" i="49"/>
  <c r="L26" i="49"/>
  <c r="K26" i="49"/>
  <c r="J26" i="49"/>
  <c r="H26" i="49"/>
  <c r="G26" i="49"/>
  <c r="G29" i="49" s="1"/>
  <c r="F26" i="49"/>
  <c r="U25" i="49"/>
  <c r="V25" i="49" s="1"/>
  <c r="Q25" i="49"/>
  <c r="M25" i="49"/>
  <c r="I25" i="49"/>
  <c r="U24" i="49"/>
  <c r="Q24" i="49"/>
  <c r="M24" i="49"/>
  <c r="I24" i="49"/>
  <c r="U23" i="49"/>
  <c r="V23" i="49" s="1"/>
  <c r="Q23" i="49"/>
  <c r="M23" i="49"/>
  <c r="I23" i="49"/>
  <c r="U22" i="49"/>
  <c r="Q22" i="49"/>
  <c r="M22" i="49"/>
  <c r="I22" i="49"/>
  <c r="U21" i="49"/>
  <c r="V21" i="49" s="1"/>
  <c r="Q21" i="49"/>
  <c r="M21" i="49"/>
  <c r="I21" i="49"/>
  <c r="U20" i="49"/>
  <c r="Q20" i="49"/>
  <c r="V20" i="49" s="1"/>
  <c r="M20" i="49"/>
  <c r="I20" i="49"/>
  <c r="V19" i="49"/>
  <c r="U19" i="49"/>
  <c r="Q19" i="49"/>
  <c r="M19" i="49"/>
  <c r="I19" i="49"/>
  <c r="U18" i="49"/>
  <c r="Q18" i="49"/>
  <c r="M18" i="49"/>
  <c r="I18" i="49"/>
  <c r="U17" i="49"/>
  <c r="Q17" i="49"/>
  <c r="M17" i="49"/>
  <c r="I17" i="49"/>
  <c r="U16" i="49"/>
  <c r="Q16" i="49"/>
  <c r="M16" i="49"/>
  <c r="M26" i="49" s="1"/>
  <c r="I16" i="49"/>
  <c r="I26" i="49" s="1"/>
  <c r="T12" i="49"/>
  <c r="T30" i="49" s="1"/>
  <c r="S12" i="49"/>
  <c r="S29" i="49" s="1"/>
  <c r="R12" i="49"/>
  <c r="R30" i="49" s="1"/>
  <c r="P12" i="49"/>
  <c r="P30" i="49" s="1"/>
  <c r="O12" i="49"/>
  <c r="O30" i="49" s="1"/>
  <c r="N12" i="49"/>
  <c r="N29" i="49" s="1"/>
  <c r="N117" i="49" s="1"/>
  <c r="L12" i="49"/>
  <c r="L30" i="49" s="1"/>
  <c r="K12" i="49"/>
  <c r="K29" i="49" s="1"/>
  <c r="K117" i="49" s="1"/>
  <c r="J12" i="49"/>
  <c r="J30" i="49" s="1"/>
  <c r="H12" i="49"/>
  <c r="H30" i="49" s="1"/>
  <c r="G12" i="49"/>
  <c r="G30" i="49" s="1"/>
  <c r="F12" i="49"/>
  <c r="F29" i="49" s="1"/>
  <c r="U10" i="49"/>
  <c r="Q10" i="49"/>
  <c r="M10" i="49"/>
  <c r="I10" i="49"/>
  <c r="U9" i="49"/>
  <c r="Q9" i="49"/>
  <c r="M9" i="49"/>
  <c r="I9" i="49"/>
  <c r="U8" i="49"/>
  <c r="Q8" i="49"/>
  <c r="M8" i="49"/>
  <c r="I8" i="49"/>
  <c r="U7" i="49"/>
  <c r="Q7" i="49"/>
  <c r="M7" i="49"/>
  <c r="I7" i="49"/>
  <c r="U6" i="49"/>
  <c r="Q6" i="49"/>
  <c r="M6" i="49"/>
  <c r="I6" i="49"/>
  <c r="U5" i="49"/>
  <c r="Q5" i="49"/>
  <c r="Q12" i="49" s="1"/>
  <c r="M5" i="49"/>
  <c r="M12" i="49" s="1"/>
  <c r="I5" i="49"/>
  <c r="Q112" i="27"/>
  <c r="M112" i="27"/>
  <c r="I112" i="27"/>
  <c r="Q111" i="27"/>
  <c r="M111" i="27"/>
  <c r="I111" i="27"/>
  <c r="Q110" i="27"/>
  <c r="M110" i="27"/>
  <c r="I110" i="27"/>
  <c r="Q109" i="27"/>
  <c r="M109" i="27"/>
  <c r="I109" i="27"/>
  <c r="Q108" i="27"/>
  <c r="M108" i="27"/>
  <c r="I108" i="27"/>
  <c r="T106" i="27"/>
  <c r="S106" i="27"/>
  <c r="R106" i="27"/>
  <c r="P106" i="27"/>
  <c r="O106" i="27"/>
  <c r="N106" i="27"/>
  <c r="L106" i="27"/>
  <c r="K106" i="27"/>
  <c r="J106" i="27"/>
  <c r="H106" i="27"/>
  <c r="G106" i="27"/>
  <c r="F106" i="27"/>
  <c r="Q105" i="27"/>
  <c r="M105" i="27"/>
  <c r="I105" i="27"/>
  <c r="Q104" i="27"/>
  <c r="M104" i="27"/>
  <c r="I104" i="27"/>
  <c r="Q103" i="27"/>
  <c r="M103" i="27"/>
  <c r="I103" i="27"/>
  <c r="Q102" i="27"/>
  <c r="M102" i="27"/>
  <c r="I102" i="27"/>
  <c r="Q101" i="27"/>
  <c r="M101" i="27"/>
  <c r="I101" i="27"/>
  <c r="Q100" i="27"/>
  <c r="M100" i="27"/>
  <c r="I100" i="27"/>
  <c r="Q99" i="27"/>
  <c r="M99" i="27"/>
  <c r="I99" i="27"/>
  <c r="T97" i="27"/>
  <c r="S97" i="27"/>
  <c r="R97" i="27"/>
  <c r="P97" i="27"/>
  <c r="O97" i="27"/>
  <c r="N97" i="27"/>
  <c r="L97" i="27"/>
  <c r="K97" i="27"/>
  <c r="J97" i="27"/>
  <c r="H97" i="27"/>
  <c r="G97" i="27"/>
  <c r="F97" i="27"/>
  <c r="Q96" i="27"/>
  <c r="M96" i="27"/>
  <c r="I96" i="27"/>
  <c r="Q95" i="27"/>
  <c r="M95" i="27"/>
  <c r="I95" i="27"/>
  <c r="Q94" i="27"/>
  <c r="M94" i="27"/>
  <c r="I94" i="27"/>
  <c r="Q93" i="27"/>
  <c r="M93" i="27"/>
  <c r="I93" i="27"/>
  <c r="Q92" i="27"/>
  <c r="M92" i="27"/>
  <c r="I92" i="27"/>
  <c r="Q91" i="27"/>
  <c r="M91" i="27"/>
  <c r="M97" i="27" s="1"/>
  <c r="I91" i="27"/>
  <c r="Q90" i="27"/>
  <c r="M90" i="27"/>
  <c r="I90" i="27"/>
  <c r="G88" i="27"/>
  <c r="F88" i="27"/>
  <c r="Q87" i="27"/>
  <c r="M87" i="27"/>
  <c r="I87" i="27"/>
  <c r="Q86" i="27"/>
  <c r="M86" i="27"/>
  <c r="I86" i="27"/>
  <c r="Q85" i="27"/>
  <c r="M85" i="27"/>
  <c r="I85" i="27"/>
  <c r="Q84" i="27"/>
  <c r="M84" i="27"/>
  <c r="I84" i="27"/>
  <c r="Q83" i="27"/>
  <c r="M83" i="27"/>
  <c r="I83" i="27"/>
  <c r="Q82" i="27"/>
  <c r="M82" i="27"/>
  <c r="I82" i="27"/>
  <c r="Q81" i="27"/>
  <c r="M81" i="27"/>
  <c r="I81" i="27"/>
  <c r="Q80" i="27"/>
  <c r="M80" i="27"/>
  <c r="I80" i="27"/>
  <c r="G76" i="27"/>
  <c r="F76" i="27"/>
  <c r="Q75" i="27"/>
  <c r="M75" i="27"/>
  <c r="I75" i="27"/>
  <c r="Q74" i="27"/>
  <c r="M74" i="27"/>
  <c r="I74" i="27"/>
  <c r="Q73" i="27"/>
  <c r="M73" i="27"/>
  <c r="I73" i="27"/>
  <c r="Q70" i="27"/>
  <c r="M70" i="27"/>
  <c r="I70" i="27"/>
  <c r="Q69" i="27"/>
  <c r="M69" i="27"/>
  <c r="I69" i="27"/>
  <c r="Q68" i="27"/>
  <c r="M68" i="27"/>
  <c r="I68" i="27"/>
  <c r="G66" i="27"/>
  <c r="F66" i="27"/>
  <c r="Q65" i="27"/>
  <c r="M65" i="27"/>
  <c r="I65" i="27"/>
  <c r="Q64" i="27"/>
  <c r="M64" i="27"/>
  <c r="I64" i="27"/>
  <c r="Q63" i="27"/>
  <c r="M63" i="27"/>
  <c r="I63" i="27"/>
  <c r="Q62" i="27"/>
  <c r="M62" i="27"/>
  <c r="I62" i="27"/>
  <c r="Q61" i="27"/>
  <c r="M61" i="27"/>
  <c r="I61" i="27"/>
  <c r="Q60" i="27"/>
  <c r="M60" i="27"/>
  <c r="I60" i="27"/>
  <c r="Q59" i="27"/>
  <c r="M59" i="27"/>
  <c r="I59" i="27"/>
  <c r="Q58" i="27"/>
  <c r="M58" i="27"/>
  <c r="I58" i="27"/>
  <c r="Q57" i="27"/>
  <c r="M57" i="27"/>
  <c r="I57" i="27"/>
  <c r="Q56" i="27"/>
  <c r="M56" i="27"/>
  <c r="I56" i="27"/>
  <c r="Q55" i="27"/>
  <c r="M55" i="27"/>
  <c r="I55" i="27"/>
  <c r="G51" i="27"/>
  <c r="F51" i="27"/>
  <c r="Q50" i="27"/>
  <c r="M50" i="27"/>
  <c r="I50" i="27"/>
  <c r="Q49" i="27"/>
  <c r="M49" i="27"/>
  <c r="I49" i="27"/>
  <c r="Q48" i="27"/>
  <c r="M48" i="27"/>
  <c r="I48" i="27"/>
  <c r="Q47" i="27"/>
  <c r="M47" i="27"/>
  <c r="I47" i="27"/>
  <c r="Q46" i="27"/>
  <c r="M46" i="27"/>
  <c r="I46" i="27"/>
  <c r="Q45" i="27"/>
  <c r="M45" i="27"/>
  <c r="I45" i="27"/>
  <c r="Q44" i="27"/>
  <c r="M44" i="27"/>
  <c r="I44" i="27"/>
  <c r="Q43" i="27"/>
  <c r="M43" i="27"/>
  <c r="I43" i="27"/>
  <c r="Q42" i="27"/>
  <c r="M42" i="27"/>
  <c r="I42" i="27"/>
  <c r="Q41" i="27"/>
  <c r="M41" i="27"/>
  <c r="I41" i="27"/>
  <c r="Q40" i="27"/>
  <c r="M40" i="27"/>
  <c r="I40" i="27"/>
  <c r="Q39" i="27"/>
  <c r="M39" i="27"/>
  <c r="I39" i="27"/>
  <c r="G52" i="27"/>
  <c r="F37" i="27"/>
  <c r="Q36" i="27"/>
  <c r="M36" i="27"/>
  <c r="I36" i="27"/>
  <c r="Q35" i="27"/>
  <c r="M35" i="27"/>
  <c r="I35" i="27"/>
  <c r="Q34" i="27"/>
  <c r="M34" i="27"/>
  <c r="I34" i="27"/>
  <c r="Q33" i="27"/>
  <c r="M33" i="27"/>
  <c r="I33" i="27"/>
  <c r="G26" i="27"/>
  <c r="F12" i="39" s="1"/>
  <c r="F26" i="27"/>
  <c r="E12" i="39" s="1"/>
  <c r="Q25" i="27"/>
  <c r="M25" i="27"/>
  <c r="I25" i="27"/>
  <c r="Q24" i="27"/>
  <c r="M24" i="27"/>
  <c r="I24" i="27"/>
  <c r="Q23" i="27"/>
  <c r="M23" i="27"/>
  <c r="I23" i="27"/>
  <c r="Q22" i="27"/>
  <c r="M22" i="27"/>
  <c r="I22" i="27"/>
  <c r="Q21" i="27"/>
  <c r="M21" i="27"/>
  <c r="I21" i="27"/>
  <c r="Q20" i="27"/>
  <c r="M20" i="27"/>
  <c r="I20" i="27"/>
  <c r="Q19" i="27"/>
  <c r="M19" i="27"/>
  <c r="I19" i="27"/>
  <c r="Q18" i="27"/>
  <c r="M18" i="27"/>
  <c r="I18" i="27"/>
  <c r="Q17" i="27"/>
  <c r="M17" i="27"/>
  <c r="I17" i="27"/>
  <c r="Q16" i="27"/>
  <c r="M16" i="27"/>
  <c r="I16" i="27"/>
  <c r="G12" i="27"/>
  <c r="F5" i="39" s="1"/>
  <c r="F12" i="27"/>
  <c r="E5" i="39" s="1"/>
  <c r="Q10" i="27"/>
  <c r="M10" i="27"/>
  <c r="I10" i="27"/>
  <c r="Q9" i="27"/>
  <c r="M9" i="27"/>
  <c r="I9" i="27"/>
  <c r="Q8" i="27"/>
  <c r="M8" i="27"/>
  <c r="I8" i="27"/>
  <c r="Q7" i="27"/>
  <c r="M7" i="27"/>
  <c r="I7" i="27"/>
  <c r="Q6" i="27"/>
  <c r="M6" i="27"/>
  <c r="I6" i="27"/>
  <c r="Q5" i="27"/>
  <c r="M5" i="27"/>
  <c r="I5" i="27"/>
  <c r="Q112" i="28"/>
  <c r="M112" i="28"/>
  <c r="I112" i="28"/>
  <c r="Q111" i="28"/>
  <c r="M111" i="28"/>
  <c r="I111" i="28"/>
  <c r="Q110" i="28"/>
  <c r="M110" i="28"/>
  <c r="I110" i="28"/>
  <c r="Q109" i="28"/>
  <c r="M109" i="28"/>
  <c r="I109" i="28"/>
  <c r="Q108" i="28"/>
  <c r="M108" i="28"/>
  <c r="I108" i="28"/>
  <c r="T106" i="28"/>
  <c r="S106" i="28"/>
  <c r="R106" i="28"/>
  <c r="G106" i="28"/>
  <c r="F106" i="28"/>
  <c r="Q105" i="28"/>
  <c r="M105" i="28"/>
  <c r="I105" i="28"/>
  <c r="Q104" i="28"/>
  <c r="M104" i="28"/>
  <c r="I104" i="28"/>
  <c r="Q103" i="28"/>
  <c r="M103" i="28"/>
  <c r="I103" i="28"/>
  <c r="Q102" i="28"/>
  <c r="M102" i="28"/>
  <c r="I102" i="28"/>
  <c r="Q101" i="28"/>
  <c r="M101" i="28"/>
  <c r="I101" i="28"/>
  <c r="Q100" i="28"/>
  <c r="M100" i="28"/>
  <c r="I100" i="28"/>
  <c r="Q99" i="28"/>
  <c r="M99" i="28"/>
  <c r="I99" i="28"/>
  <c r="G97" i="28"/>
  <c r="F97" i="28"/>
  <c r="Q96" i="28"/>
  <c r="M96" i="28"/>
  <c r="I96" i="28"/>
  <c r="Q95" i="28"/>
  <c r="M95" i="28"/>
  <c r="I95" i="28"/>
  <c r="Q94" i="28"/>
  <c r="M94" i="28"/>
  <c r="I94" i="28"/>
  <c r="Q93" i="28"/>
  <c r="M93" i="28"/>
  <c r="I93" i="28"/>
  <c r="Q92" i="28"/>
  <c r="M92" i="28"/>
  <c r="I92" i="28"/>
  <c r="Q91" i="28"/>
  <c r="M91" i="28"/>
  <c r="I91" i="28"/>
  <c r="Q90" i="28"/>
  <c r="M90" i="28"/>
  <c r="I90" i="28"/>
  <c r="G88" i="28"/>
  <c r="F88" i="28"/>
  <c r="Q87" i="28"/>
  <c r="M87" i="28"/>
  <c r="I87" i="28"/>
  <c r="Q86" i="28"/>
  <c r="M86" i="28"/>
  <c r="I86" i="28"/>
  <c r="Q85" i="28"/>
  <c r="M85" i="28"/>
  <c r="I85" i="28"/>
  <c r="Q84" i="28"/>
  <c r="M84" i="28"/>
  <c r="I84" i="28"/>
  <c r="Q83" i="28"/>
  <c r="M83" i="28"/>
  <c r="I83" i="28"/>
  <c r="Q82" i="28"/>
  <c r="M82" i="28"/>
  <c r="I82" i="28"/>
  <c r="Q81" i="28"/>
  <c r="M81" i="28"/>
  <c r="I81" i="28"/>
  <c r="Q80" i="28"/>
  <c r="M80" i="28"/>
  <c r="I80" i="28"/>
  <c r="G76" i="28"/>
  <c r="F76" i="28"/>
  <c r="Q75" i="28"/>
  <c r="M75" i="28"/>
  <c r="I75" i="28"/>
  <c r="Q74" i="28"/>
  <c r="M74" i="28"/>
  <c r="I74" i="28"/>
  <c r="Q73" i="28"/>
  <c r="M73" i="28"/>
  <c r="I73" i="28"/>
  <c r="I76" i="28" s="1"/>
  <c r="Q70" i="28"/>
  <c r="M70" i="28"/>
  <c r="I70" i="28"/>
  <c r="Q69" i="28"/>
  <c r="M69" i="28"/>
  <c r="I69" i="28"/>
  <c r="Q68" i="28"/>
  <c r="M68" i="28"/>
  <c r="I68" i="28"/>
  <c r="G66" i="28"/>
  <c r="F66" i="28"/>
  <c r="Q65" i="28"/>
  <c r="M65" i="28"/>
  <c r="I65" i="28"/>
  <c r="Q64" i="28"/>
  <c r="M64" i="28"/>
  <c r="I64" i="28"/>
  <c r="Q63" i="28"/>
  <c r="M63" i="28"/>
  <c r="I63" i="28"/>
  <c r="Q62" i="28"/>
  <c r="M62" i="28"/>
  <c r="I62" i="28"/>
  <c r="Q61" i="28"/>
  <c r="M61" i="28"/>
  <c r="I61" i="28"/>
  <c r="Q60" i="28"/>
  <c r="M60" i="28"/>
  <c r="I60" i="28"/>
  <c r="Q59" i="28"/>
  <c r="M59" i="28"/>
  <c r="I59" i="28"/>
  <c r="Q58" i="28"/>
  <c r="M58" i="28"/>
  <c r="I58" i="28"/>
  <c r="Q57" i="28"/>
  <c r="M57" i="28"/>
  <c r="I57" i="28"/>
  <c r="Q56" i="28"/>
  <c r="M56" i="28"/>
  <c r="I56" i="28"/>
  <c r="Q55" i="28"/>
  <c r="M55" i="28"/>
  <c r="I55" i="28"/>
  <c r="G51" i="28"/>
  <c r="F51" i="28"/>
  <c r="Q50" i="28"/>
  <c r="M50" i="28"/>
  <c r="I50" i="28"/>
  <c r="Q49" i="28"/>
  <c r="M49" i="28"/>
  <c r="I49" i="28"/>
  <c r="Q48" i="28"/>
  <c r="M48" i="28"/>
  <c r="I48" i="28"/>
  <c r="Q47" i="28"/>
  <c r="M47" i="28"/>
  <c r="I47" i="28"/>
  <c r="Q46" i="28"/>
  <c r="M46" i="28"/>
  <c r="I46" i="28"/>
  <c r="Q45" i="28"/>
  <c r="M45" i="28"/>
  <c r="I45" i="28"/>
  <c r="Q44" i="28"/>
  <c r="M44" i="28"/>
  <c r="I44" i="28"/>
  <c r="Q43" i="28"/>
  <c r="M43" i="28"/>
  <c r="I43" i="28"/>
  <c r="Q42" i="28"/>
  <c r="M42" i="28"/>
  <c r="I42" i="28"/>
  <c r="Q41" i="28"/>
  <c r="M41" i="28"/>
  <c r="I41" i="28"/>
  <c r="Q40" i="28"/>
  <c r="M40" i="28"/>
  <c r="I40" i="28"/>
  <c r="Q39" i="28"/>
  <c r="M39" i="28"/>
  <c r="I39" i="28"/>
  <c r="G52" i="28"/>
  <c r="Q36" i="28"/>
  <c r="M36" i="28"/>
  <c r="I36" i="28"/>
  <c r="Q35" i="28"/>
  <c r="M35" i="28"/>
  <c r="I35" i="28"/>
  <c r="Q34" i="28"/>
  <c r="M34" i="28"/>
  <c r="I34" i="28"/>
  <c r="Q33" i="28"/>
  <c r="M33" i="28"/>
  <c r="I33" i="28"/>
  <c r="K30" i="28"/>
  <c r="T26" i="28"/>
  <c r="S26" i="28"/>
  <c r="R26" i="28"/>
  <c r="P26" i="28"/>
  <c r="O26" i="28"/>
  <c r="N26" i="28"/>
  <c r="L26" i="28"/>
  <c r="K26" i="28"/>
  <c r="J26" i="28"/>
  <c r="H26" i="28"/>
  <c r="G26" i="28"/>
  <c r="F26" i="28"/>
  <c r="Q25" i="28"/>
  <c r="M25" i="28"/>
  <c r="I25" i="28"/>
  <c r="Q24" i="28"/>
  <c r="M24" i="28"/>
  <c r="I24" i="28"/>
  <c r="Q23" i="28"/>
  <c r="M23" i="28"/>
  <c r="I23" i="28"/>
  <c r="Q22" i="28"/>
  <c r="M22" i="28"/>
  <c r="I22" i="28"/>
  <c r="Q21" i="28"/>
  <c r="M21" i="28"/>
  <c r="I21" i="28"/>
  <c r="Q20" i="28"/>
  <c r="M20" i="28"/>
  <c r="I20" i="28"/>
  <c r="Q19" i="28"/>
  <c r="M19" i="28"/>
  <c r="I19" i="28"/>
  <c r="Q18" i="28"/>
  <c r="M18" i="28"/>
  <c r="I18" i="28"/>
  <c r="Q17" i="28"/>
  <c r="M17" i="28"/>
  <c r="I17" i="28"/>
  <c r="Q16" i="28"/>
  <c r="M16" i="28"/>
  <c r="I16" i="28"/>
  <c r="T12" i="28"/>
  <c r="T29" i="28" s="1"/>
  <c r="S12" i="28"/>
  <c r="S29" i="28" s="1"/>
  <c r="R12" i="28"/>
  <c r="R30" i="28" s="1"/>
  <c r="P12" i="28"/>
  <c r="P30" i="28" s="1"/>
  <c r="O12" i="28"/>
  <c r="O29" i="28" s="1"/>
  <c r="N12" i="28"/>
  <c r="N29" i="28" s="1"/>
  <c r="L12" i="28"/>
  <c r="L29" i="28" s="1"/>
  <c r="K12" i="28"/>
  <c r="K29" i="28" s="1"/>
  <c r="J12" i="28"/>
  <c r="J30" i="28" s="1"/>
  <c r="H12" i="28"/>
  <c r="H30" i="28" s="1"/>
  <c r="G12" i="28"/>
  <c r="G29" i="28" s="1"/>
  <c r="F12" i="28"/>
  <c r="Q10" i="28"/>
  <c r="M10" i="28"/>
  <c r="I10" i="28"/>
  <c r="Q9" i="28"/>
  <c r="M9" i="28"/>
  <c r="I9" i="28"/>
  <c r="Q8" i="28"/>
  <c r="M8" i="28"/>
  <c r="I8" i="28"/>
  <c r="Q7" i="28"/>
  <c r="M7" i="28"/>
  <c r="I7" i="28"/>
  <c r="Q6" i="28"/>
  <c r="M6" i="28"/>
  <c r="I6" i="28"/>
  <c r="Q5" i="28"/>
  <c r="M5" i="28"/>
  <c r="I5" i="28"/>
  <c r="Q112" i="26"/>
  <c r="M112" i="26"/>
  <c r="I112" i="26"/>
  <c r="Q111" i="26"/>
  <c r="M111" i="26"/>
  <c r="I111" i="26"/>
  <c r="Q110" i="26"/>
  <c r="M110" i="26"/>
  <c r="I110" i="26"/>
  <c r="Q109" i="26"/>
  <c r="M109" i="26"/>
  <c r="I109" i="26"/>
  <c r="Q108" i="26"/>
  <c r="M108" i="26"/>
  <c r="I108" i="26"/>
  <c r="T106" i="26"/>
  <c r="S106" i="26"/>
  <c r="R106" i="26"/>
  <c r="P106" i="26"/>
  <c r="O106" i="26"/>
  <c r="N106" i="26"/>
  <c r="L106" i="26"/>
  <c r="K106" i="26"/>
  <c r="J106" i="26"/>
  <c r="H106" i="26"/>
  <c r="G106" i="26"/>
  <c r="F106" i="26"/>
  <c r="Q105" i="26"/>
  <c r="M105" i="26"/>
  <c r="I105" i="26"/>
  <c r="Q104" i="26"/>
  <c r="M104" i="26"/>
  <c r="I104" i="26"/>
  <c r="Q103" i="26"/>
  <c r="M103" i="26"/>
  <c r="I103" i="26"/>
  <c r="Q102" i="26"/>
  <c r="M102" i="26"/>
  <c r="I102" i="26"/>
  <c r="Q101" i="26"/>
  <c r="M101" i="26"/>
  <c r="I101" i="26"/>
  <c r="Q100" i="26"/>
  <c r="M100" i="26"/>
  <c r="I100" i="26"/>
  <c r="Q99" i="26"/>
  <c r="M99" i="26"/>
  <c r="I99" i="26"/>
  <c r="G97" i="26"/>
  <c r="F97" i="26"/>
  <c r="Q96" i="26"/>
  <c r="M96" i="26"/>
  <c r="I96" i="26"/>
  <c r="Q95" i="26"/>
  <c r="M95" i="26"/>
  <c r="I95" i="26"/>
  <c r="Q94" i="26"/>
  <c r="M94" i="26"/>
  <c r="I94" i="26"/>
  <c r="Q93" i="26"/>
  <c r="M93" i="26"/>
  <c r="I93" i="26"/>
  <c r="Q92" i="26"/>
  <c r="M92" i="26"/>
  <c r="I92" i="26"/>
  <c r="Q91" i="26"/>
  <c r="M91" i="26"/>
  <c r="I91" i="26"/>
  <c r="Q90" i="26"/>
  <c r="M90" i="26"/>
  <c r="I90" i="26"/>
  <c r="G88" i="26"/>
  <c r="F88" i="26"/>
  <c r="Q87" i="26"/>
  <c r="M87" i="26"/>
  <c r="I87" i="26"/>
  <c r="Q86" i="26"/>
  <c r="M86" i="26"/>
  <c r="I86" i="26"/>
  <c r="Q85" i="26"/>
  <c r="M85" i="26"/>
  <c r="I85" i="26"/>
  <c r="Q84" i="26"/>
  <c r="M84" i="26"/>
  <c r="I84" i="26"/>
  <c r="Q83" i="26"/>
  <c r="M83" i="26"/>
  <c r="I83" i="26"/>
  <c r="Q82" i="26"/>
  <c r="M82" i="26"/>
  <c r="I82" i="26"/>
  <c r="Q81" i="26"/>
  <c r="M81" i="26"/>
  <c r="I81" i="26"/>
  <c r="Q80" i="26"/>
  <c r="M80" i="26"/>
  <c r="I80" i="26"/>
  <c r="G76" i="26"/>
  <c r="F76" i="26"/>
  <c r="Q75" i="26"/>
  <c r="M75" i="26"/>
  <c r="I75" i="26"/>
  <c r="Q74" i="26"/>
  <c r="M74" i="26"/>
  <c r="I74" i="26"/>
  <c r="Q73" i="26"/>
  <c r="M73" i="26"/>
  <c r="I73" i="26"/>
  <c r="Q70" i="26"/>
  <c r="M70" i="26"/>
  <c r="I70" i="26"/>
  <c r="Q69" i="26"/>
  <c r="M69" i="26"/>
  <c r="I69" i="26"/>
  <c r="Q68" i="26"/>
  <c r="M68" i="26"/>
  <c r="I68" i="26"/>
  <c r="G66" i="26"/>
  <c r="F66" i="26"/>
  <c r="Q65" i="26"/>
  <c r="M65" i="26"/>
  <c r="I65" i="26"/>
  <c r="Q64" i="26"/>
  <c r="M64" i="26"/>
  <c r="I64" i="26"/>
  <c r="Q63" i="26"/>
  <c r="M63" i="26"/>
  <c r="I63" i="26"/>
  <c r="Q62" i="26"/>
  <c r="M62" i="26"/>
  <c r="I62" i="26"/>
  <c r="Q61" i="26"/>
  <c r="M61" i="26"/>
  <c r="I61" i="26"/>
  <c r="Q60" i="26"/>
  <c r="M60" i="26"/>
  <c r="I60" i="26"/>
  <c r="Q59" i="26"/>
  <c r="M59" i="26"/>
  <c r="I59" i="26"/>
  <c r="Q58" i="26"/>
  <c r="M58" i="26"/>
  <c r="I58" i="26"/>
  <c r="Q57" i="26"/>
  <c r="M57" i="26"/>
  <c r="I57" i="26"/>
  <c r="Q56" i="26"/>
  <c r="M56" i="26"/>
  <c r="I56" i="26"/>
  <c r="Q55" i="26"/>
  <c r="M55" i="26"/>
  <c r="I55" i="26"/>
  <c r="G51" i="26"/>
  <c r="F51" i="26"/>
  <c r="Q50" i="26"/>
  <c r="M50" i="26"/>
  <c r="I50" i="26"/>
  <c r="Q49" i="26"/>
  <c r="M49" i="26"/>
  <c r="I49" i="26"/>
  <c r="Q48" i="26"/>
  <c r="M48" i="26"/>
  <c r="I48" i="26"/>
  <c r="Q47" i="26"/>
  <c r="M47" i="26"/>
  <c r="I47" i="26"/>
  <c r="Q46" i="26"/>
  <c r="M46" i="26"/>
  <c r="I46" i="26"/>
  <c r="Q45" i="26"/>
  <c r="M45" i="26"/>
  <c r="I45" i="26"/>
  <c r="Q44" i="26"/>
  <c r="M44" i="26"/>
  <c r="I44" i="26"/>
  <c r="Q43" i="26"/>
  <c r="M43" i="26"/>
  <c r="I43" i="26"/>
  <c r="Q42" i="26"/>
  <c r="M42" i="26"/>
  <c r="I42" i="26"/>
  <c r="Q41" i="26"/>
  <c r="M41" i="26"/>
  <c r="I41" i="26"/>
  <c r="Q40" i="26"/>
  <c r="M40" i="26"/>
  <c r="I40" i="26"/>
  <c r="Q39" i="26"/>
  <c r="M39" i="26"/>
  <c r="I39" i="26"/>
  <c r="G52" i="26"/>
  <c r="Q36" i="26"/>
  <c r="M36" i="26"/>
  <c r="I36" i="26"/>
  <c r="Q35" i="26"/>
  <c r="M35" i="26"/>
  <c r="I35" i="26"/>
  <c r="Q34" i="26"/>
  <c r="M34" i="26"/>
  <c r="I34" i="26"/>
  <c r="Q33" i="26"/>
  <c r="M33" i="26"/>
  <c r="I33" i="26"/>
  <c r="T26" i="26"/>
  <c r="S26" i="26"/>
  <c r="R26" i="26"/>
  <c r="P26" i="26"/>
  <c r="O26" i="26"/>
  <c r="N26" i="26"/>
  <c r="L26" i="26"/>
  <c r="K26" i="26"/>
  <c r="J26" i="26"/>
  <c r="H26" i="26"/>
  <c r="G26" i="26"/>
  <c r="F26" i="26"/>
  <c r="Q25" i="26"/>
  <c r="M25" i="26"/>
  <c r="I25" i="26"/>
  <c r="Q24" i="26"/>
  <c r="M24" i="26"/>
  <c r="I24" i="26"/>
  <c r="Q23" i="26"/>
  <c r="M23" i="26"/>
  <c r="I23" i="26"/>
  <c r="Q22" i="26"/>
  <c r="M22" i="26"/>
  <c r="I22" i="26"/>
  <c r="Q21" i="26"/>
  <c r="M21" i="26"/>
  <c r="I21" i="26"/>
  <c r="Q20" i="26"/>
  <c r="M20" i="26"/>
  <c r="I20" i="26"/>
  <c r="Q19" i="26"/>
  <c r="M19" i="26"/>
  <c r="I19" i="26"/>
  <c r="Q18" i="26"/>
  <c r="M18" i="26"/>
  <c r="I18" i="26"/>
  <c r="Q17" i="26"/>
  <c r="M17" i="26"/>
  <c r="I17" i="26"/>
  <c r="Q16" i="26"/>
  <c r="M16" i="26"/>
  <c r="I16" i="26"/>
  <c r="T12" i="26"/>
  <c r="T29" i="26" s="1"/>
  <c r="S12" i="26"/>
  <c r="S30" i="26" s="1"/>
  <c r="R12" i="26"/>
  <c r="R30" i="26" s="1"/>
  <c r="P12" i="26"/>
  <c r="P29" i="26" s="1"/>
  <c r="O12" i="26"/>
  <c r="O29" i="26" s="1"/>
  <c r="N12" i="26"/>
  <c r="L12" i="26"/>
  <c r="K12" i="26"/>
  <c r="K29" i="26" s="1"/>
  <c r="J12" i="26"/>
  <c r="J30" i="26" s="1"/>
  <c r="H12" i="26"/>
  <c r="H30" i="26" s="1"/>
  <c r="G12" i="26"/>
  <c r="G30" i="26" s="1"/>
  <c r="F12" i="26"/>
  <c r="F29" i="26" s="1"/>
  <c r="Q10" i="26"/>
  <c r="M10" i="26"/>
  <c r="I10" i="26"/>
  <c r="Q9" i="26"/>
  <c r="M9" i="26"/>
  <c r="I9" i="26"/>
  <c r="Q8" i="26"/>
  <c r="M8" i="26"/>
  <c r="I8" i="26"/>
  <c r="Q7" i="26"/>
  <c r="M7" i="26"/>
  <c r="I7" i="26"/>
  <c r="Q6" i="26"/>
  <c r="M6" i="26"/>
  <c r="I6" i="26"/>
  <c r="Q5" i="26"/>
  <c r="M5" i="26"/>
  <c r="I5" i="26"/>
  <c r="Q112" i="31"/>
  <c r="M112" i="31"/>
  <c r="I112" i="31"/>
  <c r="Q111" i="31"/>
  <c r="M111" i="31"/>
  <c r="I111" i="31"/>
  <c r="Q110" i="31"/>
  <c r="M110" i="31"/>
  <c r="I110" i="31"/>
  <c r="Q109" i="31"/>
  <c r="M109" i="31"/>
  <c r="I109" i="31"/>
  <c r="Q108" i="31"/>
  <c r="M108" i="31"/>
  <c r="I108" i="31"/>
  <c r="T106" i="31"/>
  <c r="S106" i="31"/>
  <c r="R106" i="31"/>
  <c r="P106" i="31"/>
  <c r="O106" i="31"/>
  <c r="N106" i="31"/>
  <c r="L106" i="31"/>
  <c r="K106" i="31"/>
  <c r="J106" i="31"/>
  <c r="H106" i="31"/>
  <c r="G106" i="31"/>
  <c r="F106" i="31"/>
  <c r="Q105" i="31"/>
  <c r="M105" i="31"/>
  <c r="I105" i="31"/>
  <c r="Q104" i="31"/>
  <c r="M104" i="31"/>
  <c r="I104" i="31"/>
  <c r="Q103" i="31"/>
  <c r="M103" i="31"/>
  <c r="I103" i="31"/>
  <c r="Q102" i="31"/>
  <c r="M102" i="31"/>
  <c r="I102" i="31"/>
  <c r="Q101" i="31"/>
  <c r="M101" i="31"/>
  <c r="I101" i="31"/>
  <c r="Q100" i="31"/>
  <c r="M100" i="31"/>
  <c r="I100" i="31"/>
  <c r="Q99" i="31"/>
  <c r="M99" i="31"/>
  <c r="I99" i="31"/>
  <c r="G97" i="31"/>
  <c r="F97" i="31"/>
  <c r="Q96" i="31"/>
  <c r="M96" i="31"/>
  <c r="I96" i="31"/>
  <c r="Q95" i="31"/>
  <c r="M95" i="31"/>
  <c r="I95" i="31"/>
  <c r="Q94" i="31"/>
  <c r="M94" i="31"/>
  <c r="I94" i="31"/>
  <c r="Q93" i="31"/>
  <c r="M93" i="31"/>
  <c r="I93" i="31"/>
  <c r="Q92" i="31"/>
  <c r="M92" i="31"/>
  <c r="I92" i="31"/>
  <c r="Q91" i="31"/>
  <c r="M91" i="31"/>
  <c r="I91" i="31"/>
  <c r="Q90" i="31"/>
  <c r="M90" i="31"/>
  <c r="I90" i="31"/>
  <c r="G88" i="31"/>
  <c r="F88" i="31"/>
  <c r="Q87" i="31"/>
  <c r="M87" i="31"/>
  <c r="I87" i="31"/>
  <c r="Q86" i="31"/>
  <c r="M86" i="31"/>
  <c r="I86" i="31"/>
  <c r="Q85" i="31"/>
  <c r="M85" i="31"/>
  <c r="I85" i="31"/>
  <c r="Q84" i="31"/>
  <c r="M84" i="31"/>
  <c r="I84" i="31"/>
  <c r="Q83" i="31"/>
  <c r="M83" i="31"/>
  <c r="I83" i="31"/>
  <c r="Q82" i="31"/>
  <c r="M82" i="31"/>
  <c r="I82" i="31"/>
  <c r="Q81" i="31"/>
  <c r="M81" i="31"/>
  <c r="I81" i="31"/>
  <c r="Q80" i="31"/>
  <c r="M80" i="31"/>
  <c r="I80" i="31"/>
  <c r="G76" i="31"/>
  <c r="F76" i="31"/>
  <c r="Q75" i="31"/>
  <c r="M75" i="31"/>
  <c r="I75" i="31"/>
  <c r="Q74" i="31"/>
  <c r="M74" i="31"/>
  <c r="I74" i="31"/>
  <c r="Q73" i="31"/>
  <c r="M73" i="31"/>
  <c r="I73" i="31"/>
  <c r="Q70" i="31"/>
  <c r="M70" i="31"/>
  <c r="I70" i="31"/>
  <c r="Q69" i="31"/>
  <c r="M69" i="31"/>
  <c r="I69" i="31"/>
  <c r="Q68" i="31"/>
  <c r="M68" i="31"/>
  <c r="I68" i="31"/>
  <c r="I71" i="31" s="1"/>
  <c r="G66" i="31"/>
  <c r="F66" i="31"/>
  <c r="Q65" i="31"/>
  <c r="M65" i="31"/>
  <c r="I65" i="31"/>
  <c r="Q64" i="31"/>
  <c r="M64" i="31"/>
  <c r="I64" i="31"/>
  <c r="Q63" i="31"/>
  <c r="M63" i="31"/>
  <c r="I63" i="31"/>
  <c r="Q62" i="31"/>
  <c r="M62" i="31"/>
  <c r="I62" i="31"/>
  <c r="Q61" i="31"/>
  <c r="M61" i="31"/>
  <c r="I61" i="31"/>
  <c r="Q60" i="31"/>
  <c r="M60" i="31"/>
  <c r="I60" i="31"/>
  <c r="Q59" i="31"/>
  <c r="M59" i="31"/>
  <c r="I59" i="31"/>
  <c r="Q58" i="31"/>
  <c r="M58" i="31"/>
  <c r="I58" i="31"/>
  <c r="Q57" i="31"/>
  <c r="M57" i="31"/>
  <c r="I57" i="31"/>
  <c r="Q56" i="31"/>
  <c r="M56" i="31"/>
  <c r="I56" i="31"/>
  <c r="Q55" i="31"/>
  <c r="M55" i="31"/>
  <c r="I55" i="31"/>
  <c r="G51" i="31"/>
  <c r="G52" i="31" s="1"/>
  <c r="F51" i="31"/>
  <c r="Q50" i="31"/>
  <c r="M50" i="31"/>
  <c r="I50" i="31"/>
  <c r="Q49" i="31"/>
  <c r="M49" i="31"/>
  <c r="I49" i="31"/>
  <c r="Q48" i="31"/>
  <c r="M48" i="31"/>
  <c r="I48" i="31"/>
  <c r="Q47" i="31"/>
  <c r="M47" i="31"/>
  <c r="I47" i="31"/>
  <c r="Q46" i="31"/>
  <c r="M46" i="31"/>
  <c r="I46" i="31"/>
  <c r="Q45" i="31"/>
  <c r="M45" i="31"/>
  <c r="I45" i="31"/>
  <c r="Q44" i="31"/>
  <c r="M44" i="31"/>
  <c r="I44" i="31"/>
  <c r="Q43" i="31"/>
  <c r="M43" i="31"/>
  <c r="I43" i="31"/>
  <c r="Q42" i="31"/>
  <c r="M42" i="31"/>
  <c r="I42" i="31"/>
  <c r="Q41" i="31"/>
  <c r="M41" i="31"/>
  <c r="I41" i="31"/>
  <c r="Q40" i="31"/>
  <c r="M40" i="31"/>
  <c r="I40" i="31"/>
  <c r="Q39" i="31"/>
  <c r="M39" i="31"/>
  <c r="I39" i="31"/>
  <c r="S118" i="31"/>
  <c r="R118" i="31"/>
  <c r="R119" i="31" s="1"/>
  <c r="R120" i="31" s="1"/>
  <c r="F37" i="31"/>
  <c r="Q36" i="31"/>
  <c r="M36" i="31"/>
  <c r="I36" i="31"/>
  <c r="Q35" i="31"/>
  <c r="M35" i="31"/>
  <c r="I35" i="31"/>
  <c r="Q34" i="31"/>
  <c r="M34" i="31"/>
  <c r="I34" i="31"/>
  <c r="Q33" i="31"/>
  <c r="M33" i="31"/>
  <c r="I33" i="31"/>
  <c r="T26" i="31"/>
  <c r="S26" i="31"/>
  <c r="R26" i="31"/>
  <c r="P26" i="31"/>
  <c r="O26" i="31"/>
  <c r="N26" i="31"/>
  <c r="L26" i="31"/>
  <c r="K26" i="31"/>
  <c r="J26" i="31"/>
  <c r="H26" i="31"/>
  <c r="G26" i="31"/>
  <c r="F26" i="31"/>
  <c r="Q25" i="31"/>
  <c r="M25" i="31"/>
  <c r="I25" i="31"/>
  <c r="Q24" i="31"/>
  <c r="M24" i="31"/>
  <c r="I24" i="31"/>
  <c r="Q23" i="31"/>
  <c r="M23" i="31"/>
  <c r="I23" i="31"/>
  <c r="Q22" i="31"/>
  <c r="M22" i="31"/>
  <c r="I22" i="31"/>
  <c r="Q21" i="31"/>
  <c r="M21" i="31"/>
  <c r="I21" i="31"/>
  <c r="Q20" i="31"/>
  <c r="M20" i="31"/>
  <c r="I20" i="31"/>
  <c r="Q19" i="31"/>
  <c r="M19" i="31"/>
  <c r="I19" i="31"/>
  <c r="Q18" i="31"/>
  <c r="M18" i="31"/>
  <c r="I18" i="31"/>
  <c r="Q17" i="31"/>
  <c r="M17" i="31"/>
  <c r="I17" i="31"/>
  <c r="Q16" i="31"/>
  <c r="M16" i="31"/>
  <c r="I16" i="31"/>
  <c r="T12" i="31"/>
  <c r="S12" i="31"/>
  <c r="R12" i="31"/>
  <c r="R30" i="31" s="1"/>
  <c r="P12" i="31"/>
  <c r="P30" i="31" s="1"/>
  <c r="O12" i="31"/>
  <c r="O29" i="31" s="1"/>
  <c r="N12" i="31"/>
  <c r="N29" i="31" s="1"/>
  <c r="L12" i="31"/>
  <c r="L29" i="31" s="1"/>
  <c r="K12" i="31"/>
  <c r="K30" i="31" s="1"/>
  <c r="J12" i="31"/>
  <c r="J30" i="31" s="1"/>
  <c r="H12" i="31"/>
  <c r="H30" i="31" s="1"/>
  <c r="G12" i="31"/>
  <c r="F12" i="31"/>
  <c r="Q10" i="31"/>
  <c r="M10" i="31"/>
  <c r="I10" i="31"/>
  <c r="Q9" i="31"/>
  <c r="M9" i="31"/>
  <c r="I9" i="31"/>
  <c r="Q8" i="31"/>
  <c r="M8" i="31"/>
  <c r="I8" i="31"/>
  <c r="Q7" i="31"/>
  <c r="M7" i="31"/>
  <c r="I7" i="31"/>
  <c r="Q6" i="31"/>
  <c r="M6" i="31"/>
  <c r="I6" i="31"/>
  <c r="Q5" i="31"/>
  <c r="M5" i="31"/>
  <c r="I5" i="31"/>
  <c r="Q112" i="25"/>
  <c r="M112" i="25"/>
  <c r="I112" i="25"/>
  <c r="Q111" i="25"/>
  <c r="M111" i="25"/>
  <c r="I111" i="25"/>
  <c r="Q110" i="25"/>
  <c r="M110" i="25"/>
  <c r="I110" i="25"/>
  <c r="Q109" i="25"/>
  <c r="M109" i="25"/>
  <c r="I109" i="25"/>
  <c r="Q108" i="25"/>
  <c r="M108" i="25"/>
  <c r="I108" i="25"/>
  <c r="T106" i="25"/>
  <c r="S106" i="25"/>
  <c r="R106" i="25"/>
  <c r="P106" i="25"/>
  <c r="O106" i="25"/>
  <c r="N106" i="25"/>
  <c r="L106" i="25"/>
  <c r="K106" i="25"/>
  <c r="J106" i="25"/>
  <c r="H106" i="25"/>
  <c r="G106" i="25"/>
  <c r="F106" i="25"/>
  <c r="Q105" i="25"/>
  <c r="M105" i="25"/>
  <c r="I105" i="25"/>
  <c r="Q104" i="25"/>
  <c r="M104" i="25"/>
  <c r="I104" i="25"/>
  <c r="Q103" i="25"/>
  <c r="M103" i="25"/>
  <c r="I103" i="25"/>
  <c r="Q102" i="25"/>
  <c r="M102" i="25"/>
  <c r="I102" i="25"/>
  <c r="Q101" i="25"/>
  <c r="M101" i="25"/>
  <c r="I101" i="25"/>
  <c r="Q100" i="25"/>
  <c r="M100" i="25"/>
  <c r="I100" i="25"/>
  <c r="Q99" i="25"/>
  <c r="M99" i="25"/>
  <c r="I99" i="25"/>
  <c r="G97" i="25"/>
  <c r="F97" i="25"/>
  <c r="Q96" i="25"/>
  <c r="M96" i="25"/>
  <c r="I96" i="25"/>
  <c r="Q95" i="25"/>
  <c r="M95" i="25"/>
  <c r="I95" i="25"/>
  <c r="Q94" i="25"/>
  <c r="M94" i="25"/>
  <c r="I94" i="25"/>
  <c r="Q93" i="25"/>
  <c r="M93" i="25"/>
  <c r="I93" i="25"/>
  <c r="Q92" i="25"/>
  <c r="M92" i="25"/>
  <c r="I92" i="25"/>
  <c r="Q91" i="25"/>
  <c r="M91" i="25"/>
  <c r="I91" i="25"/>
  <c r="Q90" i="25"/>
  <c r="M90" i="25"/>
  <c r="I90" i="25"/>
  <c r="G88" i="25"/>
  <c r="F88" i="25"/>
  <c r="Q87" i="25"/>
  <c r="M87" i="25"/>
  <c r="I87" i="25"/>
  <c r="Q86" i="25"/>
  <c r="M86" i="25"/>
  <c r="I86" i="25"/>
  <c r="Q85" i="25"/>
  <c r="M85" i="25"/>
  <c r="I85" i="25"/>
  <c r="Q84" i="25"/>
  <c r="M84" i="25"/>
  <c r="I84" i="25"/>
  <c r="Q83" i="25"/>
  <c r="M83" i="25"/>
  <c r="I83" i="25"/>
  <c r="Q82" i="25"/>
  <c r="M82" i="25"/>
  <c r="I82" i="25"/>
  <c r="Q81" i="25"/>
  <c r="M81" i="25"/>
  <c r="I81" i="25"/>
  <c r="Q80" i="25"/>
  <c r="M80" i="25"/>
  <c r="I80" i="25"/>
  <c r="G76" i="25"/>
  <c r="F76" i="25"/>
  <c r="Q75" i="25"/>
  <c r="M75" i="25"/>
  <c r="I75" i="25"/>
  <c r="Q74" i="25"/>
  <c r="M74" i="25"/>
  <c r="I74" i="25"/>
  <c r="Q73" i="25"/>
  <c r="M73" i="25"/>
  <c r="I73" i="25"/>
  <c r="Q70" i="25"/>
  <c r="M70" i="25"/>
  <c r="I70" i="25"/>
  <c r="Q69" i="25"/>
  <c r="M69" i="25"/>
  <c r="I69" i="25"/>
  <c r="Q68" i="25"/>
  <c r="M68" i="25"/>
  <c r="I68" i="25"/>
  <c r="G66" i="25"/>
  <c r="F66" i="25"/>
  <c r="Q65" i="25"/>
  <c r="M65" i="25"/>
  <c r="I65" i="25"/>
  <c r="Q64" i="25"/>
  <c r="M64" i="25"/>
  <c r="I64" i="25"/>
  <c r="Q63" i="25"/>
  <c r="M63" i="25"/>
  <c r="I63" i="25"/>
  <c r="Q62" i="25"/>
  <c r="M62" i="25"/>
  <c r="I62" i="25"/>
  <c r="Q61" i="25"/>
  <c r="M61" i="25"/>
  <c r="I61" i="25"/>
  <c r="Q60" i="25"/>
  <c r="M60" i="25"/>
  <c r="I60" i="25"/>
  <c r="Q59" i="25"/>
  <c r="M59" i="25"/>
  <c r="I59" i="25"/>
  <c r="Q58" i="25"/>
  <c r="M58" i="25"/>
  <c r="I58" i="25"/>
  <c r="Q57" i="25"/>
  <c r="M57" i="25"/>
  <c r="I57" i="25"/>
  <c r="Q56" i="25"/>
  <c r="M56" i="25"/>
  <c r="I56" i="25"/>
  <c r="Q55" i="25"/>
  <c r="M55" i="25"/>
  <c r="I55" i="25"/>
  <c r="G51" i="25"/>
  <c r="F51" i="25"/>
  <c r="Q50" i="25"/>
  <c r="M50" i="25"/>
  <c r="I50" i="25"/>
  <c r="Q49" i="25"/>
  <c r="M49" i="25"/>
  <c r="I49" i="25"/>
  <c r="Q48" i="25"/>
  <c r="M48" i="25"/>
  <c r="I48" i="25"/>
  <c r="Q47" i="25"/>
  <c r="M47" i="25"/>
  <c r="I47" i="25"/>
  <c r="Q46" i="25"/>
  <c r="M46" i="25"/>
  <c r="I46" i="25"/>
  <c r="Q45" i="25"/>
  <c r="M45" i="25"/>
  <c r="I45" i="25"/>
  <c r="Q44" i="25"/>
  <c r="M44" i="25"/>
  <c r="I44" i="25"/>
  <c r="Q43" i="25"/>
  <c r="M43" i="25"/>
  <c r="I43" i="25"/>
  <c r="Q42" i="25"/>
  <c r="M42" i="25"/>
  <c r="I42" i="25"/>
  <c r="Q41" i="25"/>
  <c r="M41" i="25"/>
  <c r="I41" i="25"/>
  <c r="Q40" i="25"/>
  <c r="M40" i="25"/>
  <c r="I40" i="25"/>
  <c r="Q39" i="25"/>
  <c r="M39" i="25"/>
  <c r="I39" i="25"/>
  <c r="G52" i="25"/>
  <c r="G77" i="25" s="1"/>
  <c r="G122" i="25" s="1"/>
  <c r="F37" i="25"/>
  <c r="Q36" i="25"/>
  <c r="M36" i="25"/>
  <c r="I36" i="25"/>
  <c r="Q35" i="25"/>
  <c r="M35" i="25"/>
  <c r="I35" i="25"/>
  <c r="Q34" i="25"/>
  <c r="M34" i="25"/>
  <c r="I34" i="25"/>
  <c r="Q33" i="25"/>
  <c r="M33" i="25"/>
  <c r="I33" i="25"/>
  <c r="S14" i="39"/>
  <c r="R14" i="39"/>
  <c r="Q14" i="39"/>
  <c r="O14" i="39"/>
  <c r="N14" i="39"/>
  <c r="M14" i="39"/>
  <c r="K14" i="39"/>
  <c r="J14" i="39"/>
  <c r="I14" i="39"/>
  <c r="L14" i="39" s="1"/>
  <c r="E18" i="56" s="1"/>
  <c r="G14" i="39"/>
  <c r="G26" i="25"/>
  <c r="F14" i="39" s="1"/>
  <c r="F26" i="25"/>
  <c r="E14" i="39" s="1"/>
  <c r="Q25" i="25"/>
  <c r="M25" i="25"/>
  <c r="I25" i="25"/>
  <c r="Q24" i="25"/>
  <c r="M24" i="25"/>
  <c r="I24" i="25"/>
  <c r="Q23" i="25"/>
  <c r="M23" i="25"/>
  <c r="I23" i="25"/>
  <c r="Q22" i="25"/>
  <c r="M22" i="25"/>
  <c r="I22" i="25"/>
  <c r="Q21" i="25"/>
  <c r="M21" i="25"/>
  <c r="I21" i="25"/>
  <c r="Q20" i="25"/>
  <c r="M20" i="25"/>
  <c r="I20" i="25"/>
  <c r="Q19" i="25"/>
  <c r="M19" i="25"/>
  <c r="I19" i="25"/>
  <c r="Q18" i="25"/>
  <c r="M18" i="25"/>
  <c r="I18" i="25"/>
  <c r="Q17" i="25"/>
  <c r="M17" i="25"/>
  <c r="I17" i="25"/>
  <c r="Q16" i="25"/>
  <c r="M16" i="25"/>
  <c r="I16" i="25"/>
  <c r="S7" i="39"/>
  <c r="M7" i="39"/>
  <c r="K7" i="39"/>
  <c r="G12" i="25"/>
  <c r="F12" i="25"/>
  <c r="Q10" i="25"/>
  <c r="M10" i="25"/>
  <c r="I10" i="25"/>
  <c r="Q9" i="25"/>
  <c r="M9" i="25"/>
  <c r="I9" i="25"/>
  <c r="Q8" i="25"/>
  <c r="M8" i="25"/>
  <c r="I8" i="25"/>
  <c r="Q7" i="25"/>
  <c r="M7" i="25"/>
  <c r="I7" i="25"/>
  <c r="Q6" i="25"/>
  <c r="M6" i="25"/>
  <c r="I6" i="25"/>
  <c r="Q5" i="25"/>
  <c r="M5" i="25"/>
  <c r="I5" i="25"/>
  <c r="Q112" i="24"/>
  <c r="M112" i="24"/>
  <c r="I112" i="24"/>
  <c r="Q111" i="24"/>
  <c r="M111" i="24"/>
  <c r="I111" i="24"/>
  <c r="Q110" i="24"/>
  <c r="M110" i="24"/>
  <c r="I110" i="24"/>
  <c r="Q109" i="24"/>
  <c r="M109" i="24"/>
  <c r="I109" i="24"/>
  <c r="Q108" i="24"/>
  <c r="M108" i="24"/>
  <c r="I108" i="24"/>
  <c r="F106" i="24"/>
  <c r="Q105" i="24"/>
  <c r="M105" i="24"/>
  <c r="I105" i="24"/>
  <c r="Q104" i="24"/>
  <c r="M104" i="24"/>
  <c r="I104" i="24"/>
  <c r="Q103" i="24"/>
  <c r="M103" i="24"/>
  <c r="I103" i="24"/>
  <c r="Q102" i="24"/>
  <c r="M102" i="24"/>
  <c r="I102" i="24"/>
  <c r="Q101" i="24"/>
  <c r="M101" i="24"/>
  <c r="I101" i="24"/>
  <c r="Q100" i="24"/>
  <c r="M100" i="24"/>
  <c r="I100" i="24"/>
  <c r="Q99" i="24"/>
  <c r="M99" i="24"/>
  <c r="I99" i="24"/>
  <c r="F97" i="24"/>
  <c r="Q96" i="24"/>
  <c r="M96" i="24"/>
  <c r="I96" i="24"/>
  <c r="Q95" i="24"/>
  <c r="M95" i="24"/>
  <c r="I95" i="24"/>
  <c r="Q94" i="24"/>
  <c r="M94" i="24"/>
  <c r="I94" i="24"/>
  <c r="Q93" i="24"/>
  <c r="M93" i="24"/>
  <c r="I93" i="24"/>
  <c r="Q92" i="24"/>
  <c r="M92" i="24"/>
  <c r="I92" i="24"/>
  <c r="Q91" i="24"/>
  <c r="M91" i="24"/>
  <c r="I91" i="24"/>
  <c r="Q90" i="24"/>
  <c r="M90" i="24"/>
  <c r="I90" i="24"/>
  <c r="F88" i="24"/>
  <c r="Q87" i="24"/>
  <c r="M87" i="24"/>
  <c r="I87" i="24"/>
  <c r="Q86" i="24"/>
  <c r="M86" i="24"/>
  <c r="I86" i="24"/>
  <c r="Q85" i="24"/>
  <c r="M85" i="24"/>
  <c r="I85" i="24"/>
  <c r="Q84" i="24"/>
  <c r="M84" i="24"/>
  <c r="I84" i="24"/>
  <c r="Q83" i="24"/>
  <c r="M83" i="24"/>
  <c r="I83" i="24"/>
  <c r="Q82" i="24"/>
  <c r="M82" i="24"/>
  <c r="I82" i="24"/>
  <c r="Q81" i="24"/>
  <c r="M81" i="24"/>
  <c r="I81" i="24"/>
  <c r="Q80" i="24"/>
  <c r="M80" i="24"/>
  <c r="I80" i="24"/>
  <c r="F76" i="24"/>
  <c r="Q75" i="24"/>
  <c r="M75" i="24"/>
  <c r="I75" i="24"/>
  <c r="Q74" i="24"/>
  <c r="M74" i="24"/>
  <c r="I74" i="24"/>
  <c r="Q73" i="24"/>
  <c r="M73" i="24"/>
  <c r="I73" i="24"/>
  <c r="Q70" i="24"/>
  <c r="M70" i="24"/>
  <c r="I70" i="24"/>
  <c r="Q69" i="24"/>
  <c r="M69" i="24"/>
  <c r="I69" i="24"/>
  <c r="Q68" i="24"/>
  <c r="M68" i="24"/>
  <c r="I68" i="24"/>
  <c r="F66" i="24"/>
  <c r="Q65" i="24"/>
  <c r="M65" i="24"/>
  <c r="I65" i="24"/>
  <c r="Q64" i="24"/>
  <c r="M64" i="24"/>
  <c r="I64" i="24"/>
  <c r="Q63" i="24"/>
  <c r="M63" i="24"/>
  <c r="I63" i="24"/>
  <c r="Q62" i="24"/>
  <c r="M62" i="24"/>
  <c r="I62" i="24"/>
  <c r="Q61" i="24"/>
  <c r="M61" i="24"/>
  <c r="I61" i="24"/>
  <c r="Q60" i="24"/>
  <c r="M60" i="24"/>
  <c r="I60" i="24"/>
  <c r="Q59" i="24"/>
  <c r="M59" i="24"/>
  <c r="I59" i="24"/>
  <c r="Q58" i="24"/>
  <c r="M58" i="24"/>
  <c r="I58" i="24"/>
  <c r="Q57" i="24"/>
  <c r="M57" i="24"/>
  <c r="I57" i="24"/>
  <c r="Q56" i="24"/>
  <c r="M56" i="24"/>
  <c r="I56" i="24"/>
  <c r="Q55" i="24"/>
  <c r="M55" i="24"/>
  <c r="I55" i="24"/>
  <c r="F51" i="24"/>
  <c r="Q50" i="24"/>
  <c r="M50" i="24"/>
  <c r="I50" i="24"/>
  <c r="Q49" i="24"/>
  <c r="M49" i="24"/>
  <c r="I49" i="24"/>
  <c r="Q48" i="24"/>
  <c r="M48" i="24"/>
  <c r="I48" i="24"/>
  <c r="Q47" i="24"/>
  <c r="M47" i="24"/>
  <c r="I47" i="24"/>
  <c r="Q46" i="24"/>
  <c r="M46" i="24"/>
  <c r="I46" i="24"/>
  <c r="Q45" i="24"/>
  <c r="M45" i="24"/>
  <c r="I45" i="24"/>
  <c r="Q44" i="24"/>
  <c r="M44" i="24"/>
  <c r="I44" i="24"/>
  <c r="Q43" i="24"/>
  <c r="M43" i="24"/>
  <c r="I43" i="24"/>
  <c r="Q42" i="24"/>
  <c r="M42" i="24"/>
  <c r="Q41" i="24"/>
  <c r="M41" i="24"/>
  <c r="Q40" i="24"/>
  <c r="M40" i="24"/>
  <c r="Q39" i="24"/>
  <c r="M39" i="24"/>
  <c r="F37" i="24"/>
  <c r="Q36" i="24"/>
  <c r="M36" i="24"/>
  <c r="Q35" i="24"/>
  <c r="M35" i="24"/>
  <c r="Q34" i="24"/>
  <c r="M34" i="24"/>
  <c r="Q33" i="24"/>
  <c r="M33" i="24"/>
  <c r="S10" i="39"/>
  <c r="R10" i="39"/>
  <c r="Q10" i="39"/>
  <c r="O10" i="39"/>
  <c r="N10" i="39"/>
  <c r="M10" i="39"/>
  <c r="K10" i="39"/>
  <c r="J10" i="39"/>
  <c r="I10" i="39"/>
  <c r="G10" i="39"/>
  <c r="F10" i="39"/>
  <c r="F26" i="24"/>
  <c r="E10" i="39" s="1"/>
  <c r="Q25" i="24"/>
  <c r="M25" i="24"/>
  <c r="I25" i="24"/>
  <c r="Q24" i="24"/>
  <c r="M24" i="24"/>
  <c r="I24" i="24"/>
  <c r="Q23" i="24"/>
  <c r="M23" i="24"/>
  <c r="I23" i="24"/>
  <c r="Q22" i="24"/>
  <c r="M22" i="24"/>
  <c r="I22" i="24"/>
  <c r="Q21" i="24"/>
  <c r="M21" i="24"/>
  <c r="I21" i="24"/>
  <c r="Q20" i="24"/>
  <c r="M20" i="24"/>
  <c r="I20" i="24"/>
  <c r="Q19" i="24"/>
  <c r="M19" i="24"/>
  <c r="I19" i="24"/>
  <c r="Q18" i="24"/>
  <c r="M18" i="24"/>
  <c r="I18" i="24"/>
  <c r="Q17" i="24"/>
  <c r="M17" i="24"/>
  <c r="I17" i="24"/>
  <c r="Q16" i="24"/>
  <c r="M16" i="24"/>
  <c r="I16" i="24"/>
  <c r="G3" i="39"/>
  <c r="F3" i="39"/>
  <c r="F12" i="24"/>
  <c r="E3" i="39" s="1"/>
  <c r="Q10" i="24"/>
  <c r="M10" i="24"/>
  <c r="I10" i="24"/>
  <c r="Q9" i="24"/>
  <c r="M9" i="24"/>
  <c r="I9" i="24"/>
  <c r="Q8" i="24"/>
  <c r="M8" i="24"/>
  <c r="I8" i="24"/>
  <c r="Q7" i="24"/>
  <c r="M7" i="24"/>
  <c r="I7" i="24"/>
  <c r="Q6" i="24"/>
  <c r="M6" i="24"/>
  <c r="I6" i="24"/>
  <c r="Q5" i="24"/>
  <c r="M5" i="24"/>
  <c r="I5" i="24"/>
  <c r="Q112" i="41"/>
  <c r="M112" i="41"/>
  <c r="I112" i="41"/>
  <c r="Q111" i="41"/>
  <c r="M111" i="41"/>
  <c r="I111" i="41"/>
  <c r="Q110" i="41"/>
  <c r="M110" i="41"/>
  <c r="I110" i="41"/>
  <c r="Q109" i="41"/>
  <c r="M109" i="41"/>
  <c r="I109" i="41"/>
  <c r="Q108" i="41"/>
  <c r="M108" i="41"/>
  <c r="I108" i="41"/>
  <c r="T106" i="41"/>
  <c r="S106" i="41"/>
  <c r="R106" i="41"/>
  <c r="P106" i="41"/>
  <c r="O106" i="41"/>
  <c r="N106" i="41"/>
  <c r="L106" i="41"/>
  <c r="K106" i="41"/>
  <c r="J106" i="41"/>
  <c r="G106" i="41"/>
  <c r="F106" i="41"/>
  <c r="Q105" i="41"/>
  <c r="M105" i="41"/>
  <c r="I105" i="41"/>
  <c r="Q104" i="41"/>
  <c r="M104" i="41"/>
  <c r="I104" i="41"/>
  <c r="Q103" i="41"/>
  <c r="M103" i="41"/>
  <c r="I103" i="41"/>
  <c r="Q102" i="41"/>
  <c r="M102" i="41"/>
  <c r="I102" i="41"/>
  <c r="Q101" i="41"/>
  <c r="M101" i="41"/>
  <c r="I101" i="41"/>
  <c r="Q100" i="41"/>
  <c r="M100" i="41"/>
  <c r="I100" i="41"/>
  <c r="Q99" i="41"/>
  <c r="M99" i="41"/>
  <c r="I99" i="41"/>
  <c r="G97" i="41"/>
  <c r="F97" i="41"/>
  <c r="Q96" i="41"/>
  <c r="M96" i="41"/>
  <c r="I96" i="41"/>
  <c r="Q95" i="41"/>
  <c r="M95" i="41"/>
  <c r="I95" i="41"/>
  <c r="Q94" i="41"/>
  <c r="M94" i="41"/>
  <c r="I94" i="41"/>
  <c r="Q93" i="41"/>
  <c r="M93" i="41"/>
  <c r="I93" i="41"/>
  <c r="Q92" i="41"/>
  <c r="M92" i="41"/>
  <c r="I92" i="41"/>
  <c r="Q91" i="41"/>
  <c r="M91" i="41"/>
  <c r="I91" i="41"/>
  <c r="Q90" i="41"/>
  <c r="M90" i="41"/>
  <c r="I90" i="41"/>
  <c r="G88" i="41"/>
  <c r="F88" i="41"/>
  <c r="Q87" i="41"/>
  <c r="M87" i="41"/>
  <c r="I87" i="41"/>
  <c r="Q86" i="41"/>
  <c r="M86" i="41"/>
  <c r="I86" i="41"/>
  <c r="Q85" i="41"/>
  <c r="M85" i="41"/>
  <c r="I85" i="41"/>
  <c r="Q84" i="41"/>
  <c r="M84" i="41"/>
  <c r="I84" i="41"/>
  <c r="Q83" i="41"/>
  <c r="M83" i="41"/>
  <c r="I83" i="41"/>
  <c r="Q82" i="41"/>
  <c r="M82" i="41"/>
  <c r="I82" i="41"/>
  <c r="Q81" i="41"/>
  <c r="M81" i="41"/>
  <c r="I81" i="41"/>
  <c r="Q80" i="41"/>
  <c r="M80" i="41"/>
  <c r="I80" i="41"/>
  <c r="G76" i="41"/>
  <c r="F76" i="41"/>
  <c r="Q75" i="41"/>
  <c r="M75" i="41"/>
  <c r="I75" i="41"/>
  <c r="Q74" i="41"/>
  <c r="M74" i="41"/>
  <c r="I74" i="41"/>
  <c r="Q73" i="41"/>
  <c r="M73" i="41"/>
  <c r="I73" i="41"/>
  <c r="Q70" i="41"/>
  <c r="M70" i="41"/>
  <c r="I70" i="41"/>
  <c r="Q69" i="41"/>
  <c r="M69" i="41"/>
  <c r="I69" i="41"/>
  <c r="Q68" i="41"/>
  <c r="M68" i="41"/>
  <c r="I68" i="41"/>
  <c r="G66" i="41"/>
  <c r="F66" i="41"/>
  <c r="Q65" i="41"/>
  <c r="M65" i="41"/>
  <c r="I65" i="41"/>
  <c r="Q64" i="41"/>
  <c r="M64" i="41"/>
  <c r="I64" i="41"/>
  <c r="Q63" i="41"/>
  <c r="M63" i="41"/>
  <c r="I63" i="41"/>
  <c r="Q62" i="41"/>
  <c r="M62" i="41"/>
  <c r="I62" i="41"/>
  <c r="Q61" i="41"/>
  <c r="M61" i="41"/>
  <c r="I61" i="41"/>
  <c r="Q60" i="41"/>
  <c r="M60" i="41"/>
  <c r="I60" i="41"/>
  <c r="Q59" i="41"/>
  <c r="M59" i="41"/>
  <c r="I59" i="41"/>
  <c r="Q58" i="41"/>
  <c r="M58" i="41"/>
  <c r="I58" i="41"/>
  <c r="Q57" i="41"/>
  <c r="M57" i="41"/>
  <c r="I57" i="41"/>
  <c r="Q56" i="41"/>
  <c r="M56" i="41"/>
  <c r="I56" i="41"/>
  <c r="Q55" i="41"/>
  <c r="M55" i="41"/>
  <c r="I55" i="41"/>
  <c r="G51" i="41"/>
  <c r="F51" i="41"/>
  <c r="Q50" i="41"/>
  <c r="M50" i="41"/>
  <c r="I50" i="41"/>
  <c r="Q49" i="41"/>
  <c r="M49" i="41"/>
  <c r="I49" i="41"/>
  <c r="Q48" i="41"/>
  <c r="M48" i="41"/>
  <c r="I48" i="41"/>
  <c r="Q47" i="41"/>
  <c r="M47" i="41"/>
  <c r="I47" i="41"/>
  <c r="Q46" i="41"/>
  <c r="M46" i="41"/>
  <c r="I46" i="41"/>
  <c r="Q45" i="41"/>
  <c r="M45" i="41"/>
  <c r="I45" i="41"/>
  <c r="Q44" i="41"/>
  <c r="M44" i="41"/>
  <c r="I44" i="41"/>
  <c r="Q43" i="41"/>
  <c r="M43" i="41"/>
  <c r="I43" i="41"/>
  <c r="Q42" i="41"/>
  <c r="M42" i="41"/>
  <c r="I42" i="41"/>
  <c r="Q41" i="41"/>
  <c r="M41" i="41"/>
  <c r="I41" i="41"/>
  <c r="Q40" i="41"/>
  <c r="M40" i="41"/>
  <c r="I40" i="41"/>
  <c r="Q39" i="41"/>
  <c r="M39" i="41"/>
  <c r="I39" i="41"/>
  <c r="F37" i="41"/>
  <c r="Q36" i="41"/>
  <c r="M36" i="41"/>
  <c r="I36" i="41"/>
  <c r="Q35" i="41"/>
  <c r="M35" i="41"/>
  <c r="I35" i="41"/>
  <c r="Q34" i="41"/>
  <c r="M34" i="41"/>
  <c r="I34" i="41"/>
  <c r="Q33" i="41"/>
  <c r="M33" i="41"/>
  <c r="I33" i="41"/>
  <c r="S9" i="39"/>
  <c r="R9" i="39"/>
  <c r="Q9" i="39"/>
  <c r="T9" i="39" s="1"/>
  <c r="O9" i="39"/>
  <c r="N9" i="39"/>
  <c r="M9" i="39"/>
  <c r="K9" i="39"/>
  <c r="J9" i="39"/>
  <c r="J17" i="39" s="1"/>
  <c r="I9" i="39"/>
  <c r="G9" i="39"/>
  <c r="G26" i="41"/>
  <c r="F9" i="39" s="1"/>
  <c r="F26" i="41"/>
  <c r="Q25" i="41"/>
  <c r="M25" i="41"/>
  <c r="I25" i="41"/>
  <c r="Q24" i="41"/>
  <c r="M24" i="41"/>
  <c r="I24" i="41"/>
  <c r="Q23" i="41"/>
  <c r="M23" i="41"/>
  <c r="I23" i="41"/>
  <c r="Q22" i="41"/>
  <c r="M22" i="41"/>
  <c r="I22" i="41"/>
  <c r="Q21" i="41"/>
  <c r="M21" i="41"/>
  <c r="I21" i="41"/>
  <c r="Q20" i="41"/>
  <c r="M20" i="41"/>
  <c r="I20" i="41"/>
  <c r="Q19" i="41"/>
  <c r="M19" i="41"/>
  <c r="I19" i="41"/>
  <c r="Q18" i="41"/>
  <c r="M18" i="41"/>
  <c r="I18" i="41"/>
  <c r="Q17" i="41"/>
  <c r="M17" i="41"/>
  <c r="I17" i="41"/>
  <c r="Q16" i="41"/>
  <c r="M16" i="41"/>
  <c r="I16" i="41"/>
  <c r="G12" i="41"/>
  <c r="F2" i="39" s="1"/>
  <c r="F12" i="41"/>
  <c r="Q10" i="41"/>
  <c r="M10" i="41"/>
  <c r="I10" i="41"/>
  <c r="Q9" i="41"/>
  <c r="M9" i="41"/>
  <c r="I9" i="41"/>
  <c r="Q8" i="41"/>
  <c r="M8" i="41"/>
  <c r="I8" i="41"/>
  <c r="Q7" i="41"/>
  <c r="M7" i="41"/>
  <c r="I7" i="41"/>
  <c r="Q6" i="41"/>
  <c r="M6" i="41"/>
  <c r="I6" i="41"/>
  <c r="Q5" i="41"/>
  <c r="M5" i="41"/>
  <c r="I5" i="41"/>
  <c r="T106" i="4"/>
  <c r="S106" i="4"/>
  <c r="R106" i="4"/>
  <c r="T97" i="4"/>
  <c r="S97" i="4"/>
  <c r="R97" i="4"/>
  <c r="S13" i="39"/>
  <c r="R13" i="39"/>
  <c r="Q13" i="39"/>
  <c r="P106" i="4"/>
  <c r="O106" i="4"/>
  <c r="N106" i="4"/>
  <c r="P97" i="4"/>
  <c r="O97" i="4"/>
  <c r="N97" i="4"/>
  <c r="O13" i="39"/>
  <c r="N13" i="39"/>
  <c r="M13" i="39"/>
  <c r="L106" i="4"/>
  <c r="K106" i="4"/>
  <c r="J106" i="4"/>
  <c r="L97" i="4"/>
  <c r="K97" i="4"/>
  <c r="J97" i="4"/>
  <c r="K13" i="39"/>
  <c r="I13" i="39"/>
  <c r="I6" i="39"/>
  <c r="F20" i="39" l="1"/>
  <c r="P14" i="39"/>
  <c r="F18" i="56" s="1"/>
  <c r="F17" i="39"/>
  <c r="F18" i="39"/>
  <c r="H121" i="50"/>
  <c r="H122" i="50" s="1"/>
  <c r="S120" i="31"/>
  <c r="S119" i="31"/>
  <c r="F52" i="31"/>
  <c r="H9" i="39"/>
  <c r="D15" i="56" s="1"/>
  <c r="U71" i="30"/>
  <c r="U76" i="30"/>
  <c r="Q51" i="30"/>
  <c r="V104" i="30"/>
  <c r="M51" i="30"/>
  <c r="V93" i="30"/>
  <c r="V102" i="30"/>
  <c r="M66" i="26"/>
  <c r="I71" i="26"/>
  <c r="Q37" i="28"/>
  <c r="Q52" i="28" s="1"/>
  <c r="Q77" i="28" s="1"/>
  <c r="Q71" i="28"/>
  <c r="M76" i="28"/>
  <c r="M97" i="28"/>
  <c r="I71" i="28"/>
  <c r="G77" i="28"/>
  <c r="S22" i="39"/>
  <c r="O7" i="39"/>
  <c r="O22" i="39" s="1"/>
  <c r="Q7" i="39"/>
  <c r="J122" i="25"/>
  <c r="J123" i="25" s="1"/>
  <c r="R7" i="39"/>
  <c r="R22" i="39" s="1"/>
  <c r="F29" i="25"/>
  <c r="E7" i="39"/>
  <c r="G29" i="25"/>
  <c r="G30" i="25" s="1"/>
  <c r="F7" i="39"/>
  <c r="F22" i="39" s="1"/>
  <c r="M22" i="39"/>
  <c r="H14" i="39"/>
  <c r="G7" i="39"/>
  <c r="I7" i="39"/>
  <c r="T14" i="39"/>
  <c r="G18" i="56" s="1"/>
  <c r="R122" i="25"/>
  <c r="R123" i="25" s="1"/>
  <c r="N7" i="39"/>
  <c r="N22" i="39" s="1"/>
  <c r="J7" i="39"/>
  <c r="J22" i="39" s="1"/>
  <c r="K122" i="25"/>
  <c r="K123" i="25" s="1"/>
  <c r="K22" i="39"/>
  <c r="T122" i="25"/>
  <c r="T123" i="25" s="1"/>
  <c r="M71" i="25"/>
  <c r="I76" i="27"/>
  <c r="T13" i="39"/>
  <c r="G17" i="56" s="1"/>
  <c r="R6" i="39"/>
  <c r="R21" i="39" s="1"/>
  <c r="S6" i="39"/>
  <c r="S21" i="39" s="1"/>
  <c r="J122" i="4"/>
  <c r="J123" i="4" s="1"/>
  <c r="N122" i="4"/>
  <c r="N123" i="4" s="1"/>
  <c r="K122" i="4"/>
  <c r="K123" i="4" s="1"/>
  <c r="K6" i="39"/>
  <c r="K21" i="39" s="1"/>
  <c r="M6" i="39"/>
  <c r="J6" i="39"/>
  <c r="J13" i="39"/>
  <c r="L13" i="39" s="1"/>
  <c r="E17" i="56" s="1"/>
  <c r="N6" i="39"/>
  <c r="N21" i="39" s="1"/>
  <c r="O6" i="39"/>
  <c r="O21" i="39" s="1"/>
  <c r="P13" i="39"/>
  <c r="F17" i="56" s="1"/>
  <c r="Q6" i="39"/>
  <c r="Q71" i="27"/>
  <c r="M37" i="27"/>
  <c r="G77" i="27"/>
  <c r="G122" i="27" s="1"/>
  <c r="H12" i="39"/>
  <c r="U12" i="39" s="1"/>
  <c r="D16" i="56"/>
  <c r="H16" i="56" s="1"/>
  <c r="T122" i="50"/>
  <c r="T121" i="50"/>
  <c r="V39" i="50"/>
  <c r="V42" i="50"/>
  <c r="V45" i="50"/>
  <c r="S122" i="50"/>
  <c r="S121" i="50"/>
  <c r="V40" i="50"/>
  <c r="V43" i="50"/>
  <c r="V46" i="50"/>
  <c r="U66" i="50"/>
  <c r="U76" i="50"/>
  <c r="R121" i="50"/>
  <c r="R122" i="50"/>
  <c r="V56" i="50"/>
  <c r="V59" i="50"/>
  <c r="V62" i="50"/>
  <c r="V65" i="50"/>
  <c r="V33" i="50"/>
  <c r="V36" i="50"/>
  <c r="P121" i="50"/>
  <c r="P122" i="50"/>
  <c r="V34" i="50"/>
  <c r="V57" i="50"/>
  <c r="V60" i="50"/>
  <c r="V63" i="50"/>
  <c r="V35" i="50"/>
  <c r="V41" i="50"/>
  <c r="V44" i="50"/>
  <c r="V87" i="50"/>
  <c r="Q37" i="50"/>
  <c r="M66" i="50"/>
  <c r="V70" i="50"/>
  <c r="M51" i="50"/>
  <c r="V92" i="50"/>
  <c r="V90" i="50"/>
  <c r="V96" i="50"/>
  <c r="V73" i="50"/>
  <c r="M71" i="50"/>
  <c r="M37" i="50"/>
  <c r="V69" i="50"/>
  <c r="V75" i="50"/>
  <c r="V55" i="50"/>
  <c r="V58" i="50"/>
  <c r="V61" i="50"/>
  <c r="V64" i="50"/>
  <c r="V85" i="50"/>
  <c r="V83" i="50"/>
  <c r="G114" i="50"/>
  <c r="G77" i="50"/>
  <c r="G120" i="50" s="1"/>
  <c r="V62" i="49"/>
  <c r="U51" i="49"/>
  <c r="Q66" i="49"/>
  <c r="V46" i="49"/>
  <c r="V60" i="49"/>
  <c r="V50" i="49"/>
  <c r="Q51" i="49"/>
  <c r="Q71" i="49"/>
  <c r="Q37" i="49"/>
  <c r="Q52" i="49" s="1"/>
  <c r="Q77" i="49" s="1"/>
  <c r="M71" i="49"/>
  <c r="M37" i="49"/>
  <c r="V48" i="49"/>
  <c r="H10" i="39"/>
  <c r="D13" i="56" s="1"/>
  <c r="T10" i="39"/>
  <c r="G13" i="56" s="1"/>
  <c r="Q76" i="24"/>
  <c r="L10" i="39"/>
  <c r="E13" i="56" s="1"/>
  <c r="L122" i="24"/>
  <c r="P10" i="39"/>
  <c r="F13" i="56" s="1"/>
  <c r="N122" i="24"/>
  <c r="G17" i="39"/>
  <c r="G15" i="56"/>
  <c r="T122" i="41"/>
  <c r="I88" i="27"/>
  <c r="I89" i="27" s="1"/>
  <c r="V59" i="49"/>
  <c r="G77" i="31"/>
  <c r="G118" i="31" s="1"/>
  <c r="G119" i="31" s="1"/>
  <c r="G120" i="31" s="1"/>
  <c r="H118" i="31"/>
  <c r="R123" i="24"/>
  <c r="T118" i="31"/>
  <c r="J118" i="31"/>
  <c r="J119" i="31" s="1"/>
  <c r="J120" i="31" s="1"/>
  <c r="F29" i="31"/>
  <c r="G29" i="31"/>
  <c r="G52" i="41"/>
  <c r="G77" i="41" s="1"/>
  <c r="G122" i="41" s="1"/>
  <c r="L9" i="39"/>
  <c r="K122" i="41"/>
  <c r="S17" i="39"/>
  <c r="P9" i="39"/>
  <c r="R122" i="41"/>
  <c r="R17" i="39"/>
  <c r="F114" i="41"/>
  <c r="F121" i="20" s="1"/>
  <c r="N18" i="39"/>
  <c r="M17" i="39"/>
  <c r="N29" i="26"/>
  <c r="Q76" i="26"/>
  <c r="M106" i="26"/>
  <c r="I76" i="26"/>
  <c r="I88" i="26"/>
  <c r="Q106" i="26"/>
  <c r="L29" i="26"/>
  <c r="Q71" i="26"/>
  <c r="M76" i="26"/>
  <c r="O18" i="39"/>
  <c r="R18" i="39"/>
  <c r="S18" i="39"/>
  <c r="J18" i="39"/>
  <c r="K18" i="39"/>
  <c r="T122" i="24"/>
  <c r="M18" i="39"/>
  <c r="O17" i="39"/>
  <c r="G29" i="41"/>
  <c r="K17" i="39"/>
  <c r="N17" i="39"/>
  <c r="L114" i="30"/>
  <c r="Q113" i="30"/>
  <c r="V44" i="30"/>
  <c r="V65" i="30"/>
  <c r="M51" i="26"/>
  <c r="Q88" i="26"/>
  <c r="Q89" i="26" s="1"/>
  <c r="K30" i="26"/>
  <c r="M26" i="26"/>
  <c r="I26" i="26"/>
  <c r="Q26" i="26"/>
  <c r="Q29" i="26" s="1"/>
  <c r="O30" i="26"/>
  <c r="G77" i="26"/>
  <c r="Q66" i="26"/>
  <c r="Q97" i="26"/>
  <c r="I12" i="26"/>
  <c r="G29" i="26"/>
  <c r="P30" i="26"/>
  <c r="M12" i="26"/>
  <c r="J29" i="26"/>
  <c r="Q12" i="26"/>
  <c r="Q51" i="26"/>
  <c r="R29" i="26"/>
  <c r="M71" i="26"/>
  <c r="M97" i="26"/>
  <c r="H29" i="26"/>
  <c r="S29" i="26"/>
  <c r="Q37" i="26"/>
  <c r="M37" i="26"/>
  <c r="M88" i="26"/>
  <c r="M89" i="26" s="1"/>
  <c r="S30" i="28"/>
  <c r="M88" i="28"/>
  <c r="Q97" i="28"/>
  <c r="M71" i="28"/>
  <c r="Q88" i="28"/>
  <c r="M26" i="28"/>
  <c r="M29" i="28" s="1"/>
  <c r="Q26" i="28"/>
  <c r="M37" i="28"/>
  <c r="M52" i="28" s="1"/>
  <c r="M51" i="28"/>
  <c r="I12" i="28"/>
  <c r="H29" i="28"/>
  <c r="Q51" i="28"/>
  <c r="M12" i="28"/>
  <c r="J29" i="28"/>
  <c r="M66" i="28"/>
  <c r="Q76" i="28"/>
  <c r="Q106" i="28"/>
  <c r="Q12" i="28"/>
  <c r="P29" i="28"/>
  <c r="Q66" i="28"/>
  <c r="M106" i="28"/>
  <c r="R29" i="28"/>
  <c r="I97" i="28"/>
  <c r="I106" i="28"/>
  <c r="H122" i="25"/>
  <c r="H123" i="25" s="1"/>
  <c r="S122" i="25"/>
  <c r="S123" i="25" s="1"/>
  <c r="I71" i="25"/>
  <c r="Q88" i="25"/>
  <c r="Q89" i="25" s="1"/>
  <c r="I106" i="25"/>
  <c r="M37" i="25"/>
  <c r="Q71" i="25"/>
  <c r="M76" i="25"/>
  <c r="Q76" i="25"/>
  <c r="R122" i="4"/>
  <c r="R123" i="4" s="1"/>
  <c r="S122" i="4"/>
  <c r="S123" i="4" s="1"/>
  <c r="Q12" i="27"/>
  <c r="I71" i="27"/>
  <c r="G29" i="27"/>
  <c r="M106" i="50"/>
  <c r="K29" i="50"/>
  <c r="K117" i="50" s="1"/>
  <c r="V21" i="50"/>
  <c r="T29" i="50"/>
  <c r="V47" i="50"/>
  <c r="V49" i="50"/>
  <c r="U88" i="50"/>
  <c r="V111" i="50"/>
  <c r="V6" i="50"/>
  <c r="V12" i="50" s="1"/>
  <c r="V8" i="50"/>
  <c r="M26" i="50"/>
  <c r="V19" i="50"/>
  <c r="K30" i="50"/>
  <c r="N120" i="50"/>
  <c r="Q66" i="50"/>
  <c r="Q71" i="50"/>
  <c r="V74" i="50"/>
  <c r="U97" i="50"/>
  <c r="U106" i="50"/>
  <c r="I12" i="50"/>
  <c r="S30" i="50"/>
  <c r="O120" i="50"/>
  <c r="U51" i="50"/>
  <c r="V103" i="50"/>
  <c r="M12" i="50"/>
  <c r="V16" i="50"/>
  <c r="V5" i="50"/>
  <c r="V48" i="50"/>
  <c r="V50" i="50"/>
  <c r="I76" i="50"/>
  <c r="Q88" i="50"/>
  <c r="N115" i="50"/>
  <c r="V94" i="50"/>
  <c r="Q106" i="50"/>
  <c r="M113" i="50"/>
  <c r="U26" i="50"/>
  <c r="V24" i="50"/>
  <c r="Q51" i="50"/>
  <c r="Q52" i="50" s="1"/>
  <c r="M76" i="50"/>
  <c r="V80" i="50"/>
  <c r="V82" i="50"/>
  <c r="M97" i="50"/>
  <c r="U37" i="50"/>
  <c r="Q76" i="50"/>
  <c r="M88" i="50"/>
  <c r="M89" i="50" s="1"/>
  <c r="V84" i="50"/>
  <c r="V86" i="50"/>
  <c r="P114" i="50"/>
  <c r="P115" i="50" s="1"/>
  <c r="V91" i="50"/>
  <c r="V93" i="50"/>
  <c r="V95" i="50"/>
  <c r="V100" i="50"/>
  <c r="V104" i="50"/>
  <c r="U113" i="50"/>
  <c r="V112" i="50"/>
  <c r="O29" i="49"/>
  <c r="O117" i="49" s="1"/>
  <c r="N30" i="49"/>
  <c r="V43" i="49"/>
  <c r="S77" i="49"/>
  <c r="S120" i="49" s="1"/>
  <c r="U66" i="49"/>
  <c r="V74" i="49"/>
  <c r="R114" i="49"/>
  <c r="R115" i="49" s="1"/>
  <c r="M97" i="49"/>
  <c r="V93" i="49"/>
  <c r="U106" i="49"/>
  <c r="V108" i="49"/>
  <c r="V10" i="49"/>
  <c r="Q26" i="49"/>
  <c r="V18" i="49"/>
  <c r="V33" i="49"/>
  <c r="V35" i="49"/>
  <c r="P77" i="49"/>
  <c r="P120" i="49" s="1"/>
  <c r="V40" i="49"/>
  <c r="V42" i="49"/>
  <c r="V44" i="49"/>
  <c r="U88" i="49"/>
  <c r="U114" i="49" s="1"/>
  <c r="V82" i="49"/>
  <c r="Q97" i="49"/>
  <c r="V95" i="49"/>
  <c r="M113" i="49"/>
  <c r="V8" i="49"/>
  <c r="N114" i="49"/>
  <c r="I12" i="49"/>
  <c r="V22" i="49"/>
  <c r="V26" i="49" s="1"/>
  <c r="V24" i="49"/>
  <c r="O114" i="49"/>
  <c r="G52" i="49"/>
  <c r="G77" i="49" s="1"/>
  <c r="G120" i="49" s="1"/>
  <c r="V17" i="49"/>
  <c r="U37" i="49"/>
  <c r="U52" i="49" s="1"/>
  <c r="U77" i="49" s="1"/>
  <c r="P114" i="49"/>
  <c r="V6" i="49"/>
  <c r="V34" i="49"/>
  <c r="V36" i="49"/>
  <c r="V39" i="49"/>
  <c r="V41" i="49"/>
  <c r="V55" i="49"/>
  <c r="V57" i="49"/>
  <c r="V69" i="49"/>
  <c r="Q76" i="49"/>
  <c r="V96" i="49"/>
  <c r="G114" i="49"/>
  <c r="V111" i="49"/>
  <c r="V16" i="49"/>
  <c r="U97" i="49"/>
  <c r="U12" i="49"/>
  <c r="V7" i="49"/>
  <c r="V9" i="49"/>
  <c r="L77" i="49"/>
  <c r="L120" i="49" s="1"/>
  <c r="M51" i="49"/>
  <c r="M52" i="49" s="1"/>
  <c r="M77" i="49" s="1"/>
  <c r="V47" i="49"/>
  <c r="V49" i="49"/>
  <c r="M66" i="49"/>
  <c r="V61" i="49"/>
  <c r="V63" i="49"/>
  <c r="V65" i="49"/>
  <c r="I71" i="49"/>
  <c r="V71" i="49" s="1"/>
  <c r="V70" i="49"/>
  <c r="V84" i="49"/>
  <c r="V101" i="49"/>
  <c r="V104" i="49"/>
  <c r="H114" i="49"/>
  <c r="H115" i="49" s="1"/>
  <c r="I12" i="31"/>
  <c r="H29" i="31"/>
  <c r="M76" i="31"/>
  <c r="K118" i="31"/>
  <c r="I66" i="31"/>
  <c r="L118" i="31"/>
  <c r="Q37" i="31"/>
  <c r="N118" i="31"/>
  <c r="N119" i="31" s="1"/>
  <c r="N120" i="31" s="1"/>
  <c r="Q51" i="31"/>
  <c r="S29" i="31"/>
  <c r="T29" i="31"/>
  <c r="M106" i="24"/>
  <c r="Q66" i="24"/>
  <c r="O122" i="24"/>
  <c r="P122" i="24"/>
  <c r="M71" i="24"/>
  <c r="L122" i="41"/>
  <c r="S122" i="41"/>
  <c r="K114" i="30"/>
  <c r="K115" i="30" s="1"/>
  <c r="K119" i="20" s="1"/>
  <c r="Q106" i="30"/>
  <c r="V112" i="30"/>
  <c r="H115" i="30"/>
  <c r="H119" i="20" s="1"/>
  <c r="S115" i="30"/>
  <c r="S119" i="20" s="1"/>
  <c r="V75" i="30"/>
  <c r="V82" i="30"/>
  <c r="V86" i="30"/>
  <c r="P114" i="30"/>
  <c r="P115" i="30" s="1"/>
  <c r="P119" i="20" s="1"/>
  <c r="Q97" i="30"/>
  <c r="M71" i="30"/>
  <c r="M76" i="30"/>
  <c r="V80" i="30"/>
  <c r="R114" i="30"/>
  <c r="U51" i="30"/>
  <c r="V36" i="30"/>
  <c r="V41" i="30"/>
  <c r="V45" i="30"/>
  <c r="V47" i="30"/>
  <c r="V49" i="30"/>
  <c r="Q71" i="30"/>
  <c r="Q76" i="30"/>
  <c r="M88" i="30"/>
  <c r="V94" i="30"/>
  <c r="V62" i="30"/>
  <c r="V70" i="30"/>
  <c r="J114" i="30"/>
  <c r="T114" i="30"/>
  <c r="M106" i="30"/>
  <c r="M113" i="30"/>
  <c r="M26" i="25"/>
  <c r="M88" i="25"/>
  <c r="M89" i="25" s="1"/>
  <c r="Q97" i="25"/>
  <c r="Q12" i="25"/>
  <c r="Q37" i="25"/>
  <c r="N122" i="25"/>
  <c r="N123" i="25" s="1"/>
  <c r="Q51" i="25"/>
  <c r="M51" i="25"/>
  <c r="O122" i="25"/>
  <c r="O123" i="25" s="1"/>
  <c r="I76" i="25"/>
  <c r="Q106" i="25"/>
  <c r="M12" i="25"/>
  <c r="P122" i="25"/>
  <c r="P123" i="25" s="1"/>
  <c r="Q66" i="25"/>
  <c r="M106" i="25"/>
  <c r="L122" i="25"/>
  <c r="L123" i="25" s="1"/>
  <c r="M66" i="25"/>
  <c r="I26" i="25"/>
  <c r="Q26" i="25"/>
  <c r="I88" i="25"/>
  <c r="I89" i="25" s="1"/>
  <c r="M97" i="25"/>
  <c r="P122" i="4"/>
  <c r="P123" i="4" s="1"/>
  <c r="T122" i="4"/>
  <c r="T123" i="4" s="1"/>
  <c r="L122" i="4"/>
  <c r="L123" i="4" s="1"/>
  <c r="O122" i="4"/>
  <c r="O123" i="4" s="1"/>
  <c r="Q97" i="27"/>
  <c r="Q37" i="27"/>
  <c r="M71" i="27"/>
  <c r="Q88" i="27"/>
  <c r="Q89" i="27" s="1"/>
  <c r="M26" i="27"/>
  <c r="Q26" i="27"/>
  <c r="M51" i="27"/>
  <c r="M52" i="27" s="1"/>
  <c r="Q51" i="27"/>
  <c r="M76" i="27"/>
  <c r="M12" i="27"/>
  <c r="M66" i="27"/>
  <c r="Q76" i="27"/>
  <c r="I106" i="27"/>
  <c r="Q106" i="27"/>
  <c r="Q66" i="27"/>
  <c r="M106" i="27"/>
  <c r="M12" i="31"/>
  <c r="J29" i="31"/>
  <c r="O118" i="31"/>
  <c r="O119" i="31" s="1"/>
  <c r="O120" i="31" s="1"/>
  <c r="M66" i="31"/>
  <c r="Q76" i="31"/>
  <c r="Q106" i="31"/>
  <c r="Q12" i="31"/>
  <c r="P29" i="31"/>
  <c r="F77" i="31"/>
  <c r="F118" i="31" s="1"/>
  <c r="P118" i="31"/>
  <c r="P119" i="31" s="1"/>
  <c r="P120" i="31" s="1"/>
  <c r="Q66" i="31"/>
  <c r="M106" i="31"/>
  <c r="R29" i="31"/>
  <c r="I97" i="31"/>
  <c r="I88" i="31"/>
  <c r="I89" i="31" s="1"/>
  <c r="M97" i="31"/>
  <c r="S30" i="31"/>
  <c r="M88" i="31"/>
  <c r="M89" i="31" s="1"/>
  <c r="Q97" i="31"/>
  <c r="K29" i="31"/>
  <c r="M71" i="31"/>
  <c r="Q88" i="31"/>
  <c r="Q89" i="31" s="1"/>
  <c r="M26" i="31"/>
  <c r="M29" i="31" s="1"/>
  <c r="I26" i="31"/>
  <c r="Q26" i="31"/>
  <c r="M37" i="31"/>
  <c r="M51" i="31"/>
  <c r="Q71" i="31"/>
  <c r="I76" i="31"/>
  <c r="I106" i="31"/>
  <c r="M26" i="41"/>
  <c r="Q76" i="41"/>
  <c r="I76" i="41"/>
  <c r="N122" i="41"/>
  <c r="Q26" i="24"/>
  <c r="H122" i="24"/>
  <c r="S122" i="24"/>
  <c r="I88" i="24"/>
  <c r="M97" i="24"/>
  <c r="M26" i="24"/>
  <c r="J122" i="24"/>
  <c r="I71" i="24"/>
  <c r="Q97" i="24"/>
  <c r="K122" i="24"/>
  <c r="Q88" i="24"/>
  <c r="Q89" i="24" s="1"/>
  <c r="R122" i="24"/>
  <c r="M12" i="24"/>
  <c r="M37" i="24"/>
  <c r="M51" i="24"/>
  <c r="M66" i="24"/>
  <c r="Q71" i="24"/>
  <c r="M76" i="24"/>
  <c r="G122" i="24"/>
  <c r="Q12" i="24"/>
  <c r="Q37" i="24"/>
  <c r="Q51" i="24"/>
  <c r="I76" i="24"/>
  <c r="Q106" i="24"/>
  <c r="Q37" i="41"/>
  <c r="Q51" i="41"/>
  <c r="Q106" i="41"/>
  <c r="Q66" i="41"/>
  <c r="Q12" i="41"/>
  <c r="H122" i="41"/>
  <c r="I88" i="41"/>
  <c r="I89" i="41" s="1"/>
  <c r="M97" i="41"/>
  <c r="M12" i="41"/>
  <c r="P122" i="41"/>
  <c r="J122" i="41"/>
  <c r="I71" i="41"/>
  <c r="M88" i="41"/>
  <c r="M89" i="41" s="1"/>
  <c r="Q97" i="41"/>
  <c r="M71" i="41"/>
  <c r="Q88" i="41"/>
  <c r="Q89" i="41" s="1"/>
  <c r="O122" i="41"/>
  <c r="Q26" i="41"/>
  <c r="M106" i="41"/>
  <c r="M37" i="41"/>
  <c r="M51" i="41"/>
  <c r="M66" i="41"/>
  <c r="Q71" i="41"/>
  <c r="M76" i="41"/>
  <c r="I97" i="26"/>
  <c r="V64" i="49"/>
  <c r="F29" i="41"/>
  <c r="V23" i="50"/>
  <c r="F52" i="24"/>
  <c r="F77" i="24" s="1"/>
  <c r="F122" i="24" s="1"/>
  <c r="I26" i="41"/>
  <c r="I12" i="27"/>
  <c r="I12" i="25"/>
  <c r="I12" i="41"/>
  <c r="I12" i="24"/>
  <c r="I37" i="28"/>
  <c r="I37" i="26"/>
  <c r="I37" i="31"/>
  <c r="I37" i="25"/>
  <c r="I51" i="28"/>
  <c r="I51" i="31"/>
  <c r="I51" i="25"/>
  <c r="F52" i="25"/>
  <c r="F77" i="25" s="1"/>
  <c r="F122" i="25" s="1"/>
  <c r="I51" i="24"/>
  <c r="I97" i="30"/>
  <c r="V56" i="30"/>
  <c r="F52" i="30"/>
  <c r="F77" i="30" s="1"/>
  <c r="I37" i="30"/>
  <c r="V35" i="30"/>
  <c r="V43" i="30"/>
  <c r="I66" i="30"/>
  <c r="U66" i="30"/>
  <c r="V64" i="30"/>
  <c r="F114" i="30"/>
  <c r="V95" i="30"/>
  <c r="M37" i="30"/>
  <c r="V40" i="30"/>
  <c r="M66" i="30"/>
  <c r="V59" i="30"/>
  <c r="V61" i="30"/>
  <c r="V69" i="30"/>
  <c r="Q88" i="30"/>
  <c r="G114" i="30"/>
  <c r="G115" i="30" s="1"/>
  <c r="G119" i="20" s="1"/>
  <c r="U97" i="30"/>
  <c r="V100" i="30"/>
  <c r="O114" i="30"/>
  <c r="Q37" i="30"/>
  <c r="Q52" i="30" s="1"/>
  <c r="V46" i="30"/>
  <c r="V48" i="30"/>
  <c r="Q66" i="30"/>
  <c r="U88" i="30"/>
  <c r="V84" i="30"/>
  <c r="V92" i="30"/>
  <c r="U37" i="30"/>
  <c r="V42" i="30"/>
  <c r="V50" i="30"/>
  <c r="V63" i="30"/>
  <c r="I71" i="30"/>
  <c r="V74" i="30"/>
  <c r="V34" i="30"/>
  <c r="V57" i="30"/>
  <c r="V81" i="30"/>
  <c r="V85" i="30"/>
  <c r="V87" i="30"/>
  <c r="V103" i="30"/>
  <c r="V105" i="30"/>
  <c r="V108" i="30"/>
  <c r="V110" i="30"/>
  <c r="N114" i="30"/>
  <c r="N115" i="30" s="1"/>
  <c r="N119" i="20" s="1"/>
  <c r="M97" i="30"/>
  <c r="V99" i="30"/>
  <c r="V39" i="30"/>
  <c r="V58" i="30"/>
  <c r="V60" i="30"/>
  <c r="I76" i="30"/>
  <c r="V83" i="30"/>
  <c r="V96" i="30"/>
  <c r="T115" i="30"/>
  <c r="T119" i="20" s="1"/>
  <c r="L115" i="30"/>
  <c r="L119" i="20" s="1"/>
  <c r="R115" i="30"/>
  <c r="R119" i="20" s="1"/>
  <c r="I113" i="30"/>
  <c r="V33" i="30"/>
  <c r="I51" i="30"/>
  <c r="V91" i="30"/>
  <c r="I106" i="30"/>
  <c r="V55" i="30"/>
  <c r="V68" i="30"/>
  <c r="V73" i="30"/>
  <c r="I88" i="30"/>
  <c r="V101" i="30"/>
  <c r="F29" i="24"/>
  <c r="F30" i="24" s="1"/>
  <c r="I26" i="24"/>
  <c r="F29" i="27"/>
  <c r="I26" i="27"/>
  <c r="I97" i="27"/>
  <c r="I66" i="27"/>
  <c r="F52" i="27"/>
  <c r="F77" i="27" s="1"/>
  <c r="F122" i="27" s="1"/>
  <c r="I51" i="27"/>
  <c r="I37" i="27"/>
  <c r="I88" i="28"/>
  <c r="I89" i="28" s="1"/>
  <c r="I26" i="28"/>
  <c r="F29" i="28"/>
  <c r="I66" i="28"/>
  <c r="F52" i="28"/>
  <c r="F77" i="28" s="1"/>
  <c r="I106" i="26"/>
  <c r="I66" i="26"/>
  <c r="F52" i="26"/>
  <c r="F77" i="26" s="1"/>
  <c r="I51" i="26"/>
  <c r="V58" i="49"/>
  <c r="V56" i="49"/>
  <c r="F52" i="49"/>
  <c r="F77" i="49" s="1"/>
  <c r="F120" i="49" s="1"/>
  <c r="I37" i="49"/>
  <c r="I97" i="50"/>
  <c r="F114" i="50"/>
  <c r="I26" i="50"/>
  <c r="I29" i="50" s="1"/>
  <c r="I88" i="50"/>
  <c r="I89" i="50" s="1"/>
  <c r="F52" i="50"/>
  <c r="F77" i="50" s="1"/>
  <c r="F120" i="50" s="1"/>
  <c r="I37" i="50"/>
  <c r="V45" i="49"/>
  <c r="F114" i="49"/>
  <c r="U30" i="50"/>
  <c r="U29" i="50"/>
  <c r="K115" i="50"/>
  <c r="L115" i="50"/>
  <c r="I30" i="50"/>
  <c r="H115" i="50"/>
  <c r="R115" i="50"/>
  <c r="T117" i="50"/>
  <c r="M30" i="50"/>
  <c r="M29" i="50"/>
  <c r="S115" i="50"/>
  <c r="J115" i="50"/>
  <c r="T115" i="50"/>
  <c r="Q89" i="50"/>
  <c r="Q12" i="50"/>
  <c r="V22" i="50"/>
  <c r="V102" i="50"/>
  <c r="I51" i="50"/>
  <c r="Q97" i="50"/>
  <c r="F29" i="50"/>
  <c r="N29" i="50"/>
  <c r="I66" i="50"/>
  <c r="V99" i="50"/>
  <c r="G29" i="50"/>
  <c r="G117" i="50" s="1"/>
  <c r="O29" i="50"/>
  <c r="I113" i="50"/>
  <c r="H29" i="50"/>
  <c r="H117" i="50" s="1"/>
  <c r="P29" i="50"/>
  <c r="P117" i="50" s="1"/>
  <c r="V68" i="50"/>
  <c r="J29" i="50"/>
  <c r="J117" i="50" s="1"/>
  <c r="R29" i="50"/>
  <c r="R117" i="50" s="1"/>
  <c r="V81" i="50"/>
  <c r="Q30" i="49"/>
  <c r="Q29" i="49"/>
  <c r="U30" i="49"/>
  <c r="V76" i="49"/>
  <c r="J115" i="49"/>
  <c r="T115" i="49"/>
  <c r="N115" i="49"/>
  <c r="K115" i="49"/>
  <c r="O115" i="49"/>
  <c r="I30" i="49"/>
  <c r="I29" i="49"/>
  <c r="M30" i="49"/>
  <c r="M29" i="49"/>
  <c r="I66" i="49"/>
  <c r="V109" i="49"/>
  <c r="U26" i="49"/>
  <c r="U29" i="49" s="1"/>
  <c r="L29" i="49"/>
  <c r="T29" i="49"/>
  <c r="T117" i="49" s="1"/>
  <c r="K30" i="49"/>
  <c r="S30" i="49"/>
  <c r="I51" i="49"/>
  <c r="I88" i="49"/>
  <c r="I89" i="49" s="1"/>
  <c r="Q88" i="49"/>
  <c r="Q89" i="49" s="1"/>
  <c r="I97" i="49"/>
  <c r="V91" i="49"/>
  <c r="I113" i="49"/>
  <c r="V80" i="49"/>
  <c r="V5" i="49"/>
  <c r="V12" i="49" s="1"/>
  <c r="H29" i="49"/>
  <c r="H117" i="49" s="1"/>
  <c r="P29" i="49"/>
  <c r="V68" i="49"/>
  <c r="M88" i="49"/>
  <c r="M89" i="49" s="1"/>
  <c r="I106" i="49"/>
  <c r="V106" i="49" s="1"/>
  <c r="J29" i="49"/>
  <c r="J117" i="49" s="1"/>
  <c r="R29" i="49"/>
  <c r="R117" i="49" s="1"/>
  <c r="V81" i="49"/>
  <c r="I97" i="25"/>
  <c r="I66" i="25"/>
  <c r="I106" i="24"/>
  <c r="I97" i="24"/>
  <c r="I66" i="24"/>
  <c r="I106" i="41"/>
  <c r="I97" i="41"/>
  <c r="I66" i="41"/>
  <c r="F52" i="41"/>
  <c r="I51" i="41"/>
  <c r="I37" i="41"/>
  <c r="M88" i="27"/>
  <c r="M89" i="27" s="1"/>
  <c r="F30" i="27"/>
  <c r="G30" i="27"/>
  <c r="I29" i="28"/>
  <c r="I30" i="28"/>
  <c r="M89" i="28"/>
  <c r="M30" i="28"/>
  <c r="Q89" i="28"/>
  <c r="Q29" i="28"/>
  <c r="Q30" i="28"/>
  <c r="L30" i="28"/>
  <c r="T30" i="28"/>
  <c r="F30" i="28"/>
  <c r="N30" i="28"/>
  <c r="G30" i="28"/>
  <c r="O30" i="28"/>
  <c r="I29" i="26"/>
  <c r="I30" i="26"/>
  <c r="M30" i="26"/>
  <c r="Q30" i="26"/>
  <c r="L30" i="26"/>
  <c r="T30" i="26"/>
  <c r="I89" i="26"/>
  <c r="F30" i="26"/>
  <c r="N30" i="26"/>
  <c r="I30" i="31"/>
  <c r="M30" i="31"/>
  <c r="Q29" i="31"/>
  <c r="Q30" i="31"/>
  <c r="L30" i="31"/>
  <c r="T30" i="31"/>
  <c r="F30" i="31"/>
  <c r="N30" i="31"/>
  <c r="G30" i="31"/>
  <c r="O30" i="31"/>
  <c r="F30" i="25"/>
  <c r="I89" i="24"/>
  <c r="M88" i="24"/>
  <c r="M89" i="24" s="1"/>
  <c r="G30" i="41"/>
  <c r="G121" i="50" l="1"/>
  <c r="G122" i="50"/>
  <c r="F121" i="50"/>
  <c r="F122" i="50" s="1"/>
  <c r="F123" i="41" s="1"/>
  <c r="T119" i="31"/>
  <c r="T120" i="31" s="1"/>
  <c r="L119" i="31"/>
  <c r="L120" i="31" s="1"/>
  <c r="K119" i="31"/>
  <c r="K120" i="31" s="1"/>
  <c r="H120" i="31"/>
  <c r="H119" i="31"/>
  <c r="F119" i="31"/>
  <c r="F120" i="31" s="1"/>
  <c r="F123" i="51" s="1"/>
  <c r="F124" i="51" s="1"/>
  <c r="E26" i="39" s="1"/>
  <c r="M77" i="28"/>
  <c r="P115" i="49"/>
  <c r="I122" i="25"/>
  <c r="U52" i="30"/>
  <c r="M52" i="30"/>
  <c r="M77" i="30" s="1"/>
  <c r="M115" i="30" s="1"/>
  <c r="G123" i="27"/>
  <c r="G123" i="25"/>
  <c r="T123" i="41"/>
  <c r="T124" i="41" s="1"/>
  <c r="S24" i="39" s="1"/>
  <c r="T124" i="40"/>
  <c r="S123" i="41"/>
  <c r="S124" i="41" s="1"/>
  <c r="R24" i="39" s="1"/>
  <c r="S124" i="40"/>
  <c r="R123" i="51"/>
  <c r="R124" i="51" s="1"/>
  <c r="Q26" i="39" s="1"/>
  <c r="R123" i="41"/>
  <c r="R124" i="41" s="1"/>
  <c r="R124" i="40"/>
  <c r="P123" i="41"/>
  <c r="P124" i="41" s="1"/>
  <c r="P124" i="40"/>
  <c r="L123" i="41"/>
  <c r="L124" i="41" s="1"/>
  <c r="K24" i="39" s="1"/>
  <c r="L124" i="40"/>
  <c r="M117" i="50"/>
  <c r="K123" i="41"/>
  <c r="K124" i="41" s="1"/>
  <c r="K124" i="40"/>
  <c r="J123" i="41"/>
  <c r="J124" i="40"/>
  <c r="H123" i="41"/>
  <c r="H124" i="41" s="1"/>
  <c r="G24" i="39" s="1"/>
  <c r="H124" i="40"/>
  <c r="G123" i="41"/>
  <c r="G124" i="41" s="1"/>
  <c r="F24" i="39" s="1"/>
  <c r="G124" i="40"/>
  <c r="G115" i="50"/>
  <c r="S115" i="49"/>
  <c r="S123" i="24"/>
  <c r="S124" i="24" s="1"/>
  <c r="R25" i="39" s="1"/>
  <c r="P117" i="49"/>
  <c r="Q117" i="49" s="1"/>
  <c r="S123" i="51"/>
  <c r="S124" i="51" s="1"/>
  <c r="P7" i="39"/>
  <c r="F11" i="56" s="1"/>
  <c r="U77" i="30"/>
  <c r="U115" i="30" s="1"/>
  <c r="V106" i="30"/>
  <c r="Q114" i="30"/>
  <c r="V88" i="30"/>
  <c r="M114" i="30"/>
  <c r="Q52" i="26"/>
  <c r="Q77" i="26" s="1"/>
  <c r="U122" i="25"/>
  <c r="Q52" i="25"/>
  <c r="Q77" i="25" s="1"/>
  <c r="Q122" i="25"/>
  <c r="M29" i="25"/>
  <c r="M30" i="25" s="1"/>
  <c r="U122" i="4"/>
  <c r="M122" i="25"/>
  <c r="T7" i="39"/>
  <c r="G11" i="56" s="1"/>
  <c r="Q22" i="39"/>
  <c r="T22" i="39" s="1"/>
  <c r="Q29" i="25"/>
  <c r="Q30" i="25" s="1"/>
  <c r="M52" i="25"/>
  <c r="U14" i="39"/>
  <c r="D18" i="56"/>
  <c r="H18" i="56" s="1"/>
  <c r="P22" i="39"/>
  <c r="Q52" i="27"/>
  <c r="Q77" i="27" s="1"/>
  <c r="Q122" i="4"/>
  <c r="T15" i="39"/>
  <c r="M122" i="4"/>
  <c r="J21" i="39"/>
  <c r="P6" i="39"/>
  <c r="F10" i="56" s="1"/>
  <c r="F28" i="56" s="1"/>
  <c r="F27" i="56" s="1"/>
  <c r="M21" i="39"/>
  <c r="P21" i="39" s="1"/>
  <c r="T6" i="39"/>
  <c r="G10" i="56" s="1"/>
  <c r="G28" i="56" s="1"/>
  <c r="Q21" i="39"/>
  <c r="T21" i="39" s="1"/>
  <c r="Q29" i="27"/>
  <c r="Q30" i="27" s="1"/>
  <c r="M77" i="27"/>
  <c r="M29" i="27"/>
  <c r="M30" i="27" s="1"/>
  <c r="U117" i="50"/>
  <c r="U52" i="50"/>
  <c r="U77" i="50" s="1"/>
  <c r="V66" i="50"/>
  <c r="U114" i="50"/>
  <c r="O122" i="50"/>
  <c r="O121" i="50"/>
  <c r="Q114" i="50"/>
  <c r="V106" i="50"/>
  <c r="V76" i="50"/>
  <c r="N122" i="50"/>
  <c r="N121" i="50"/>
  <c r="M114" i="50"/>
  <c r="M52" i="50"/>
  <c r="M77" i="50" s="1"/>
  <c r="M115" i="50" s="1"/>
  <c r="V71" i="50"/>
  <c r="V37" i="50"/>
  <c r="V37" i="49"/>
  <c r="S117" i="49"/>
  <c r="U117" i="49" s="1"/>
  <c r="G117" i="49"/>
  <c r="G115" i="49"/>
  <c r="M52" i="31"/>
  <c r="M77" i="31" s="1"/>
  <c r="M118" i="31" s="1"/>
  <c r="G19" i="56"/>
  <c r="M29" i="24"/>
  <c r="Q122" i="24"/>
  <c r="M52" i="24"/>
  <c r="M77" i="24" s="1"/>
  <c r="M122" i="24"/>
  <c r="Q52" i="24"/>
  <c r="Q77" i="24" s="1"/>
  <c r="P18" i="39"/>
  <c r="Q18" i="39"/>
  <c r="T18" i="39" s="1"/>
  <c r="T3" i="39"/>
  <c r="G6" i="56" s="1"/>
  <c r="G22" i="56" s="1"/>
  <c r="H13" i="56"/>
  <c r="U10" i="39"/>
  <c r="R124" i="24"/>
  <c r="Q25" i="39" s="1"/>
  <c r="P3" i="39"/>
  <c r="F6" i="56" s="1"/>
  <c r="F22" i="56" s="1"/>
  <c r="P17" i="39"/>
  <c r="P15" i="39"/>
  <c r="F15" i="56"/>
  <c r="F19" i="56" s="1"/>
  <c r="L15" i="39"/>
  <c r="E15" i="56"/>
  <c r="G18" i="39"/>
  <c r="F123" i="24"/>
  <c r="T123" i="24"/>
  <c r="T124" i="24" s="1"/>
  <c r="J123" i="51"/>
  <c r="P123" i="24"/>
  <c r="P124" i="24" s="1"/>
  <c r="N123" i="24"/>
  <c r="N124" i="24" s="1"/>
  <c r="Q52" i="31"/>
  <c r="Q77" i="31" s="1"/>
  <c r="Q118" i="31" s="1"/>
  <c r="L123" i="24"/>
  <c r="L124" i="24" s="1"/>
  <c r="O123" i="24"/>
  <c r="O124" i="24" s="1"/>
  <c r="H123" i="24"/>
  <c r="H124" i="24" s="1"/>
  <c r="G25" i="39" s="1"/>
  <c r="I29" i="31"/>
  <c r="G123" i="24"/>
  <c r="G124" i="24" s="1"/>
  <c r="F25" i="39" s="1"/>
  <c r="Q17" i="39"/>
  <c r="T17" i="39" s="1"/>
  <c r="T2" i="39"/>
  <c r="U9" i="39"/>
  <c r="F30" i="41"/>
  <c r="F117" i="41"/>
  <c r="P2" i="39"/>
  <c r="I17" i="39"/>
  <c r="L2" i="39"/>
  <c r="I122" i="27"/>
  <c r="V122" i="27" s="1"/>
  <c r="M29" i="26"/>
  <c r="I52" i="28"/>
  <c r="I77" i="28" s="1"/>
  <c r="I122" i="24"/>
  <c r="U114" i="30"/>
  <c r="V71" i="30"/>
  <c r="J115" i="30"/>
  <c r="J119" i="20" s="1"/>
  <c r="I52" i="26"/>
  <c r="I77" i="26" s="1"/>
  <c r="M52" i="26"/>
  <c r="M77" i="26" s="1"/>
  <c r="I29" i="25"/>
  <c r="I30" i="25" s="1"/>
  <c r="O117" i="50"/>
  <c r="O115" i="50"/>
  <c r="V26" i="50"/>
  <c r="V29" i="50" s="1"/>
  <c r="N117" i="50"/>
  <c r="Q77" i="50"/>
  <c r="Q115" i="50" s="1"/>
  <c r="M114" i="49"/>
  <c r="M115" i="49" s="1"/>
  <c r="V97" i="49"/>
  <c r="L115" i="49"/>
  <c r="L117" i="49"/>
  <c r="M117" i="49" s="1"/>
  <c r="Q114" i="49"/>
  <c r="V66" i="49"/>
  <c r="U122" i="24"/>
  <c r="F122" i="41"/>
  <c r="Q52" i="41"/>
  <c r="Q77" i="41" s="1"/>
  <c r="U122" i="41"/>
  <c r="M122" i="41"/>
  <c r="M29" i="41"/>
  <c r="M30" i="41" s="1"/>
  <c r="V76" i="30"/>
  <c r="Q77" i="30"/>
  <c r="Q115" i="30" s="1"/>
  <c r="O115" i="30"/>
  <c r="O119" i="20" s="1"/>
  <c r="M77" i="25"/>
  <c r="I52" i="31"/>
  <c r="I77" i="31" s="1"/>
  <c r="I118" i="31" s="1"/>
  <c r="Q29" i="41"/>
  <c r="Q30" i="41" s="1"/>
  <c r="M52" i="41"/>
  <c r="M77" i="41" s="1"/>
  <c r="Q122" i="41"/>
  <c r="M30" i="24"/>
  <c r="Q29" i="24"/>
  <c r="Q30" i="24" s="1"/>
  <c r="I29" i="41"/>
  <c r="I30" i="41" s="1"/>
  <c r="V97" i="30"/>
  <c r="I52" i="25"/>
  <c r="I77" i="25" s="1"/>
  <c r="I29" i="27"/>
  <c r="I30" i="27" s="1"/>
  <c r="V97" i="50"/>
  <c r="I52" i="41"/>
  <c r="I77" i="41" s="1"/>
  <c r="I52" i="24"/>
  <c r="I77" i="24" s="1"/>
  <c r="I29" i="24"/>
  <c r="I30" i="24" s="1"/>
  <c r="F115" i="49"/>
  <c r="I52" i="27"/>
  <c r="I77" i="27" s="1"/>
  <c r="F115" i="30"/>
  <c r="F119" i="20" s="1"/>
  <c r="V66" i="30"/>
  <c r="V37" i="30"/>
  <c r="V51" i="30"/>
  <c r="I52" i="30"/>
  <c r="V113" i="30"/>
  <c r="I114" i="30"/>
  <c r="F117" i="49"/>
  <c r="V88" i="50"/>
  <c r="F117" i="50"/>
  <c r="I117" i="50" s="1"/>
  <c r="F115" i="50"/>
  <c r="V89" i="50"/>
  <c r="V113" i="50"/>
  <c r="I114" i="50"/>
  <c r="V51" i="50"/>
  <c r="I52" i="50"/>
  <c r="V30" i="50"/>
  <c r="Q30" i="50"/>
  <c r="Q29" i="50"/>
  <c r="Q115" i="49"/>
  <c r="V89" i="49"/>
  <c r="V30" i="49"/>
  <c r="V29" i="49"/>
  <c r="V51" i="49"/>
  <c r="I52" i="49"/>
  <c r="V52" i="49" s="1"/>
  <c r="U115" i="49"/>
  <c r="I114" i="49"/>
  <c r="V113" i="49"/>
  <c r="V88" i="49"/>
  <c r="M123" i="41" l="1"/>
  <c r="J124" i="41"/>
  <c r="I24" i="39" s="1"/>
  <c r="V122" i="25"/>
  <c r="U115" i="50"/>
  <c r="U124" i="41"/>
  <c r="Q24" i="39"/>
  <c r="T24" i="39" s="1"/>
  <c r="G32" i="56" s="1"/>
  <c r="U123" i="41"/>
  <c r="O24" i="39"/>
  <c r="O123" i="41"/>
  <c r="O124" i="41" s="1"/>
  <c r="N24" i="39" s="1"/>
  <c r="O124" i="40"/>
  <c r="N123" i="41"/>
  <c r="N124" i="41" s="1"/>
  <c r="N124" i="40"/>
  <c r="N123" i="51"/>
  <c r="N124" i="51" s="1"/>
  <c r="M26" i="39" s="1"/>
  <c r="J24" i="39"/>
  <c r="L24" i="39" s="1"/>
  <c r="E32" i="56" s="1"/>
  <c r="M124" i="41"/>
  <c r="I123" i="41"/>
  <c r="I117" i="49"/>
  <c r="V117" i="49" s="1"/>
  <c r="T123" i="51"/>
  <c r="T124" i="51" s="1"/>
  <c r="R26" i="39"/>
  <c r="S129" i="51"/>
  <c r="P123" i="51"/>
  <c r="P124" i="51" s="1"/>
  <c r="O123" i="51"/>
  <c r="O124" i="51" s="1"/>
  <c r="L123" i="51"/>
  <c r="L124" i="51" s="1"/>
  <c r="K123" i="51"/>
  <c r="K124" i="51" s="1"/>
  <c r="H123" i="51"/>
  <c r="H124" i="51" s="1"/>
  <c r="G123" i="51"/>
  <c r="G124" i="51" s="1"/>
  <c r="L17" i="39"/>
  <c r="Q117" i="50"/>
  <c r="V52" i="50"/>
  <c r="R129" i="51"/>
  <c r="T23" i="39"/>
  <c r="S25" i="39"/>
  <c r="T25" i="39" s="1"/>
  <c r="G30" i="56" s="1"/>
  <c r="O25" i="39"/>
  <c r="N25" i="39"/>
  <c r="M25" i="39"/>
  <c r="P23" i="39"/>
  <c r="K25" i="39"/>
  <c r="F21" i="56"/>
  <c r="G21" i="56"/>
  <c r="G27" i="56" s="1"/>
  <c r="Q124" i="24"/>
  <c r="U124" i="24"/>
  <c r="P8" i="39"/>
  <c r="F8" i="56"/>
  <c r="E8" i="56"/>
  <c r="E25" i="56" s="1"/>
  <c r="T8" i="39"/>
  <c r="G8" i="56"/>
  <c r="E19" i="56"/>
  <c r="H15" i="56"/>
  <c r="J124" i="51"/>
  <c r="J123" i="24"/>
  <c r="J124" i="24" s="1"/>
  <c r="K123" i="24"/>
  <c r="K124" i="24" s="1"/>
  <c r="I122" i="41"/>
  <c r="V122" i="41" s="1"/>
  <c r="F124" i="41"/>
  <c r="E24" i="39" s="1"/>
  <c r="V122" i="24"/>
  <c r="V117" i="50"/>
  <c r="V52" i="30"/>
  <c r="I77" i="30"/>
  <c r="V77" i="30" s="1"/>
  <c r="V114" i="30"/>
  <c r="V114" i="50"/>
  <c r="I77" i="50"/>
  <c r="V77" i="50" s="1"/>
  <c r="I77" i="49"/>
  <c r="V77" i="49" s="1"/>
  <c r="V114" i="49"/>
  <c r="M123" i="51" l="1"/>
  <c r="U123" i="51"/>
  <c r="Q123" i="41"/>
  <c r="V123" i="41" s="1"/>
  <c r="S26" i="39"/>
  <c r="T26" i="39" s="1"/>
  <c r="G31" i="56" s="1"/>
  <c r="T129" i="51"/>
  <c r="U124" i="51"/>
  <c r="O26" i="39"/>
  <c r="P129" i="51"/>
  <c r="N26" i="39"/>
  <c r="P26" i="39" s="1"/>
  <c r="F31" i="56" s="1"/>
  <c r="O129" i="51"/>
  <c r="Q123" i="51"/>
  <c r="K26" i="39"/>
  <c r="L129" i="51"/>
  <c r="J26" i="39"/>
  <c r="G26" i="39"/>
  <c r="H129" i="51"/>
  <c r="G19" i="39" s="1"/>
  <c r="F26" i="39"/>
  <c r="G129" i="51"/>
  <c r="I26" i="39"/>
  <c r="L26" i="39" s="1"/>
  <c r="E31" i="56" s="1"/>
  <c r="J25" i="39"/>
  <c r="I25" i="39"/>
  <c r="N129" i="51"/>
  <c r="H24" i="39"/>
  <c r="M24" i="39"/>
  <c r="P24" i="39" s="1"/>
  <c r="Q124" i="41"/>
  <c r="P25" i="39"/>
  <c r="F30" i="56" s="1"/>
  <c r="J129" i="51"/>
  <c r="K129" i="51"/>
  <c r="F25" i="56"/>
  <c r="F12" i="56"/>
  <c r="L3" i="39"/>
  <c r="I18" i="39"/>
  <c r="L18" i="39" s="1"/>
  <c r="G12" i="56"/>
  <c r="G25" i="56"/>
  <c r="E24" i="56"/>
  <c r="I124" i="41"/>
  <c r="M124" i="51"/>
  <c r="Q124" i="51"/>
  <c r="M124" i="24"/>
  <c r="I115" i="30"/>
  <c r="V115" i="30" s="1"/>
  <c r="I115" i="49"/>
  <c r="V115" i="49" s="1"/>
  <c r="I115" i="50"/>
  <c r="V115" i="50" s="1"/>
  <c r="L25" i="39" l="1"/>
  <c r="E30" i="56" s="1"/>
  <c r="Q129" i="51"/>
  <c r="F32" i="56"/>
  <c r="V124" i="41"/>
  <c r="E6" i="56"/>
  <c r="M129" i="51"/>
  <c r="U24" i="39"/>
  <c r="D32" i="56"/>
  <c r="G29" i="56"/>
  <c r="G24" i="56"/>
  <c r="F29" i="56"/>
  <c r="F24" i="56"/>
  <c r="L7" i="39" l="1"/>
  <c r="E11" i="56" s="1"/>
  <c r="I22" i="39"/>
  <c r="L22" i="39" s="1"/>
  <c r="L4" i="39"/>
  <c r="I19" i="39"/>
  <c r="L19" i="39" s="1"/>
  <c r="L5" i="39"/>
  <c r="E9" i="56" s="1"/>
  <c r="I20" i="39"/>
  <c r="L20" i="39" s="1"/>
  <c r="L6" i="39"/>
  <c r="E10" i="56" s="1"/>
  <c r="I21" i="39"/>
  <c r="L21" i="39" s="1"/>
  <c r="H32" i="56"/>
  <c r="T23" i="43"/>
  <c r="P23" i="43"/>
  <c r="L23" i="43"/>
  <c r="H23" i="43"/>
  <c r="T22" i="43"/>
  <c r="P22" i="43"/>
  <c r="L22" i="43"/>
  <c r="T21" i="43"/>
  <c r="P21" i="43"/>
  <c r="L21" i="43"/>
  <c r="H21" i="43"/>
  <c r="T20" i="43"/>
  <c r="P20" i="43"/>
  <c r="L20" i="43"/>
  <c r="H20" i="43"/>
  <c r="T19" i="43"/>
  <c r="P19" i="43"/>
  <c r="L19" i="43"/>
  <c r="H19" i="43"/>
  <c r="T18" i="43"/>
  <c r="P18" i="43"/>
  <c r="L18" i="43"/>
  <c r="H18" i="43"/>
  <c r="T17" i="43"/>
  <c r="P17" i="43"/>
  <c r="L17" i="43"/>
  <c r="H17" i="43"/>
  <c r="S16" i="43"/>
  <c r="T15" i="43"/>
  <c r="P15" i="43"/>
  <c r="L15" i="43"/>
  <c r="R16" i="43"/>
  <c r="Q16" i="43"/>
  <c r="O16" i="43"/>
  <c r="N16" i="43"/>
  <c r="M16" i="43"/>
  <c r="K16" i="43"/>
  <c r="J16" i="43"/>
  <c r="I16" i="43"/>
  <c r="G16" i="43"/>
  <c r="F16" i="43"/>
  <c r="S11" i="43"/>
  <c r="S25" i="43" s="1"/>
  <c r="R11" i="43"/>
  <c r="R25" i="43" s="1"/>
  <c r="Q11" i="43"/>
  <c r="Q25" i="43" s="1"/>
  <c r="O11" i="43"/>
  <c r="O25" i="43" s="1"/>
  <c r="N11" i="43"/>
  <c r="N25" i="43" s="1"/>
  <c r="M11" i="43"/>
  <c r="M25" i="43" s="1"/>
  <c r="K11" i="43"/>
  <c r="K25" i="43" s="1"/>
  <c r="J11" i="43"/>
  <c r="J25" i="43" s="1"/>
  <c r="I11" i="43"/>
  <c r="I25" i="43" s="1"/>
  <c r="G11" i="43"/>
  <c r="G25" i="43" s="1"/>
  <c r="F11" i="43"/>
  <c r="F25" i="43" s="1"/>
  <c r="S10" i="43"/>
  <c r="S24" i="43" s="1"/>
  <c r="S8" i="43"/>
  <c r="T7" i="43"/>
  <c r="P7" i="43"/>
  <c r="L7" i="43"/>
  <c r="H7" i="43"/>
  <c r="R8" i="43"/>
  <c r="Q8" i="43"/>
  <c r="O8" i="43"/>
  <c r="K8" i="43"/>
  <c r="J8" i="43"/>
  <c r="I8" i="43"/>
  <c r="F8" i="43"/>
  <c r="S4" i="43"/>
  <c r="T3" i="43"/>
  <c r="P3" i="43"/>
  <c r="L3" i="43"/>
  <c r="H3" i="43"/>
  <c r="R10" i="43"/>
  <c r="Q4" i="43"/>
  <c r="O4" i="43"/>
  <c r="N4" i="43"/>
  <c r="K4" i="43"/>
  <c r="I4" i="43"/>
  <c r="G4" i="43"/>
  <c r="F4" i="43"/>
  <c r="L23" i="39" l="1"/>
  <c r="E7" i="56"/>
  <c r="L8" i="39"/>
  <c r="E28" i="56"/>
  <c r="L11" i="43"/>
  <c r="S26" i="43"/>
  <c r="P25" i="43"/>
  <c r="U21" i="43"/>
  <c r="U3" i="43"/>
  <c r="U23" i="43"/>
  <c r="U7" i="43"/>
  <c r="U19" i="43"/>
  <c r="U20" i="43"/>
  <c r="U22" i="43"/>
  <c r="U18" i="43"/>
  <c r="U17" i="43"/>
  <c r="T25" i="43"/>
  <c r="T11" i="43"/>
  <c r="S12" i="43"/>
  <c r="N10" i="43"/>
  <c r="N12" i="43" s="1"/>
  <c r="F10" i="43"/>
  <c r="F12" i="43" s="1"/>
  <c r="M10" i="43"/>
  <c r="M24" i="43" s="1"/>
  <c r="M26" i="43" s="1"/>
  <c r="J10" i="43"/>
  <c r="J12" i="43" s="1"/>
  <c r="T8" i="43"/>
  <c r="G8" i="43"/>
  <c r="P14" i="43"/>
  <c r="P2" i="43"/>
  <c r="L8" i="43"/>
  <c r="T6" i="43"/>
  <c r="N8" i="43"/>
  <c r="L16" i="43"/>
  <c r="M4" i="43"/>
  <c r="P4" i="43" s="1"/>
  <c r="P6" i="43"/>
  <c r="L14" i="43"/>
  <c r="P16" i="43"/>
  <c r="L25" i="43"/>
  <c r="R24" i="43"/>
  <c r="R26" i="43" s="1"/>
  <c r="R12" i="43"/>
  <c r="T16" i="43"/>
  <c r="H11" i="43"/>
  <c r="J4" i="43"/>
  <c r="L4" i="43" s="1"/>
  <c r="R4" i="43"/>
  <c r="T4" i="43" s="1"/>
  <c r="K10" i="43"/>
  <c r="L6" i="43"/>
  <c r="I10" i="43"/>
  <c r="P11" i="43"/>
  <c r="M8" i="43"/>
  <c r="T2" i="43"/>
  <c r="G10" i="43"/>
  <c r="O10" i="43"/>
  <c r="T14" i="43"/>
  <c r="L2" i="43"/>
  <c r="Q10" i="43"/>
  <c r="E22" i="56" l="1"/>
  <c r="E29" i="56" s="1"/>
  <c r="E12" i="56"/>
  <c r="E27" i="56"/>
  <c r="J24" i="43"/>
  <c r="J26" i="43" s="1"/>
  <c r="N24" i="43"/>
  <c r="N26" i="43" s="1"/>
  <c r="M12" i="43"/>
  <c r="U11" i="43"/>
  <c r="F24" i="43"/>
  <c r="F26" i="43" s="1"/>
  <c r="L10" i="43"/>
  <c r="L24" i="43" s="1"/>
  <c r="T10" i="43"/>
  <c r="T24" i="43" s="1"/>
  <c r="P8" i="43"/>
  <c r="P10" i="43"/>
  <c r="P24" i="43" s="1"/>
  <c r="Q24" i="43"/>
  <c r="Q26" i="43" s="1"/>
  <c r="T26" i="43" s="1"/>
  <c r="Q12" i="43"/>
  <c r="T12" i="43" s="1"/>
  <c r="I24" i="43"/>
  <c r="I26" i="43" s="1"/>
  <c r="I12" i="43"/>
  <c r="O24" i="43"/>
  <c r="O26" i="43" s="1"/>
  <c r="P26" i="43" s="1"/>
  <c r="O12" i="43"/>
  <c r="P12" i="43" s="1"/>
  <c r="K24" i="43"/>
  <c r="K26" i="43" s="1"/>
  <c r="K12" i="43"/>
  <c r="G24" i="43"/>
  <c r="G26" i="43" s="1"/>
  <c r="G12" i="43"/>
  <c r="E21" i="56" l="1"/>
  <c r="L26" i="43"/>
  <c r="L12" i="43"/>
  <c r="R64" i="3" l="1"/>
  <c r="U23" i="25" l="1"/>
  <c r="V23" i="25" s="1"/>
  <c r="U23" i="24"/>
  <c r="V23" i="24" s="1"/>
  <c r="U23" i="41"/>
  <c r="V23" i="41" s="1"/>
  <c r="U23" i="4"/>
  <c r="Q23" i="4"/>
  <c r="M23" i="4"/>
  <c r="I23" i="4"/>
  <c r="U23" i="31"/>
  <c r="V23" i="31" s="1"/>
  <c r="U23" i="26"/>
  <c r="V23" i="26" l="1"/>
  <c r="V23" i="4"/>
  <c r="L113" i="40" l="1"/>
  <c r="T113" i="40"/>
  <c r="S113" i="40"/>
  <c r="R113" i="40"/>
  <c r="P113" i="40"/>
  <c r="O113" i="40"/>
  <c r="N113" i="40"/>
  <c r="K113" i="40"/>
  <c r="J113" i="40"/>
  <c r="H113" i="40"/>
  <c r="G113" i="40"/>
  <c r="N114" i="40" l="1"/>
  <c r="N121" i="40" s="1"/>
  <c r="T114" i="40"/>
  <c r="S114" i="40"/>
  <c r="R114" i="40"/>
  <c r="P114" i="40"/>
  <c r="O114" i="40"/>
  <c r="L114" i="40"/>
  <c r="K114" i="40"/>
  <c r="J114" i="40"/>
  <c r="H114" i="40"/>
  <c r="G114" i="40"/>
  <c r="U129" i="51" l="1"/>
  <c r="N120" i="40"/>
  <c r="T115" i="40"/>
  <c r="T117" i="40" s="1"/>
  <c r="S115" i="40"/>
  <c r="S117" i="40" s="1"/>
  <c r="R115" i="40"/>
  <c r="R117" i="40" s="1"/>
  <c r="P115" i="40"/>
  <c r="P117" i="40" s="1"/>
  <c r="O115" i="40"/>
  <c r="O117" i="40" s="1"/>
  <c r="N115" i="40"/>
  <c r="N117" i="40" s="1"/>
  <c r="L115" i="40"/>
  <c r="L117" i="40" s="1"/>
  <c r="K115" i="40"/>
  <c r="K117" i="40" s="1"/>
  <c r="J115" i="40"/>
  <c r="J117" i="40" s="1"/>
  <c r="H115" i="40"/>
  <c r="H117" i="40" s="1"/>
  <c r="G115" i="40"/>
  <c r="G117" i="40" s="1"/>
  <c r="U123" i="24" l="1"/>
  <c r="M123" i="24"/>
  <c r="Q123" i="24" l="1"/>
  <c r="U23" i="27"/>
  <c r="U24" i="27"/>
  <c r="U23" i="28"/>
  <c r="U112" i="41"/>
  <c r="V112" i="41" s="1"/>
  <c r="M113" i="41"/>
  <c r="U111" i="41"/>
  <c r="V111" i="41" s="1"/>
  <c r="U110" i="41"/>
  <c r="U109" i="41"/>
  <c r="V109" i="41" s="1"/>
  <c r="U108" i="41"/>
  <c r="V108" i="41" s="1"/>
  <c r="U105" i="41"/>
  <c r="U104" i="41"/>
  <c r="U103" i="41"/>
  <c r="V103" i="41" s="1"/>
  <c r="U102" i="41"/>
  <c r="V102" i="41" s="1"/>
  <c r="U101" i="41"/>
  <c r="V101" i="41" s="1"/>
  <c r="U100" i="41"/>
  <c r="V100" i="41" s="1"/>
  <c r="U99" i="41"/>
  <c r="N114" i="41"/>
  <c r="U96" i="41"/>
  <c r="V96" i="41" s="1"/>
  <c r="U95" i="41"/>
  <c r="V95" i="41" s="1"/>
  <c r="U94" i="41"/>
  <c r="U93" i="41"/>
  <c r="V93" i="41" s="1"/>
  <c r="U92" i="41"/>
  <c r="U91" i="41"/>
  <c r="V91" i="41" s="1"/>
  <c r="U90" i="41"/>
  <c r="V90" i="41" s="1"/>
  <c r="G114" i="41"/>
  <c r="U87" i="41"/>
  <c r="V87" i="41" s="1"/>
  <c r="U86" i="41"/>
  <c r="V86" i="41" s="1"/>
  <c r="U85" i="41"/>
  <c r="V85" i="41" s="1"/>
  <c r="U84" i="41"/>
  <c r="V84" i="41" s="1"/>
  <c r="U83" i="41"/>
  <c r="V83" i="41" s="1"/>
  <c r="U82" i="41"/>
  <c r="V82" i="41" s="1"/>
  <c r="U81" i="41"/>
  <c r="V81" i="41" s="1"/>
  <c r="U80" i="41"/>
  <c r="V80" i="41" s="1"/>
  <c r="U75" i="41"/>
  <c r="V75" i="41" s="1"/>
  <c r="U74" i="41"/>
  <c r="V74" i="41" s="1"/>
  <c r="U73" i="41"/>
  <c r="V73" i="41" s="1"/>
  <c r="U70" i="41"/>
  <c r="V70" i="41" s="1"/>
  <c r="U69" i="41"/>
  <c r="V69" i="41" s="1"/>
  <c r="U68" i="41"/>
  <c r="U65" i="41"/>
  <c r="U64" i="41"/>
  <c r="U63" i="41"/>
  <c r="U62" i="41"/>
  <c r="U61" i="41"/>
  <c r="V61" i="41" s="1"/>
  <c r="U60" i="41"/>
  <c r="U59" i="41"/>
  <c r="U58" i="41"/>
  <c r="U57" i="41"/>
  <c r="U56" i="41"/>
  <c r="U55" i="41"/>
  <c r="V55" i="41" s="1"/>
  <c r="V53" i="41"/>
  <c r="U50" i="41"/>
  <c r="U49" i="41"/>
  <c r="U48" i="41"/>
  <c r="V48" i="41" s="1"/>
  <c r="U47" i="41"/>
  <c r="U46" i="41"/>
  <c r="U45" i="41"/>
  <c r="U44" i="41"/>
  <c r="U43" i="41"/>
  <c r="U42" i="41"/>
  <c r="U41" i="41"/>
  <c r="U40" i="41"/>
  <c r="U39" i="41"/>
  <c r="U36" i="41"/>
  <c r="U35" i="41"/>
  <c r="V35" i="41" s="1"/>
  <c r="U34" i="41"/>
  <c r="U33" i="41"/>
  <c r="U25" i="41"/>
  <c r="U24" i="41"/>
  <c r="U22" i="41"/>
  <c r="U21" i="41"/>
  <c r="U20" i="41"/>
  <c r="V20" i="41" s="1"/>
  <c r="U19" i="41"/>
  <c r="V19" i="41" s="1"/>
  <c r="U18" i="41"/>
  <c r="V18" i="41" s="1"/>
  <c r="U17" i="41"/>
  <c r="V17" i="41" s="1"/>
  <c r="U16" i="41"/>
  <c r="U10" i="41"/>
  <c r="U9" i="41"/>
  <c r="U8" i="41"/>
  <c r="V8" i="41" s="1"/>
  <c r="U7" i="41"/>
  <c r="V7" i="41" s="1"/>
  <c r="U6" i="41"/>
  <c r="U5" i="41"/>
  <c r="V5" i="41" s="1"/>
  <c r="G121" i="20" l="1"/>
  <c r="N121" i="20"/>
  <c r="U88" i="41"/>
  <c r="U89" i="41" s="1"/>
  <c r="U113" i="41"/>
  <c r="U12" i="41"/>
  <c r="U76" i="41"/>
  <c r="U71" i="41"/>
  <c r="T114" i="41"/>
  <c r="U97" i="41"/>
  <c r="V63" i="41"/>
  <c r="U66" i="41"/>
  <c r="R114" i="41"/>
  <c r="S114" i="41"/>
  <c r="U51" i="41"/>
  <c r="U106" i="41"/>
  <c r="V47" i="41"/>
  <c r="V24" i="41"/>
  <c r="V104" i="41"/>
  <c r="P114" i="41"/>
  <c r="V64" i="41"/>
  <c r="O114" i="41"/>
  <c r="V10" i="41"/>
  <c r="Q113" i="41"/>
  <c r="V21" i="41"/>
  <c r="L114" i="41"/>
  <c r="V36" i="41"/>
  <c r="V40" i="41"/>
  <c r="V46" i="41"/>
  <c r="K114" i="41"/>
  <c r="V94" i="41"/>
  <c r="V43" i="41"/>
  <c r="J114" i="41"/>
  <c r="V42" i="41"/>
  <c r="V41" i="41"/>
  <c r="V65" i="41"/>
  <c r="V56" i="41"/>
  <c r="V59" i="41"/>
  <c r="V68" i="41"/>
  <c r="V45" i="41"/>
  <c r="V50" i="41"/>
  <c r="H114" i="41"/>
  <c r="V110" i="41"/>
  <c r="I113" i="41"/>
  <c r="V39" i="41"/>
  <c r="V23" i="28"/>
  <c r="V105" i="41"/>
  <c r="V92" i="41"/>
  <c r="V60" i="41"/>
  <c r="V58" i="41"/>
  <c r="V34" i="41"/>
  <c r="V6" i="41"/>
  <c r="V33" i="41"/>
  <c r="V49" i="41"/>
  <c r="V62" i="41"/>
  <c r="V9" i="41"/>
  <c r="V22" i="41"/>
  <c r="V25" i="41"/>
  <c r="U37" i="41"/>
  <c r="V44" i="41"/>
  <c r="V57" i="41"/>
  <c r="U26" i="41"/>
  <c r="V99" i="41"/>
  <c r="V16" i="41"/>
  <c r="U29" i="41" l="1"/>
  <c r="U30" i="41" s="1"/>
  <c r="S121" i="20"/>
  <c r="T121" i="20"/>
  <c r="O121" i="20"/>
  <c r="L121" i="20"/>
  <c r="P121" i="20"/>
  <c r="R121" i="20"/>
  <c r="K121" i="20"/>
  <c r="H121" i="20"/>
  <c r="J121" i="20"/>
  <c r="T115" i="41"/>
  <c r="U114" i="41"/>
  <c r="T117" i="41"/>
  <c r="S115" i="41"/>
  <c r="S117" i="41"/>
  <c r="R117" i="41"/>
  <c r="U52" i="41"/>
  <c r="U77" i="41" s="1"/>
  <c r="R115" i="41"/>
  <c r="P117" i="41"/>
  <c r="P115" i="41"/>
  <c r="V12" i="41"/>
  <c r="O117" i="41"/>
  <c r="O115" i="41"/>
  <c r="V113" i="41"/>
  <c r="N115" i="41"/>
  <c r="N117" i="41"/>
  <c r="L115" i="41"/>
  <c r="L117" i="41"/>
  <c r="V106" i="41"/>
  <c r="V97" i="41"/>
  <c r="K115" i="41"/>
  <c r="K117" i="41"/>
  <c r="J115" i="41"/>
  <c r="G115" i="41"/>
  <c r="J117" i="41"/>
  <c r="V71" i="41"/>
  <c r="H117" i="41"/>
  <c r="H115" i="41"/>
  <c r="G117" i="41"/>
  <c r="F115" i="41"/>
  <c r="V26" i="41"/>
  <c r="M114" i="41"/>
  <c r="V76" i="41"/>
  <c r="V66" i="41"/>
  <c r="V89" i="41"/>
  <c r="V51" i="41"/>
  <c r="Q114" i="41"/>
  <c r="V37" i="41"/>
  <c r="I114" i="41"/>
  <c r="V88" i="41"/>
  <c r="U115" i="41" l="1"/>
  <c r="U117" i="41"/>
  <c r="V29" i="41"/>
  <c r="V30" i="41" s="1"/>
  <c r="Q117" i="41"/>
  <c r="Q115" i="41"/>
  <c r="M117" i="41"/>
  <c r="V52" i="41"/>
  <c r="M115" i="41"/>
  <c r="I117" i="41"/>
  <c r="V114" i="41"/>
  <c r="V77" i="41"/>
  <c r="V117" i="41" l="1"/>
  <c r="I115" i="41"/>
  <c r="V115" i="41" s="1"/>
  <c r="U82" i="4" l="1"/>
  <c r="U25" i="31" l="1"/>
  <c r="U24" i="31"/>
  <c r="V24" i="31" s="1"/>
  <c r="U22" i="31"/>
  <c r="V22" i="31" s="1"/>
  <c r="U21" i="31"/>
  <c r="V21" i="31" s="1"/>
  <c r="U20" i="31"/>
  <c r="U19" i="31"/>
  <c r="V19" i="31" s="1"/>
  <c r="U18" i="31"/>
  <c r="V18" i="31" s="1"/>
  <c r="U17" i="31"/>
  <c r="V17" i="31" s="1"/>
  <c r="U16" i="31"/>
  <c r="U10" i="31"/>
  <c r="U9" i="31"/>
  <c r="V9" i="31" s="1"/>
  <c r="U8" i="31"/>
  <c r="V8" i="31" s="1"/>
  <c r="U7" i="31"/>
  <c r="U6" i="31"/>
  <c r="U5" i="31"/>
  <c r="V5" i="31" s="1"/>
  <c r="U12" i="31" l="1"/>
  <c r="V10" i="31"/>
  <c r="U26" i="31"/>
  <c r="V20" i="31"/>
  <c r="V25" i="31"/>
  <c r="V6" i="31"/>
  <c r="U30" i="31"/>
  <c r="V7" i="31"/>
  <c r="V16" i="31"/>
  <c r="U29" i="31" l="1"/>
  <c r="V12" i="31"/>
  <c r="V26" i="31"/>
  <c r="K113" i="4"/>
  <c r="L113" i="4"/>
  <c r="J113" i="4"/>
  <c r="G113" i="4"/>
  <c r="H113" i="4"/>
  <c r="N113" i="4"/>
  <c r="O113" i="4"/>
  <c r="P113" i="4"/>
  <c r="R113" i="4"/>
  <c r="V29" i="31" l="1"/>
  <c r="V30" i="31" s="1"/>
  <c r="T113" i="27" l="1"/>
  <c r="S113" i="27"/>
  <c r="R113" i="27"/>
  <c r="P113" i="27"/>
  <c r="O113" i="27"/>
  <c r="N113" i="27"/>
  <c r="L113" i="27"/>
  <c r="K113" i="27"/>
  <c r="J113" i="27"/>
  <c r="H113" i="27"/>
  <c r="G113" i="27"/>
  <c r="F113" i="27"/>
  <c r="Q113" i="26"/>
  <c r="T113" i="20" l="1"/>
  <c r="F51" i="20" l="1"/>
  <c r="J113" i="20"/>
  <c r="N113" i="20"/>
  <c r="M23" i="40"/>
  <c r="Q34" i="40"/>
  <c r="Q35" i="40"/>
  <c r="Q36" i="40"/>
  <c r="Q33" i="40"/>
  <c r="P113" i="20"/>
  <c r="K113" i="20"/>
  <c r="O113" i="20"/>
  <c r="L113" i="20"/>
  <c r="R113" i="20"/>
  <c r="S113" i="20"/>
  <c r="T121" i="40" l="1"/>
  <c r="T122" i="20" s="1"/>
  <c r="S121" i="40"/>
  <c r="S122" i="20" s="1"/>
  <c r="R120" i="40"/>
  <c r="R121" i="40"/>
  <c r="R122" i="20" s="1"/>
  <c r="T120" i="40" l="1"/>
  <c r="S120" i="40"/>
  <c r="P120" i="40"/>
  <c r="O120" i="40"/>
  <c r="U124" i="40" l="1"/>
  <c r="V23" i="27" l="1"/>
  <c r="H26" i="3" l="1"/>
  <c r="T115" i="3" l="1"/>
  <c r="S115" i="3"/>
  <c r="R115" i="3"/>
  <c r="T114" i="3"/>
  <c r="S114" i="3"/>
  <c r="R114" i="3"/>
  <c r="T113" i="3"/>
  <c r="S113" i="3"/>
  <c r="R113" i="3"/>
  <c r="T112" i="3"/>
  <c r="S112" i="3"/>
  <c r="R112" i="3"/>
  <c r="T111" i="3"/>
  <c r="S111" i="3"/>
  <c r="R111" i="3"/>
  <c r="T108" i="3"/>
  <c r="S108" i="3"/>
  <c r="R108" i="3"/>
  <c r="T107" i="3"/>
  <c r="S107" i="3"/>
  <c r="R107" i="3"/>
  <c r="T106" i="3"/>
  <c r="S106" i="3"/>
  <c r="R106" i="3"/>
  <c r="T105" i="3"/>
  <c r="S105" i="3"/>
  <c r="R105" i="3"/>
  <c r="T104" i="3"/>
  <c r="S104" i="3"/>
  <c r="R104" i="3"/>
  <c r="T103" i="3"/>
  <c r="S103" i="3"/>
  <c r="R103" i="3"/>
  <c r="T102" i="3"/>
  <c r="S102" i="3"/>
  <c r="R102" i="3"/>
  <c r="T99" i="3"/>
  <c r="S99" i="3"/>
  <c r="R99" i="3"/>
  <c r="T98" i="3"/>
  <c r="S98" i="3"/>
  <c r="R98" i="3"/>
  <c r="T97" i="3"/>
  <c r="S97" i="3"/>
  <c r="R97" i="3"/>
  <c r="T96" i="3"/>
  <c r="S96" i="3"/>
  <c r="R96" i="3"/>
  <c r="T95" i="3"/>
  <c r="S95" i="3"/>
  <c r="R95" i="3"/>
  <c r="T94" i="3"/>
  <c r="S94" i="3"/>
  <c r="R94" i="3"/>
  <c r="T90" i="3"/>
  <c r="S90" i="3"/>
  <c r="R90" i="3"/>
  <c r="T89" i="3"/>
  <c r="S89" i="3"/>
  <c r="R89" i="3"/>
  <c r="T88" i="3"/>
  <c r="S88" i="3"/>
  <c r="R88" i="3"/>
  <c r="T87" i="3"/>
  <c r="S87" i="3"/>
  <c r="R87" i="3"/>
  <c r="T86" i="3"/>
  <c r="S86" i="3"/>
  <c r="R86" i="3"/>
  <c r="T85" i="3"/>
  <c r="S85" i="3"/>
  <c r="R85" i="3"/>
  <c r="T84" i="3"/>
  <c r="S84" i="3"/>
  <c r="R84" i="3"/>
  <c r="T83" i="3"/>
  <c r="S83" i="3"/>
  <c r="R83" i="3"/>
  <c r="T78" i="3"/>
  <c r="S78" i="3"/>
  <c r="R78" i="3"/>
  <c r="T77" i="3"/>
  <c r="S77" i="3"/>
  <c r="R77" i="3"/>
  <c r="T76" i="3"/>
  <c r="S76" i="3"/>
  <c r="R76" i="3"/>
  <c r="T73" i="3"/>
  <c r="S73" i="3"/>
  <c r="R73" i="3"/>
  <c r="T72" i="3"/>
  <c r="S72" i="3"/>
  <c r="R72" i="3"/>
  <c r="T71" i="3"/>
  <c r="S71" i="3"/>
  <c r="R71" i="3"/>
  <c r="T68" i="3"/>
  <c r="S68" i="3"/>
  <c r="R68" i="3"/>
  <c r="T67" i="3"/>
  <c r="S67" i="3"/>
  <c r="R67" i="3"/>
  <c r="T66" i="3"/>
  <c r="S66" i="3"/>
  <c r="R66" i="3"/>
  <c r="T65" i="3"/>
  <c r="S65" i="3"/>
  <c r="R65" i="3"/>
  <c r="T64" i="3"/>
  <c r="S64" i="3"/>
  <c r="T63" i="3"/>
  <c r="S63" i="3"/>
  <c r="R63" i="3"/>
  <c r="T62" i="3"/>
  <c r="S62" i="3"/>
  <c r="R62" i="3"/>
  <c r="T61" i="3"/>
  <c r="S61" i="3"/>
  <c r="R61" i="3"/>
  <c r="T60" i="3"/>
  <c r="S60" i="3"/>
  <c r="R60" i="3"/>
  <c r="T59" i="3"/>
  <c r="S59" i="3"/>
  <c r="R59" i="3"/>
  <c r="T58" i="3"/>
  <c r="S58" i="3"/>
  <c r="R58" i="3"/>
  <c r="T53" i="3"/>
  <c r="S53" i="3"/>
  <c r="R53" i="3"/>
  <c r="T52" i="3"/>
  <c r="S52" i="3"/>
  <c r="R52" i="3"/>
  <c r="T51" i="3"/>
  <c r="S51" i="3"/>
  <c r="R51" i="3"/>
  <c r="T50" i="3"/>
  <c r="S50" i="3"/>
  <c r="R50" i="3"/>
  <c r="T49" i="3"/>
  <c r="S49" i="3"/>
  <c r="R49" i="3"/>
  <c r="T48" i="3"/>
  <c r="S48" i="3"/>
  <c r="R48" i="3"/>
  <c r="T47" i="3"/>
  <c r="S47" i="3"/>
  <c r="R47" i="3"/>
  <c r="T46" i="3"/>
  <c r="S46" i="3"/>
  <c r="R46" i="3"/>
  <c r="T45" i="3"/>
  <c r="S45" i="3"/>
  <c r="R45" i="3"/>
  <c r="T44" i="3"/>
  <c r="S44" i="3"/>
  <c r="R44" i="3"/>
  <c r="T43" i="3"/>
  <c r="S43" i="3"/>
  <c r="R43" i="3"/>
  <c r="T42" i="3"/>
  <c r="S42" i="3"/>
  <c r="R42" i="3"/>
  <c r="T39" i="3"/>
  <c r="S39" i="3"/>
  <c r="R39" i="3"/>
  <c r="T38" i="3"/>
  <c r="S38" i="3"/>
  <c r="R38" i="3"/>
  <c r="T37" i="3"/>
  <c r="S37" i="3"/>
  <c r="R37" i="3"/>
  <c r="T36" i="3"/>
  <c r="S36" i="3"/>
  <c r="R36" i="3"/>
  <c r="T28" i="3"/>
  <c r="S28" i="3"/>
  <c r="R28" i="3"/>
  <c r="T27" i="3"/>
  <c r="S27" i="3"/>
  <c r="R27" i="3"/>
  <c r="T26" i="3"/>
  <c r="S26" i="3"/>
  <c r="R26" i="3"/>
  <c r="T25" i="3"/>
  <c r="S25" i="3"/>
  <c r="R25" i="3"/>
  <c r="T24" i="3"/>
  <c r="S24" i="3"/>
  <c r="R24" i="3"/>
  <c r="T23" i="3"/>
  <c r="S23" i="3"/>
  <c r="R23" i="3"/>
  <c r="T22" i="3"/>
  <c r="S22" i="3"/>
  <c r="R22" i="3"/>
  <c r="T21" i="3"/>
  <c r="S21" i="3"/>
  <c r="R21" i="3"/>
  <c r="T20" i="3"/>
  <c r="S20" i="3"/>
  <c r="R20" i="3"/>
  <c r="T19" i="3"/>
  <c r="S19" i="3"/>
  <c r="R19" i="3"/>
  <c r="T13" i="3"/>
  <c r="S13" i="3"/>
  <c r="R13" i="3"/>
  <c r="T12" i="3"/>
  <c r="S12" i="3"/>
  <c r="R12" i="3"/>
  <c r="T11" i="3"/>
  <c r="S11" i="3"/>
  <c r="R11" i="3"/>
  <c r="T10" i="3"/>
  <c r="S10" i="3"/>
  <c r="R10" i="3"/>
  <c r="T9" i="3"/>
  <c r="S9" i="3"/>
  <c r="R9" i="3"/>
  <c r="T8" i="3"/>
  <c r="S8" i="3"/>
  <c r="R8" i="3"/>
  <c r="P115" i="3"/>
  <c r="O115" i="3"/>
  <c r="N115" i="3"/>
  <c r="P114" i="3"/>
  <c r="O114" i="3"/>
  <c r="N114" i="3"/>
  <c r="P113" i="3"/>
  <c r="O113" i="3"/>
  <c r="N113" i="3"/>
  <c r="P112" i="3"/>
  <c r="O112" i="3"/>
  <c r="N112" i="3"/>
  <c r="P111" i="3"/>
  <c r="O111" i="3"/>
  <c r="N111" i="3"/>
  <c r="P108" i="3"/>
  <c r="O108" i="3"/>
  <c r="N108" i="3"/>
  <c r="P107" i="3"/>
  <c r="O107" i="3"/>
  <c r="N107" i="3"/>
  <c r="P106" i="3"/>
  <c r="O106" i="3"/>
  <c r="N106" i="3"/>
  <c r="P105" i="3"/>
  <c r="O105" i="3"/>
  <c r="N105" i="3"/>
  <c r="P104" i="3"/>
  <c r="O104" i="3"/>
  <c r="N104" i="3"/>
  <c r="P103" i="3"/>
  <c r="O103" i="3"/>
  <c r="N103" i="3"/>
  <c r="P102" i="3"/>
  <c r="O102" i="3"/>
  <c r="N102" i="3"/>
  <c r="P99" i="3"/>
  <c r="O99" i="3"/>
  <c r="N99" i="3"/>
  <c r="P98" i="3"/>
  <c r="O98" i="3"/>
  <c r="N98" i="3"/>
  <c r="P97" i="3"/>
  <c r="O97" i="3"/>
  <c r="N97" i="3"/>
  <c r="P96" i="3"/>
  <c r="O96" i="3"/>
  <c r="N96" i="3"/>
  <c r="P95" i="3"/>
  <c r="O95" i="3"/>
  <c r="N95" i="3"/>
  <c r="P94" i="3"/>
  <c r="O94" i="3"/>
  <c r="N94" i="3"/>
  <c r="P90" i="3"/>
  <c r="O90" i="3"/>
  <c r="N90" i="3"/>
  <c r="P89" i="3"/>
  <c r="O89" i="3"/>
  <c r="N89" i="3"/>
  <c r="P88" i="3"/>
  <c r="O88" i="3"/>
  <c r="N88" i="3"/>
  <c r="P87" i="3"/>
  <c r="O87" i="3"/>
  <c r="N87" i="3"/>
  <c r="P86" i="3"/>
  <c r="O86" i="3"/>
  <c r="N86" i="3"/>
  <c r="P85" i="3"/>
  <c r="O85" i="3"/>
  <c r="N85" i="3"/>
  <c r="P84" i="3"/>
  <c r="O84" i="3"/>
  <c r="N84" i="3"/>
  <c r="P83" i="3"/>
  <c r="O83" i="3"/>
  <c r="N83" i="3"/>
  <c r="P78" i="3"/>
  <c r="O78" i="3"/>
  <c r="N78" i="3"/>
  <c r="P77" i="3"/>
  <c r="O77" i="3"/>
  <c r="N77" i="3"/>
  <c r="P76" i="3"/>
  <c r="O76" i="3"/>
  <c r="N76" i="3"/>
  <c r="P73" i="3"/>
  <c r="O73" i="3"/>
  <c r="N73" i="3"/>
  <c r="P72" i="3"/>
  <c r="O72" i="3"/>
  <c r="N72" i="3"/>
  <c r="P71" i="3"/>
  <c r="O71" i="3"/>
  <c r="N71" i="3"/>
  <c r="P68" i="3"/>
  <c r="O68" i="3"/>
  <c r="N68" i="3"/>
  <c r="P67" i="3"/>
  <c r="O67" i="3"/>
  <c r="N67" i="3"/>
  <c r="P66" i="3"/>
  <c r="O66" i="3"/>
  <c r="N66" i="3"/>
  <c r="P65" i="3"/>
  <c r="O65" i="3"/>
  <c r="N65" i="3"/>
  <c r="P64" i="3"/>
  <c r="O64" i="3"/>
  <c r="N64" i="3"/>
  <c r="P63" i="3"/>
  <c r="O63" i="3"/>
  <c r="N63" i="3"/>
  <c r="P62" i="3"/>
  <c r="O62" i="3"/>
  <c r="N62" i="3"/>
  <c r="P61" i="3"/>
  <c r="O61" i="3"/>
  <c r="N61" i="3"/>
  <c r="P60" i="3"/>
  <c r="O60" i="3"/>
  <c r="N60" i="3"/>
  <c r="P59" i="3"/>
  <c r="O59" i="3"/>
  <c r="N59" i="3"/>
  <c r="P58" i="3"/>
  <c r="O58" i="3"/>
  <c r="N58" i="3"/>
  <c r="P53" i="3"/>
  <c r="O53" i="3"/>
  <c r="N53" i="3"/>
  <c r="P52" i="3"/>
  <c r="O52" i="3"/>
  <c r="N52" i="3"/>
  <c r="P51" i="3"/>
  <c r="O51" i="3"/>
  <c r="N51" i="3"/>
  <c r="P50" i="3"/>
  <c r="O50" i="3"/>
  <c r="N50" i="3"/>
  <c r="P49" i="3"/>
  <c r="O49" i="3"/>
  <c r="N49" i="3"/>
  <c r="P48" i="3"/>
  <c r="O48" i="3"/>
  <c r="N48" i="3"/>
  <c r="P47" i="3"/>
  <c r="O47" i="3"/>
  <c r="N47" i="3"/>
  <c r="P46" i="3"/>
  <c r="O46" i="3"/>
  <c r="N46" i="3"/>
  <c r="P45" i="3"/>
  <c r="O45" i="3"/>
  <c r="N45" i="3"/>
  <c r="P44" i="3"/>
  <c r="O44" i="3"/>
  <c r="N44" i="3"/>
  <c r="P43" i="3"/>
  <c r="O43" i="3"/>
  <c r="N43" i="3"/>
  <c r="P42" i="3"/>
  <c r="O42" i="3"/>
  <c r="N42" i="3"/>
  <c r="P39" i="3"/>
  <c r="O39" i="3"/>
  <c r="N39" i="3"/>
  <c r="P38" i="3"/>
  <c r="O38" i="3"/>
  <c r="N38" i="3"/>
  <c r="P37" i="3"/>
  <c r="O37" i="3"/>
  <c r="N37" i="3"/>
  <c r="P36" i="3"/>
  <c r="O36" i="3"/>
  <c r="N36" i="3"/>
  <c r="P28" i="3"/>
  <c r="O28" i="3"/>
  <c r="N28" i="3"/>
  <c r="P27" i="3"/>
  <c r="O27" i="3"/>
  <c r="N27" i="3"/>
  <c r="P26" i="3"/>
  <c r="O26" i="3"/>
  <c r="N26" i="3"/>
  <c r="P25" i="3"/>
  <c r="O25" i="3"/>
  <c r="N25" i="3"/>
  <c r="P24" i="3"/>
  <c r="O24" i="3"/>
  <c r="N24" i="3"/>
  <c r="P23" i="3"/>
  <c r="O23" i="3"/>
  <c r="N23" i="3"/>
  <c r="P22" i="3"/>
  <c r="O22" i="3"/>
  <c r="N22" i="3"/>
  <c r="P21" i="3"/>
  <c r="O21" i="3"/>
  <c r="N21" i="3"/>
  <c r="P20" i="3"/>
  <c r="O20" i="3"/>
  <c r="N20" i="3"/>
  <c r="P19" i="3"/>
  <c r="O19" i="3"/>
  <c r="N19" i="3"/>
  <c r="P13" i="3"/>
  <c r="O13" i="3"/>
  <c r="N13" i="3"/>
  <c r="P12" i="3"/>
  <c r="O12" i="3"/>
  <c r="N12" i="3"/>
  <c r="P11" i="3"/>
  <c r="O11" i="3"/>
  <c r="N11" i="3"/>
  <c r="P10" i="3"/>
  <c r="O10" i="3"/>
  <c r="N10" i="3"/>
  <c r="P9" i="3"/>
  <c r="O9" i="3"/>
  <c r="N9" i="3"/>
  <c r="P8" i="3"/>
  <c r="O8" i="3"/>
  <c r="N8" i="3"/>
  <c r="L115" i="3"/>
  <c r="K115" i="3"/>
  <c r="J115" i="3"/>
  <c r="L114" i="3"/>
  <c r="K114" i="3"/>
  <c r="J114" i="3"/>
  <c r="L113" i="3"/>
  <c r="K113" i="3"/>
  <c r="J113" i="3"/>
  <c r="L112" i="3"/>
  <c r="K112" i="3"/>
  <c r="J112" i="3"/>
  <c r="L111" i="3"/>
  <c r="K111" i="3"/>
  <c r="J111" i="3"/>
  <c r="L108" i="3"/>
  <c r="K108" i="3"/>
  <c r="J108" i="3"/>
  <c r="L107" i="3"/>
  <c r="K107" i="3"/>
  <c r="J107" i="3"/>
  <c r="L106" i="3"/>
  <c r="K106" i="3"/>
  <c r="J106" i="3"/>
  <c r="L105" i="3"/>
  <c r="K105" i="3"/>
  <c r="J105" i="3"/>
  <c r="L104" i="3"/>
  <c r="K104" i="3"/>
  <c r="J104" i="3"/>
  <c r="L103" i="3"/>
  <c r="K103" i="3"/>
  <c r="J103" i="3"/>
  <c r="L102" i="3"/>
  <c r="K102" i="3"/>
  <c r="J102" i="3"/>
  <c r="L99" i="3"/>
  <c r="K99" i="3"/>
  <c r="J99" i="3"/>
  <c r="L98" i="3"/>
  <c r="K98" i="3"/>
  <c r="J98" i="3"/>
  <c r="L97" i="3"/>
  <c r="K97" i="3"/>
  <c r="J97" i="3"/>
  <c r="L96" i="3"/>
  <c r="K96" i="3"/>
  <c r="J96" i="3"/>
  <c r="L95" i="3"/>
  <c r="K95" i="3"/>
  <c r="J95" i="3"/>
  <c r="L94" i="3"/>
  <c r="K94" i="3"/>
  <c r="J94" i="3"/>
  <c r="L90" i="3"/>
  <c r="K90" i="3"/>
  <c r="J90" i="3"/>
  <c r="L89" i="3"/>
  <c r="K89" i="3"/>
  <c r="J89" i="3"/>
  <c r="L88" i="3"/>
  <c r="K88" i="3"/>
  <c r="J88" i="3"/>
  <c r="L87" i="3"/>
  <c r="K87" i="3"/>
  <c r="J87" i="3"/>
  <c r="L86" i="3"/>
  <c r="K86" i="3"/>
  <c r="J86" i="3"/>
  <c r="L85" i="3"/>
  <c r="K85" i="3"/>
  <c r="J85" i="3"/>
  <c r="L84" i="3"/>
  <c r="K84" i="3"/>
  <c r="J84" i="3"/>
  <c r="L83" i="3"/>
  <c r="K83" i="3"/>
  <c r="J83" i="3"/>
  <c r="L78" i="3"/>
  <c r="K78" i="3"/>
  <c r="J78" i="3"/>
  <c r="L77" i="3"/>
  <c r="K77" i="3"/>
  <c r="J77" i="3"/>
  <c r="L76" i="3"/>
  <c r="K76" i="3"/>
  <c r="J76" i="3"/>
  <c r="L73" i="3"/>
  <c r="K73" i="3"/>
  <c r="J73" i="3"/>
  <c r="L72" i="3"/>
  <c r="K72" i="3"/>
  <c r="J72" i="3"/>
  <c r="L71" i="3"/>
  <c r="K71" i="3"/>
  <c r="J71" i="3"/>
  <c r="L68" i="3"/>
  <c r="K68" i="3"/>
  <c r="J68" i="3"/>
  <c r="L67" i="3"/>
  <c r="K67" i="3"/>
  <c r="J67" i="3"/>
  <c r="L66" i="3"/>
  <c r="K66" i="3"/>
  <c r="J66" i="3"/>
  <c r="L65" i="3"/>
  <c r="K65" i="3"/>
  <c r="J65" i="3"/>
  <c r="L64" i="3"/>
  <c r="K64" i="3"/>
  <c r="J64" i="3"/>
  <c r="L63" i="3"/>
  <c r="K63" i="3"/>
  <c r="J63" i="3"/>
  <c r="L62" i="3"/>
  <c r="K62" i="3"/>
  <c r="J62" i="3"/>
  <c r="L61" i="3"/>
  <c r="K61" i="3"/>
  <c r="J61" i="3"/>
  <c r="L60" i="3"/>
  <c r="K60" i="3"/>
  <c r="J60" i="3"/>
  <c r="L59" i="3"/>
  <c r="K59" i="3"/>
  <c r="J59" i="3"/>
  <c r="L58" i="3"/>
  <c r="K58" i="3"/>
  <c r="J58" i="3"/>
  <c r="L53" i="3"/>
  <c r="K53" i="3"/>
  <c r="J53" i="3"/>
  <c r="L52" i="3"/>
  <c r="K52" i="3"/>
  <c r="J52" i="3"/>
  <c r="L51" i="3"/>
  <c r="K51" i="3"/>
  <c r="J51" i="3"/>
  <c r="L50" i="3"/>
  <c r="K50" i="3"/>
  <c r="J50" i="3"/>
  <c r="L49" i="3"/>
  <c r="K49" i="3"/>
  <c r="J49" i="3"/>
  <c r="L48" i="3"/>
  <c r="K48" i="3"/>
  <c r="J48" i="3"/>
  <c r="L47" i="3"/>
  <c r="K47" i="3"/>
  <c r="J47" i="3"/>
  <c r="L46" i="3"/>
  <c r="K46" i="3"/>
  <c r="J46" i="3"/>
  <c r="L45" i="3"/>
  <c r="K45" i="3"/>
  <c r="J45" i="3"/>
  <c r="L44" i="3"/>
  <c r="K44" i="3"/>
  <c r="J44" i="3"/>
  <c r="L43" i="3"/>
  <c r="K43" i="3"/>
  <c r="J43" i="3"/>
  <c r="L42" i="3"/>
  <c r="K42" i="3"/>
  <c r="J42" i="3"/>
  <c r="L39" i="3"/>
  <c r="K39" i="3"/>
  <c r="J39" i="3"/>
  <c r="L38" i="3"/>
  <c r="K38" i="3"/>
  <c r="J38" i="3"/>
  <c r="L37" i="3"/>
  <c r="K37" i="3"/>
  <c r="J37" i="3"/>
  <c r="L36" i="3"/>
  <c r="K36" i="3"/>
  <c r="J36" i="3"/>
  <c r="L28" i="3"/>
  <c r="K28" i="3"/>
  <c r="J28" i="3"/>
  <c r="L27" i="3"/>
  <c r="K27" i="3"/>
  <c r="J27" i="3"/>
  <c r="L26" i="3"/>
  <c r="K26" i="3"/>
  <c r="J26" i="3"/>
  <c r="L25" i="3"/>
  <c r="K25" i="3"/>
  <c r="J25" i="3"/>
  <c r="L24" i="3"/>
  <c r="K24" i="3"/>
  <c r="J24" i="3"/>
  <c r="L23" i="3"/>
  <c r="K23" i="3"/>
  <c r="J23" i="3"/>
  <c r="L22" i="3"/>
  <c r="K22" i="3"/>
  <c r="J22" i="3"/>
  <c r="L21" i="3"/>
  <c r="K21" i="3"/>
  <c r="J21" i="3"/>
  <c r="L20" i="3"/>
  <c r="K20" i="3"/>
  <c r="J20" i="3"/>
  <c r="L19" i="3"/>
  <c r="K19" i="3"/>
  <c r="J19" i="3"/>
  <c r="L13" i="3"/>
  <c r="K13" i="3"/>
  <c r="J13" i="3"/>
  <c r="L12" i="3"/>
  <c r="K12" i="3"/>
  <c r="J12" i="3"/>
  <c r="L11" i="3"/>
  <c r="K11" i="3"/>
  <c r="J11" i="3"/>
  <c r="L10" i="3"/>
  <c r="K10" i="3"/>
  <c r="J10" i="3"/>
  <c r="L9" i="3"/>
  <c r="K9" i="3"/>
  <c r="J9" i="3"/>
  <c r="L8" i="3"/>
  <c r="K8" i="3"/>
  <c r="J8" i="3"/>
  <c r="U108" i="40"/>
  <c r="U42" i="40"/>
  <c r="U23" i="40"/>
  <c r="Q56" i="40"/>
  <c r="M48" i="40"/>
  <c r="F112" i="3"/>
  <c r="G112" i="3"/>
  <c r="H112" i="3"/>
  <c r="F113" i="3"/>
  <c r="G113" i="3"/>
  <c r="H113" i="3"/>
  <c r="F114" i="3"/>
  <c r="G114" i="3"/>
  <c r="H114" i="3"/>
  <c r="F115" i="3"/>
  <c r="G115" i="3"/>
  <c r="H115" i="3"/>
  <c r="H111" i="3"/>
  <c r="G111" i="3"/>
  <c r="F111" i="3"/>
  <c r="F108" i="3"/>
  <c r="G108" i="3"/>
  <c r="H108" i="3"/>
  <c r="H107" i="3"/>
  <c r="G107" i="3"/>
  <c r="F107" i="3"/>
  <c r="H106" i="3"/>
  <c r="G106" i="3"/>
  <c r="F106" i="3"/>
  <c r="H105" i="3"/>
  <c r="G105" i="3"/>
  <c r="F105" i="3"/>
  <c r="H104" i="3"/>
  <c r="G104" i="3"/>
  <c r="F104" i="3"/>
  <c r="H103" i="3"/>
  <c r="G103" i="3"/>
  <c r="F103" i="3"/>
  <c r="H102" i="3"/>
  <c r="G102" i="3"/>
  <c r="F102" i="3"/>
  <c r="F97" i="3"/>
  <c r="G97" i="3"/>
  <c r="H97" i="3"/>
  <c r="F98" i="3"/>
  <c r="G98" i="3"/>
  <c r="H98" i="3"/>
  <c r="F99" i="3"/>
  <c r="G99" i="3"/>
  <c r="H99" i="3"/>
  <c r="H96" i="3"/>
  <c r="G96" i="3"/>
  <c r="F96" i="3"/>
  <c r="H95" i="3"/>
  <c r="G95" i="3"/>
  <c r="F95" i="3"/>
  <c r="H94" i="3"/>
  <c r="G94" i="3"/>
  <c r="F94" i="3"/>
  <c r="F84" i="3"/>
  <c r="G84" i="3"/>
  <c r="H84" i="3"/>
  <c r="F85" i="3"/>
  <c r="G85" i="3"/>
  <c r="H85" i="3"/>
  <c r="F86" i="3"/>
  <c r="G86" i="3"/>
  <c r="H86" i="3"/>
  <c r="F87" i="3"/>
  <c r="G87" i="3"/>
  <c r="H87" i="3"/>
  <c r="F88" i="3"/>
  <c r="G88" i="3"/>
  <c r="H88" i="3"/>
  <c r="F89" i="3"/>
  <c r="G89" i="3"/>
  <c r="H89" i="3"/>
  <c r="F90" i="3"/>
  <c r="G90" i="3"/>
  <c r="H90" i="3"/>
  <c r="H83" i="3"/>
  <c r="G83" i="3"/>
  <c r="F83" i="3"/>
  <c r="H78" i="3"/>
  <c r="G78" i="3"/>
  <c r="F78" i="3"/>
  <c r="H77" i="3"/>
  <c r="G77" i="3"/>
  <c r="F77" i="3"/>
  <c r="H76" i="3"/>
  <c r="G76" i="3"/>
  <c r="F76" i="3"/>
  <c r="H73" i="3"/>
  <c r="G73" i="3"/>
  <c r="F73" i="3"/>
  <c r="H72" i="3"/>
  <c r="G72" i="3"/>
  <c r="F72" i="3"/>
  <c r="H71" i="3"/>
  <c r="G71" i="3"/>
  <c r="F59" i="3"/>
  <c r="G59" i="3"/>
  <c r="H59" i="3"/>
  <c r="F60" i="3"/>
  <c r="G60" i="3"/>
  <c r="H60" i="3"/>
  <c r="F61" i="3"/>
  <c r="G61" i="3"/>
  <c r="H61" i="3"/>
  <c r="F62" i="3"/>
  <c r="G62" i="3"/>
  <c r="H62" i="3"/>
  <c r="G63" i="3"/>
  <c r="H63" i="3"/>
  <c r="F64" i="3"/>
  <c r="G64" i="3"/>
  <c r="H64" i="3"/>
  <c r="F65" i="3"/>
  <c r="G65" i="3"/>
  <c r="H65" i="3"/>
  <c r="F66" i="3"/>
  <c r="G66" i="3"/>
  <c r="H66" i="3"/>
  <c r="F67" i="3"/>
  <c r="G67" i="3"/>
  <c r="H67" i="3"/>
  <c r="F68" i="3"/>
  <c r="G68" i="3"/>
  <c r="H68" i="3"/>
  <c r="H58" i="3"/>
  <c r="G58" i="3"/>
  <c r="F58" i="3"/>
  <c r="F46" i="3"/>
  <c r="G46" i="3"/>
  <c r="H46" i="3"/>
  <c r="F47" i="3"/>
  <c r="G47" i="3"/>
  <c r="H47" i="3"/>
  <c r="F48" i="3"/>
  <c r="G48" i="3"/>
  <c r="H48" i="3"/>
  <c r="F49" i="3"/>
  <c r="G49" i="3"/>
  <c r="H49" i="3"/>
  <c r="F50" i="3"/>
  <c r="G50" i="3"/>
  <c r="H50" i="3"/>
  <c r="F51" i="3"/>
  <c r="G51" i="3"/>
  <c r="H51" i="3"/>
  <c r="F52" i="3"/>
  <c r="G52" i="3"/>
  <c r="H52" i="3"/>
  <c r="F53" i="3"/>
  <c r="G53" i="3"/>
  <c r="H53" i="3"/>
  <c r="H45" i="3"/>
  <c r="G45" i="3"/>
  <c r="F45" i="3"/>
  <c r="H44" i="3"/>
  <c r="G44" i="3"/>
  <c r="F44" i="3"/>
  <c r="H43" i="3"/>
  <c r="G43" i="3"/>
  <c r="F43" i="3"/>
  <c r="H42" i="3"/>
  <c r="G42" i="3"/>
  <c r="F42" i="3"/>
  <c r="F37" i="3"/>
  <c r="G37" i="3"/>
  <c r="H37" i="3"/>
  <c r="F38" i="3"/>
  <c r="G38" i="3"/>
  <c r="H38" i="3"/>
  <c r="F39" i="3"/>
  <c r="G39" i="3"/>
  <c r="H39" i="3"/>
  <c r="H36" i="3"/>
  <c r="G36" i="3"/>
  <c r="F36" i="3"/>
  <c r="H28" i="3"/>
  <c r="G28" i="3"/>
  <c r="F28" i="3"/>
  <c r="H27" i="3"/>
  <c r="G27" i="3"/>
  <c r="F27" i="3"/>
  <c r="G26" i="3"/>
  <c r="F26" i="3"/>
  <c r="F25" i="3"/>
  <c r="G25" i="3"/>
  <c r="H25" i="3"/>
  <c r="H24" i="3"/>
  <c r="G24" i="3"/>
  <c r="F24" i="3"/>
  <c r="H23" i="3"/>
  <c r="G23" i="3"/>
  <c r="F23" i="3"/>
  <c r="H22" i="3"/>
  <c r="G22" i="3"/>
  <c r="F22" i="3"/>
  <c r="H21" i="3"/>
  <c r="G21" i="3"/>
  <c r="F21" i="3"/>
  <c r="H20" i="3"/>
  <c r="G20" i="3"/>
  <c r="F20" i="3"/>
  <c r="H19" i="3"/>
  <c r="G19" i="3"/>
  <c r="F19" i="3"/>
  <c r="F9" i="3"/>
  <c r="G9" i="3"/>
  <c r="H9" i="3"/>
  <c r="F10" i="3"/>
  <c r="G10" i="3"/>
  <c r="H10" i="3"/>
  <c r="F11" i="3"/>
  <c r="G11" i="3"/>
  <c r="H11" i="3"/>
  <c r="F12" i="3"/>
  <c r="G12" i="3"/>
  <c r="H12" i="3"/>
  <c r="F13" i="3"/>
  <c r="G13" i="3"/>
  <c r="H13" i="3"/>
  <c r="G8" i="3"/>
  <c r="H8" i="3"/>
  <c r="F8" i="3"/>
  <c r="U25" i="28"/>
  <c r="U24" i="28"/>
  <c r="U22" i="28"/>
  <c r="U21" i="28"/>
  <c r="U20" i="28"/>
  <c r="U19" i="28"/>
  <c r="U18" i="28"/>
  <c r="U17" i="28"/>
  <c r="U16" i="28"/>
  <c r="U10" i="28"/>
  <c r="U9" i="28"/>
  <c r="U8" i="28"/>
  <c r="U7" i="28"/>
  <c r="U6" i="28"/>
  <c r="U5" i="28"/>
  <c r="I46" i="40"/>
  <c r="U25" i="26"/>
  <c r="U24" i="26"/>
  <c r="U22" i="26"/>
  <c r="U21" i="26"/>
  <c r="U20" i="26"/>
  <c r="U19" i="26"/>
  <c r="U18" i="26"/>
  <c r="U17" i="26"/>
  <c r="U16" i="26"/>
  <c r="U10" i="26"/>
  <c r="U9" i="26"/>
  <c r="U8" i="26"/>
  <c r="U7" i="26"/>
  <c r="U6" i="26"/>
  <c r="U5" i="26"/>
  <c r="U90" i="40"/>
  <c r="Q90" i="40"/>
  <c r="M90" i="40"/>
  <c r="I90" i="40"/>
  <c r="V53" i="40"/>
  <c r="R116" i="3" l="1"/>
  <c r="P79" i="3"/>
  <c r="I13" i="3"/>
  <c r="R15" i="3"/>
  <c r="L100" i="3"/>
  <c r="J109" i="3"/>
  <c r="O91" i="3"/>
  <c r="O100" i="3"/>
  <c r="P116" i="3"/>
  <c r="S40" i="3"/>
  <c r="S74" i="3"/>
  <c r="R79" i="3"/>
  <c r="J40" i="3"/>
  <c r="P109" i="3"/>
  <c r="S29" i="3"/>
  <c r="T79" i="3"/>
  <c r="S91" i="3"/>
  <c r="S100" i="3"/>
  <c r="T116" i="3"/>
  <c r="J15" i="3"/>
  <c r="L15" i="3"/>
  <c r="J29" i="3"/>
  <c r="L40" i="3"/>
  <c r="L69" i="3"/>
  <c r="K74" i="3"/>
  <c r="J79" i="3"/>
  <c r="J116" i="3"/>
  <c r="O15" i="3"/>
  <c r="O40" i="3"/>
  <c r="L74" i="3"/>
  <c r="K79" i="3"/>
  <c r="K116" i="3"/>
  <c r="O74" i="3"/>
  <c r="N79" i="3"/>
  <c r="N116" i="3"/>
  <c r="P74" i="3"/>
  <c r="O79" i="3"/>
  <c r="F63" i="3"/>
  <c r="Y63" i="3" s="1"/>
  <c r="K54" i="3"/>
  <c r="P29" i="3"/>
  <c r="N54" i="3"/>
  <c r="R40" i="3"/>
  <c r="R69" i="3"/>
  <c r="R74" i="3"/>
  <c r="L54" i="3"/>
  <c r="K109" i="3"/>
  <c r="O54" i="3"/>
  <c r="P91" i="3"/>
  <c r="P100" i="3"/>
  <c r="N109" i="3"/>
  <c r="S15" i="3"/>
  <c r="S69" i="3"/>
  <c r="L91" i="3"/>
  <c r="L109" i="3"/>
  <c r="P54" i="3"/>
  <c r="O109" i="3"/>
  <c r="T15" i="3"/>
  <c r="R29" i="3"/>
  <c r="T40" i="3"/>
  <c r="T69" i="3"/>
  <c r="T74" i="3"/>
  <c r="S79" i="3"/>
  <c r="R91" i="3"/>
  <c r="R100" i="3"/>
  <c r="S116" i="3"/>
  <c r="J69" i="3"/>
  <c r="K15" i="3"/>
  <c r="K40" i="3"/>
  <c r="K69" i="3"/>
  <c r="J74" i="3"/>
  <c r="N15" i="3"/>
  <c r="N40" i="3"/>
  <c r="N69" i="3"/>
  <c r="T29" i="3"/>
  <c r="R54" i="3"/>
  <c r="T91" i="3"/>
  <c r="T100" i="3"/>
  <c r="R109" i="3"/>
  <c r="O69" i="3"/>
  <c r="N74" i="3"/>
  <c r="S54" i="3"/>
  <c r="S109" i="3"/>
  <c r="H69" i="3"/>
  <c r="K29" i="3"/>
  <c r="J91" i="3"/>
  <c r="J100" i="3"/>
  <c r="P15" i="3"/>
  <c r="N29" i="3"/>
  <c r="P40" i="3"/>
  <c r="P69" i="3"/>
  <c r="T54" i="3"/>
  <c r="T109" i="3"/>
  <c r="H116" i="3"/>
  <c r="L29" i="3"/>
  <c r="J54" i="3"/>
  <c r="L79" i="3"/>
  <c r="K91" i="3"/>
  <c r="K100" i="3"/>
  <c r="L116" i="3"/>
  <c r="O29" i="3"/>
  <c r="N91" i="3"/>
  <c r="N100" i="3"/>
  <c r="O116" i="3"/>
  <c r="F51" i="33"/>
  <c r="U12" i="26"/>
  <c r="Q23" i="33"/>
  <c r="M23" i="33"/>
  <c r="Q24" i="40"/>
  <c r="U23" i="33"/>
  <c r="Q22" i="40"/>
  <c r="Q23" i="40"/>
  <c r="Y61" i="3"/>
  <c r="V20" i="28"/>
  <c r="O113" i="33"/>
  <c r="Y60" i="3"/>
  <c r="Q63" i="40"/>
  <c r="U104" i="40"/>
  <c r="I104" i="40"/>
  <c r="U74" i="40"/>
  <c r="U109" i="40"/>
  <c r="I48" i="40"/>
  <c r="I65" i="40"/>
  <c r="M6" i="40"/>
  <c r="M19" i="40"/>
  <c r="M42" i="40"/>
  <c r="M109" i="40"/>
  <c r="U59" i="40"/>
  <c r="M16" i="40"/>
  <c r="I20" i="40"/>
  <c r="I74" i="40"/>
  <c r="I112" i="40"/>
  <c r="U19" i="40"/>
  <c r="I22" i="40"/>
  <c r="Q19" i="40"/>
  <c r="I42" i="40"/>
  <c r="U36" i="40"/>
  <c r="Y62" i="3"/>
  <c r="Y42" i="3"/>
  <c r="Y47" i="3"/>
  <c r="Y67" i="3"/>
  <c r="U7" i="40"/>
  <c r="Y45" i="3"/>
  <c r="I80" i="40"/>
  <c r="I87" i="40"/>
  <c r="Q7" i="40"/>
  <c r="Q10" i="40"/>
  <c r="Q70" i="40"/>
  <c r="Q105" i="40"/>
  <c r="Q110" i="40"/>
  <c r="Y49" i="3"/>
  <c r="Y65" i="3"/>
  <c r="Y77" i="3"/>
  <c r="M65" i="40"/>
  <c r="M112" i="40"/>
  <c r="Y76" i="3"/>
  <c r="Q9" i="40"/>
  <c r="I25" i="40"/>
  <c r="Y43" i="3"/>
  <c r="Y46" i="3"/>
  <c r="Y68" i="3"/>
  <c r="Q16" i="40"/>
  <c r="Q96" i="40"/>
  <c r="I17" i="40"/>
  <c r="I35" i="40"/>
  <c r="I108" i="40"/>
  <c r="Y36" i="3"/>
  <c r="Y38" i="3"/>
  <c r="Y51" i="3"/>
  <c r="I59" i="40"/>
  <c r="M108" i="40"/>
  <c r="I45" i="40"/>
  <c r="Y78" i="3"/>
  <c r="Y44" i="3"/>
  <c r="Y72" i="3"/>
  <c r="M9" i="40"/>
  <c r="U18" i="40"/>
  <c r="Q17" i="40"/>
  <c r="Q6" i="40"/>
  <c r="V10" i="28"/>
  <c r="V18" i="28"/>
  <c r="V22" i="28"/>
  <c r="V25" i="28"/>
  <c r="V5" i="28"/>
  <c r="V7" i="28"/>
  <c r="V9" i="28"/>
  <c r="J113" i="33"/>
  <c r="P113" i="33"/>
  <c r="Y66" i="3"/>
  <c r="L113" i="33"/>
  <c r="K113" i="33"/>
  <c r="Y37" i="3"/>
  <c r="Y64" i="3"/>
  <c r="U26" i="28"/>
  <c r="R113" i="33"/>
  <c r="S113" i="33"/>
  <c r="N113" i="33"/>
  <c r="T113" i="33"/>
  <c r="U10" i="40"/>
  <c r="U24" i="40"/>
  <c r="F26" i="40"/>
  <c r="I18" i="40"/>
  <c r="I24" i="40"/>
  <c r="I33" i="40"/>
  <c r="I34" i="40"/>
  <c r="I105" i="40"/>
  <c r="I111" i="40"/>
  <c r="Q21" i="40"/>
  <c r="U5" i="40"/>
  <c r="U8" i="40"/>
  <c r="U112" i="40"/>
  <c r="M21" i="40"/>
  <c r="I19" i="40"/>
  <c r="I61" i="40"/>
  <c r="I110" i="40"/>
  <c r="M46" i="40"/>
  <c r="U21" i="40"/>
  <c r="U33" i="40"/>
  <c r="U26" i="26"/>
  <c r="U29" i="26" s="1"/>
  <c r="I85" i="40"/>
  <c r="U6" i="40"/>
  <c r="M100" i="40"/>
  <c r="V16" i="26"/>
  <c r="V20" i="26"/>
  <c r="V25" i="26"/>
  <c r="M18" i="40"/>
  <c r="I81" i="40"/>
  <c r="U35" i="40"/>
  <c r="I23" i="40"/>
  <c r="I86" i="40"/>
  <c r="I62" i="40"/>
  <c r="M7" i="40"/>
  <c r="M10" i="40"/>
  <c r="Q95" i="40"/>
  <c r="V8" i="26"/>
  <c r="I44" i="40"/>
  <c r="M25" i="40"/>
  <c r="Q8" i="40"/>
  <c r="M22" i="40"/>
  <c r="Q40" i="40"/>
  <c r="I101" i="40"/>
  <c r="U103" i="40"/>
  <c r="I5" i="40"/>
  <c r="U16" i="40"/>
  <c r="I58" i="40"/>
  <c r="M73" i="40"/>
  <c r="I92" i="40"/>
  <c r="Q44" i="40"/>
  <c r="U25" i="40"/>
  <c r="Q5" i="40"/>
  <c r="U22" i="40"/>
  <c r="U73" i="40"/>
  <c r="I9" i="40"/>
  <c r="I7" i="40"/>
  <c r="U9" i="40"/>
  <c r="I21" i="40"/>
  <c r="I93" i="40"/>
  <c r="I70" i="40"/>
  <c r="I102" i="40"/>
  <c r="I83" i="40"/>
  <c r="V24" i="26"/>
  <c r="I55" i="40"/>
  <c r="Y73" i="3"/>
  <c r="Q18" i="40"/>
  <c r="U17" i="40"/>
  <c r="U20" i="40"/>
  <c r="Q25" i="40"/>
  <c r="Q20" i="40"/>
  <c r="M17" i="40"/>
  <c r="M5" i="40"/>
  <c r="M20" i="40"/>
  <c r="M8" i="40"/>
  <c r="V90" i="40"/>
  <c r="I109" i="40"/>
  <c r="U102" i="40"/>
  <c r="I103" i="40"/>
  <c r="U100" i="40"/>
  <c r="Q103" i="40"/>
  <c r="F97" i="40"/>
  <c r="I96" i="40"/>
  <c r="I94" i="40"/>
  <c r="U82" i="40"/>
  <c r="U83" i="40"/>
  <c r="I50" i="40"/>
  <c r="Y48" i="3"/>
  <c r="I47" i="40"/>
  <c r="Y53" i="3"/>
  <c r="I41" i="40"/>
  <c r="Y50" i="3"/>
  <c r="M50" i="40"/>
  <c r="Q43" i="40"/>
  <c r="M45" i="40"/>
  <c r="U46" i="40"/>
  <c r="Y58" i="3"/>
  <c r="M59" i="40"/>
  <c r="I63" i="40"/>
  <c r="U61" i="40"/>
  <c r="I64" i="40"/>
  <c r="Y59" i="3"/>
  <c r="M55" i="40"/>
  <c r="M33" i="40"/>
  <c r="Q104" i="40"/>
  <c r="U62" i="40"/>
  <c r="Q68" i="40"/>
  <c r="U101" i="40"/>
  <c r="M111" i="40"/>
  <c r="Q50" i="40"/>
  <c r="Q58" i="40"/>
  <c r="M61" i="40"/>
  <c r="U63" i="40"/>
  <c r="U87" i="40"/>
  <c r="U40" i="40"/>
  <c r="M43" i="40"/>
  <c r="U44" i="40"/>
  <c r="U55" i="40"/>
  <c r="U57" i="40"/>
  <c r="Q59" i="40"/>
  <c r="Q65" i="40"/>
  <c r="U75" i="40"/>
  <c r="M83" i="40"/>
  <c r="U85" i="40"/>
  <c r="Q87" i="40"/>
  <c r="M93" i="40"/>
  <c r="U96" i="40"/>
  <c r="Q42" i="40"/>
  <c r="Q46" i="40"/>
  <c r="M56" i="40"/>
  <c r="M63" i="40"/>
  <c r="U70" i="40"/>
  <c r="U80" i="40"/>
  <c r="Q82" i="40"/>
  <c r="M40" i="40"/>
  <c r="U50" i="40"/>
  <c r="Q55" i="40"/>
  <c r="M57" i="40"/>
  <c r="Q61" i="40"/>
  <c r="M75" i="40"/>
  <c r="Q102" i="40"/>
  <c r="U105" i="40"/>
  <c r="Q112" i="40"/>
  <c r="R114" i="20"/>
  <c r="Q81" i="40"/>
  <c r="M87" i="40"/>
  <c r="U95" i="40"/>
  <c r="U110" i="40"/>
  <c r="M44" i="40"/>
  <c r="Q49" i="40"/>
  <c r="U69" i="40"/>
  <c r="Q75" i="40"/>
  <c r="Q86" i="40"/>
  <c r="Q93" i="40"/>
  <c r="M95" i="40"/>
  <c r="M101" i="40"/>
  <c r="M102" i="40"/>
  <c r="Q109" i="40"/>
  <c r="U111" i="40"/>
  <c r="M34" i="40"/>
  <c r="M41" i="40"/>
  <c r="U45" i="40"/>
  <c r="M47" i="40"/>
  <c r="M60" i="40"/>
  <c r="M64" i="40"/>
  <c r="M68" i="40"/>
  <c r="U84" i="40"/>
  <c r="U91" i="40"/>
  <c r="Q94" i="40"/>
  <c r="M96" i="40"/>
  <c r="Q101" i="40"/>
  <c r="M110" i="40"/>
  <c r="M91" i="40"/>
  <c r="U48" i="40"/>
  <c r="U49" i="40"/>
  <c r="U65" i="40"/>
  <c r="M81" i="40"/>
  <c r="Q83" i="40"/>
  <c r="M84" i="40"/>
  <c r="M85" i="40"/>
  <c r="U92" i="40"/>
  <c r="M104" i="40"/>
  <c r="M36" i="40"/>
  <c r="Q41" i="40"/>
  <c r="M58" i="40"/>
  <c r="Q60" i="40"/>
  <c r="M62" i="40"/>
  <c r="M82" i="40"/>
  <c r="Q84" i="40"/>
  <c r="U94" i="40"/>
  <c r="Q108" i="40"/>
  <c r="Q111" i="40"/>
  <c r="M39" i="40"/>
  <c r="Q57" i="40"/>
  <c r="Q69" i="40"/>
  <c r="M86" i="40"/>
  <c r="M92" i="40"/>
  <c r="M105" i="40"/>
  <c r="V17" i="28"/>
  <c r="V19" i="28"/>
  <c r="V21" i="28"/>
  <c r="V24" i="28"/>
  <c r="V6" i="28"/>
  <c r="V8" i="28"/>
  <c r="V16" i="28"/>
  <c r="U12" i="28"/>
  <c r="I95" i="40"/>
  <c r="I57" i="40"/>
  <c r="I16" i="40"/>
  <c r="F12" i="40"/>
  <c r="V19" i="26"/>
  <c r="V7" i="26"/>
  <c r="V18" i="26"/>
  <c r="V9" i="26"/>
  <c r="V21" i="26"/>
  <c r="V6" i="26"/>
  <c r="V10" i="26"/>
  <c r="V22" i="26"/>
  <c r="U30" i="26"/>
  <c r="V17" i="26"/>
  <c r="V5" i="26"/>
  <c r="I6" i="40"/>
  <c r="I10" i="40"/>
  <c r="U34" i="40"/>
  <c r="U41" i="40"/>
  <c r="I56" i="40"/>
  <c r="I60" i="40"/>
  <c r="Q62" i="40"/>
  <c r="U64" i="40"/>
  <c r="U68" i="40"/>
  <c r="Q74" i="40"/>
  <c r="Q80" i="40"/>
  <c r="U93" i="40"/>
  <c r="Q100" i="40"/>
  <c r="I40" i="40"/>
  <c r="Q47" i="40"/>
  <c r="M49" i="40"/>
  <c r="U56" i="40"/>
  <c r="U60" i="40"/>
  <c r="I69" i="40"/>
  <c r="M70" i="40"/>
  <c r="U81" i="40"/>
  <c r="I84" i="40"/>
  <c r="I91" i="40"/>
  <c r="Q91" i="40"/>
  <c r="Q99" i="40"/>
  <c r="I100" i="40"/>
  <c r="I99" i="40"/>
  <c r="F106" i="40"/>
  <c r="I8" i="40"/>
  <c r="M24" i="40"/>
  <c r="I39" i="40"/>
  <c r="I43" i="40"/>
  <c r="Q45" i="40"/>
  <c r="U47" i="40"/>
  <c r="U58" i="40"/>
  <c r="M69" i="40"/>
  <c r="I82" i="40"/>
  <c r="Q92" i="40"/>
  <c r="M94" i="40"/>
  <c r="M103" i="40"/>
  <c r="Q39" i="40"/>
  <c r="U39" i="40"/>
  <c r="U43" i="40"/>
  <c r="Q64" i="40"/>
  <c r="I73" i="40"/>
  <c r="Q73" i="40"/>
  <c r="M74" i="40"/>
  <c r="F76" i="40"/>
  <c r="M80" i="40"/>
  <c r="Q85" i="40"/>
  <c r="U86" i="40"/>
  <c r="M35" i="40"/>
  <c r="Q48" i="40"/>
  <c r="I75" i="40"/>
  <c r="F88" i="40"/>
  <c r="M99" i="40"/>
  <c r="U99" i="40"/>
  <c r="G113" i="33"/>
  <c r="J32" i="3" l="1"/>
  <c r="O55" i="3"/>
  <c r="O80" i="3" s="1"/>
  <c r="J33" i="3"/>
  <c r="O32" i="3"/>
  <c r="O33" i="3" s="1"/>
  <c r="R32" i="3"/>
  <c r="R33" i="3" s="1"/>
  <c r="J55" i="3"/>
  <c r="J80" i="3" s="1"/>
  <c r="L32" i="3"/>
  <c r="L33" i="3" s="1"/>
  <c r="F69" i="3"/>
  <c r="S55" i="3"/>
  <c r="S80" i="3" s="1"/>
  <c r="L55" i="3"/>
  <c r="L80" i="3" s="1"/>
  <c r="O117" i="3"/>
  <c r="S117" i="3"/>
  <c r="K55" i="3"/>
  <c r="K80" i="3" s="1"/>
  <c r="K117" i="3"/>
  <c r="N55" i="3"/>
  <c r="N80" i="3" s="1"/>
  <c r="J117" i="3"/>
  <c r="L117" i="3"/>
  <c r="K32" i="3"/>
  <c r="K33" i="3" s="1"/>
  <c r="N32" i="3"/>
  <c r="N33" i="3" s="1"/>
  <c r="R117" i="3"/>
  <c r="T55" i="3"/>
  <c r="T80" i="3" s="1"/>
  <c r="N117" i="3"/>
  <c r="P32" i="3"/>
  <c r="P33" i="3" s="1"/>
  <c r="P117" i="3"/>
  <c r="S32" i="3"/>
  <c r="S33" i="3" s="1"/>
  <c r="P55" i="3"/>
  <c r="P80" i="3" s="1"/>
  <c r="T117" i="3"/>
  <c r="T32" i="3"/>
  <c r="T33" i="3" s="1"/>
  <c r="R55" i="3"/>
  <c r="F114" i="40"/>
  <c r="V23" i="40"/>
  <c r="V57" i="40"/>
  <c r="U113" i="40"/>
  <c r="F79" i="3"/>
  <c r="Y79" i="3" s="1"/>
  <c r="Q113" i="40"/>
  <c r="V22" i="40"/>
  <c r="M113" i="40"/>
  <c r="U26" i="3"/>
  <c r="Q26" i="3"/>
  <c r="V10" i="40"/>
  <c r="V96" i="40"/>
  <c r="N114" i="33"/>
  <c r="L114" i="20"/>
  <c r="M26" i="3"/>
  <c r="L114" i="33"/>
  <c r="V12" i="28"/>
  <c r="V82" i="40"/>
  <c r="F29" i="40"/>
  <c r="O114" i="33"/>
  <c r="T114" i="33"/>
  <c r="R114" i="33"/>
  <c r="V112" i="40"/>
  <c r="V19" i="40"/>
  <c r="V42" i="40"/>
  <c r="V87" i="40"/>
  <c r="V92" i="40"/>
  <c r="N122" i="20"/>
  <c r="V105" i="40"/>
  <c r="V110" i="40"/>
  <c r="J121" i="40"/>
  <c r="J122" i="20" s="1"/>
  <c r="V50" i="40"/>
  <c r="U37" i="40"/>
  <c r="P114" i="20"/>
  <c r="I26" i="40"/>
  <c r="P114" i="33"/>
  <c r="V109" i="40"/>
  <c r="V102" i="40"/>
  <c r="V44" i="40"/>
  <c r="V46" i="40"/>
  <c r="V5" i="40"/>
  <c r="V6" i="40"/>
  <c r="V7" i="40"/>
  <c r="U12" i="40"/>
  <c r="V9" i="40"/>
  <c r="V21" i="40"/>
  <c r="V18" i="40"/>
  <c r="V17" i="40"/>
  <c r="S114" i="33"/>
  <c r="J114" i="33"/>
  <c r="K114" i="33"/>
  <c r="V70" i="40"/>
  <c r="U71" i="40"/>
  <c r="V16" i="40"/>
  <c r="V25" i="40"/>
  <c r="O121" i="40"/>
  <c r="O122" i="20" s="1"/>
  <c r="V48" i="40"/>
  <c r="Q12" i="40"/>
  <c r="M37" i="40"/>
  <c r="V20" i="40"/>
  <c r="P121" i="40"/>
  <c r="P122" i="20" s="1"/>
  <c r="I12" i="40"/>
  <c r="Q26" i="40"/>
  <c r="U26" i="40"/>
  <c r="V103" i="40"/>
  <c r="V8" i="40"/>
  <c r="Q71" i="40"/>
  <c r="M76" i="40"/>
  <c r="U76" i="40"/>
  <c r="L121" i="40"/>
  <c r="L122" i="20" s="1"/>
  <c r="K121" i="40"/>
  <c r="K122" i="20" s="1"/>
  <c r="M26" i="40"/>
  <c r="U106" i="40"/>
  <c r="U88" i="40"/>
  <c r="U89" i="40" s="1"/>
  <c r="V65" i="40"/>
  <c r="V111" i="40"/>
  <c r="V75" i="40"/>
  <c r="Q76" i="40"/>
  <c r="V93" i="40"/>
  <c r="V61" i="40"/>
  <c r="V55" i="40"/>
  <c r="V59" i="40"/>
  <c r="V80" i="40"/>
  <c r="V33" i="40"/>
  <c r="M12" i="40"/>
  <c r="V63" i="40"/>
  <c r="V69" i="40"/>
  <c r="Q106" i="40"/>
  <c r="V104" i="40"/>
  <c r="V81" i="40"/>
  <c r="U66" i="40"/>
  <c r="V64" i="40"/>
  <c r="S114" i="20"/>
  <c r="T114" i="20"/>
  <c r="K114" i="20"/>
  <c r="J114" i="20"/>
  <c r="N114" i="20"/>
  <c r="O114" i="20"/>
  <c r="V62" i="40"/>
  <c r="M97" i="40"/>
  <c r="M66" i="40"/>
  <c r="M51" i="40"/>
  <c r="V101" i="40"/>
  <c r="V40" i="40"/>
  <c r="V108" i="40"/>
  <c r="V83" i="40"/>
  <c r="V41" i="40"/>
  <c r="V95" i="40"/>
  <c r="U51" i="40"/>
  <c r="V34" i="40"/>
  <c r="Q51" i="40"/>
  <c r="V58" i="40"/>
  <c r="V86" i="40"/>
  <c r="V84" i="40"/>
  <c r="M106" i="40"/>
  <c r="V35" i="40"/>
  <c r="M88" i="40"/>
  <c r="M89" i="40" s="1"/>
  <c r="M71" i="40"/>
  <c r="V45" i="40"/>
  <c r="V100" i="40"/>
  <c r="V47" i="40"/>
  <c r="V24" i="40"/>
  <c r="V94" i="40"/>
  <c r="V43" i="40"/>
  <c r="V56" i="40"/>
  <c r="V26" i="28"/>
  <c r="U30" i="28"/>
  <c r="U29" i="28"/>
  <c r="H121" i="40"/>
  <c r="H122" i="20" s="1"/>
  <c r="G121" i="40"/>
  <c r="G122" i="20" s="1"/>
  <c r="I88" i="40"/>
  <c r="I89" i="40" s="1"/>
  <c r="V12" i="26"/>
  <c r="V26" i="26"/>
  <c r="V39" i="40"/>
  <c r="Q97" i="40"/>
  <c r="V60" i="40"/>
  <c r="V74" i="40"/>
  <c r="Q37" i="40"/>
  <c r="V73" i="40"/>
  <c r="I76" i="40"/>
  <c r="V91" i="40"/>
  <c r="I97" i="40"/>
  <c r="I66" i="40"/>
  <c r="Q66" i="40"/>
  <c r="Q88" i="40"/>
  <c r="I106" i="40"/>
  <c r="V99" i="40"/>
  <c r="V85" i="40"/>
  <c r="U97" i="40"/>
  <c r="I23" i="33"/>
  <c r="V23" i="33" s="1"/>
  <c r="T121" i="33" l="1"/>
  <c r="T123" i="20" s="1"/>
  <c r="S121" i="33"/>
  <c r="S123" i="20" s="1"/>
  <c r="R121" i="33"/>
  <c r="R123" i="20" s="1"/>
  <c r="P121" i="33"/>
  <c r="P123" i="20" s="1"/>
  <c r="O121" i="33"/>
  <c r="O123" i="20" s="1"/>
  <c r="N121" i="33"/>
  <c r="N123" i="20" s="1"/>
  <c r="L121" i="33"/>
  <c r="L123" i="20" s="1"/>
  <c r="K121" i="33"/>
  <c r="K123" i="20" s="1"/>
  <c r="J121" i="33"/>
  <c r="J123" i="20" s="1"/>
  <c r="F30" i="40"/>
  <c r="T124" i="25"/>
  <c r="T124" i="4"/>
  <c r="T124" i="27"/>
  <c r="S124" i="25"/>
  <c r="S124" i="4"/>
  <c r="S124" i="27"/>
  <c r="P124" i="25"/>
  <c r="P124" i="27"/>
  <c r="P124" i="4"/>
  <c r="O124" i="25"/>
  <c r="O124" i="27"/>
  <c r="O124" i="4"/>
  <c r="L124" i="27"/>
  <c r="L124" i="25"/>
  <c r="L124" i="4"/>
  <c r="K124" i="4"/>
  <c r="K124" i="27"/>
  <c r="K124" i="25"/>
  <c r="S118" i="3"/>
  <c r="S121" i="3" s="1"/>
  <c r="K118" i="3"/>
  <c r="K121" i="3" s="1"/>
  <c r="L118" i="3"/>
  <c r="L121" i="3" s="1"/>
  <c r="O118" i="3"/>
  <c r="O121" i="3" s="1"/>
  <c r="R118" i="3"/>
  <c r="R121" i="3" s="1"/>
  <c r="N118" i="3"/>
  <c r="N121" i="3" s="1"/>
  <c r="P118" i="3"/>
  <c r="P121" i="3" s="1"/>
  <c r="T118" i="3"/>
  <c r="T121" i="3" s="1"/>
  <c r="J118" i="3"/>
  <c r="J121" i="3" s="1"/>
  <c r="F122" i="20"/>
  <c r="V29" i="28"/>
  <c r="V30" i="28" s="1"/>
  <c r="I29" i="40"/>
  <c r="I30" i="40" s="1"/>
  <c r="U52" i="40"/>
  <c r="U77" i="40" s="1"/>
  <c r="L120" i="40"/>
  <c r="K120" i="40"/>
  <c r="J120" i="40"/>
  <c r="U29" i="40"/>
  <c r="U30" i="40" s="1"/>
  <c r="H120" i="40"/>
  <c r="G120" i="40"/>
  <c r="V12" i="40"/>
  <c r="V26" i="40"/>
  <c r="M52" i="40"/>
  <c r="M77" i="40" s="1"/>
  <c r="Q29" i="40"/>
  <c r="Q30" i="40" s="1"/>
  <c r="M29" i="40"/>
  <c r="M30" i="40" s="1"/>
  <c r="V106" i="40"/>
  <c r="M114" i="40"/>
  <c r="U114" i="40"/>
  <c r="Q52" i="40"/>
  <c r="Q77" i="40" s="1"/>
  <c r="V29" i="26"/>
  <c r="V30" i="26" s="1"/>
  <c r="V88" i="40"/>
  <c r="Q89" i="40"/>
  <c r="V89" i="40" s="1"/>
  <c r="V76" i="40"/>
  <c r="V97" i="40"/>
  <c r="V66" i="40"/>
  <c r="S27" i="39" l="1"/>
  <c r="S28" i="39"/>
  <c r="S29" i="39"/>
  <c r="R27" i="39"/>
  <c r="R28" i="39"/>
  <c r="R29" i="39"/>
  <c r="O28" i="39"/>
  <c r="O27" i="39"/>
  <c r="O29" i="39"/>
  <c r="N29" i="39"/>
  <c r="N28" i="39"/>
  <c r="N27" i="39"/>
  <c r="K27" i="39"/>
  <c r="K28" i="39"/>
  <c r="K29" i="39"/>
  <c r="J29" i="39"/>
  <c r="J27" i="39"/>
  <c r="J28" i="39"/>
  <c r="R124" i="4"/>
  <c r="U123" i="4"/>
  <c r="R124" i="25"/>
  <c r="U123" i="25"/>
  <c r="R124" i="27"/>
  <c r="U123" i="27"/>
  <c r="N124" i="4"/>
  <c r="Q123" i="4"/>
  <c r="N124" i="25"/>
  <c r="Q123" i="25"/>
  <c r="N124" i="27"/>
  <c r="Q123" i="27"/>
  <c r="J124" i="27"/>
  <c r="M123" i="27"/>
  <c r="J124" i="4"/>
  <c r="M123" i="4"/>
  <c r="J124" i="25"/>
  <c r="M123" i="25"/>
  <c r="Q124" i="40"/>
  <c r="Q114" i="40"/>
  <c r="Q115" i="40" s="1"/>
  <c r="M124" i="40"/>
  <c r="V29" i="40"/>
  <c r="V30" i="40" s="1"/>
  <c r="U115" i="40"/>
  <c r="M115" i="40"/>
  <c r="H15" i="3"/>
  <c r="Q27" i="39" l="1"/>
  <c r="Q29" i="39"/>
  <c r="T29" i="39" s="1"/>
  <c r="G35" i="56" s="1"/>
  <c r="Q28" i="39"/>
  <c r="T28" i="39" s="1"/>
  <c r="M27" i="39"/>
  <c r="M29" i="39"/>
  <c r="P29" i="39" s="1"/>
  <c r="F35" i="56" s="1"/>
  <c r="M28" i="39"/>
  <c r="P28" i="39" s="1"/>
  <c r="F34" i="56" s="1"/>
  <c r="I29" i="39"/>
  <c r="L29" i="39" s="1"/>
  <c r="E35" i="56" s="1"/>
  <c r="I28" i="39"/>
  <c r="L28" i="39" s="1"/>
  <c r="E34" i="56" s="1"/>
  <c r="I27" i="39"/>
  <c r="L27" i="39" s="1"/>
  <c r="U124" i="27"/>
  <c r="U124" i="25"/>
  <c r="U124" i="4"/>
  <c r="Q124" i="27"/>
  <c r="Q124" i="25"/>
  <c r="Q124" i="4"/>
  <c r="M124" i="25"/>
  <c r="M124" i="4"/>
  <c r="M124" i="27"/>
  <c r="F71" i="3"/>
  <c r="I26" i="3"/>
  <c r="T27" i="39" l="1"/>
  <c r="G33" i="56" s="1"/>
  <c r="P27" i="39"/>
  <c r="G34" i="56"/>
  <c r="P30" i="39"/>
  <c r="E33" i="56"/>
  <c r="L30" i="39"/>
  <c r="V26" i="3"/>
  <c r="L113" i="25"/>
  <c r="K113" i="25"/>
  <c r="J113" i="25"/>
  <c r="H113" i="25"/>
  <c r="G113" i="25"/>
  <c r="F113" i="24"/>
  <c r="U28" i="3"/>
  <c r="Q28" i="3"/>
  <c r="M28" i="3"/>
  <c r="I28" i="3"/>
  <c r="U27" i="3"/>
  <c r="Q27" i="3"/>
  <c r="M27" i="3"/>
  <c r="I27" i="3"/>
  <c r="U25" i="33"/>
  <c r="Q25" i="33"/>
  <c r="M25" i="33"/>
  <c r="I25" i="33"/>
  <c r="U24" i="33"/>
  <c r="Q24" i="33"/>
  <c r="M24" i="33"/>
  <c r="I24" i="33"/>
  <c r="U25" i="27"/>
  <c r="V24" i="27"/>
  <c r="U25" i="25"/>
  <c r="U24" i="25"/>
  <c r="U25" i="4"/>
  <c r="Q25" i="4"/>
  <c r="M25" i="4"/>
  <c r="I25" i="4"/>
  <c r="U24" i="4"/>
  <c r="Q24" i="4"/>
  <c r="M24" i="4"/>
  <c r="I24" i="4"/>
  <c r="F33" i="56" l="1"/>
  <c r="F36" i="56" s="1"/>
  <c r="T30" i="39"/>
  <c r="G36" i="56"/>
  <c r="E36" i="56"/>
  <c r="F116" i="3"/>
  <c r="Y71" i="3"/>
  <c r="F71" i="40"/>
  <c r="I68" i="40"/>
  <c r="V24" i="33"/>
  <c r="V25" i="33"/>
  <c r="V25" i="27"/>
  <c r="V25" i="25"/>
  <c r="V24" i="25"/>
  <c r="V25" i="4"/>
  <c r="V24" i="4"/>
  <c r="V27" i="3"/>
  <c r="V28" i="3"/>
  <c r="F113" i="33" l="1"/>
  <c r="F74" i="3"/>
  <c r="I113" i="28"/>
  <c r="I71" i="40"/>
  <c r="V68" i="40"/>
  <c r="I113" i="40" l="1"/>
  <c r="V113" i="40" s="1"/>
  <c r="V71" i="40"/>
  <c r="I114" i="40" l="1"/>
  <c r="V114" i="40" s="1"/>
  <c r="U90" i="33"/>
  <c r="U22" i="33"/>
  <c r="U21" i="33"/>
  <c r="U20" i="33"/>
  <c r="U19" i="33"/>
  <c r="U18" i="33"/>
  <c r="U17" i="33"/>
  <c r="U16" i="33"/>
  <c r="U10" i="33"/>
  <c r="U9" i="33"/>
  <c r="U8" i="33"/>
  <c r="U7" i="33"/>
  <c r="U6" i="33"/>
  <c r="U5" i="33"/>
  <c r="Q90" i="33"/>
  <c r="Q22" i="33"/>
  <c r="Q21" i="33"/>
  <c r="Q20" i="33"/>
  <c r="Q19" i="33"/>
  <c r="Q18" i="33"/>
  <c r="Q17" i="33"/>
  <c r="Q16" i="33"/>
  <c r="Q10" i="33"/>
  <c r="Q9" i="33"/>
  <c r="Q8" i="33"/>
  <c r="Q7" i="33"/>
  <c r="Q6" i="33"/>
  <c r="Q5" i="33"/>
  <c r="M90" i="33"/>
  <c r="M22" i="33"/>
  <c r="M21" i="33"/>
  <c r="M20" i="33"/>
  <c r="M19" i="33"/>
  <c r="M18" i="33"/>
  <c r="M17" i="33"/>
  <c r="M16" i="33"/>
  <c r="M10" i="33"/>
  <c r="M9" i="33"/>
  <c r="M8" i="33"/>
  <c r="M7" i="33"/>
  <c r="M6" i="33"/>
  <c r="M5" i="33"/>
  <c r="I90" i="33"/>
  <c r="U112" i="31"/>
  <c r="U111" i="31"/>
  <c r="U110" i="31"/>
  <c r="U109" i="31"/>
  <c r="U108" i="31"/>
  <c r="U105" i="31"/>
  <c r="U104" i="31"/>
  <c r="U103" i="31"/>
  <c r="U102" i="31"/>
  <c r="U101" i="31"/>
  <c r="U100" i="31"/>
  <c r="U99" i="31"/>
  <c r="U96" i="31"/>
  <c r="U95" i="31"/>
  <c r="U94" i="31"/>
  <c r="U93" i="31"/>
  <c r="U92" i="31"/>
  <c r="U91" i="31"/>
  <c r="U90" i="31"/>
  <c r="U87" i="31"/>
  <c r="U86" i="31"/>
  <c r="U85" i="31"/>
  <c r="U84" i="31"/>
  <c r="U83" i="31"/>
  <c r="U82" i="31"/>
  <c r="U81" i="31"/>
  <c r="U80" i="31"/>
  <c r="U75" i="31"/>
  <c r="U74" i="31"/>
  <c r="U73" i="31"/>
  <c r="U70" i="31"/>
  <c r="U69" i="31"/>
  <c r="U68" i="31"/>
  <c r="U65" i="31"/>
  <c r="U64" i="31"/>
  <c r="U63" i="31"/>
  <c r="U62" i="31"/>
  <c r="U61" i="31"/>
  <c r="U60" i="31"/>
  <c r="U59" i="31"/>
  <c r="U58" i="31"/>
  <c r="U57" i="31"/>
  <c r="U56" i="31"/>
  <c r="U55" i="31"/>
  <c r="U50" i="31"/>
  <c r="U49" i="31"/>
  <c r="U48" i="31"/>
  <c r="U47" i="31"/>
  <c r="U46" i="31"/>
  <c r="U45" i="31"/>
  <c r="U44" i="31"/>
  <c r="U43" i="31"/>
  <c r="U42" i="31"/>
  <c r="U41" i="31"/>
  <c r="U40" i="31"/>
  <c r="U39" i="31"/>
  <c r="U36" i="31"/>
  <c r="U35" i="31"/>
  <c r="U34" i="31"/>
  <c r="U33" i="31"/>
  <c r="U112" i="27"/>
  <c r="U111" i="27"/>
  <c r="U110" i="27"/>
  <c r="U109" i="27"/>
  <c r="U108" i="27"/>
  <c r="U105" i="27"/>
  <c r="U104" i="27"/>
  <c r="U103" i="27"/>
  <c r="U102" i="27"/>
  <c r="U101" i="27"/>
  <c r="U100" i="27"/>
  <c r="U99" i="27"/>
  <c r="U96" i="27"/>
  <c r="U95" i="27"/>
  <c r="U94" i="27"/>
  <c r="U93" i="27"/>
  <c r="U92" i="27"/>
  <c r="U91" i="27"/>
  <c r="U90" i="27"/>
  <c r="U87" i="27"/>
  <c r="U86" i="27"/>
  <c r="U85" i="27"/>
  <c r="U84" i="27"/>
  <c r="U83" i="27"/>
  <c r="U82" i="27"/>
  <c r="U81" i="27"/>
  <c r="U80" i="27"/>
  <c r="U75" i="27"/>
  <c r="U74" i="27"/>
  <c r="U73" i="27"/>
  <c r="U70" i="27"/>
  <c r="U69" i="27"/>
  <c r="U68" i="27"/>
  <c r="U65" i="27"/>
  <c r="U64" i="27"/>
  <c r="U63" i="27"/>
  <c r="U62" i="27"/>
  <c r="U61" i="27"/>
  <c r="U60" i="27"/>
  <c r="U59" i="27"/>
  <c r="U58" i="27"/>
  <c r="U57" i="27"/>
  <c r="U56" i="27"/>
  <c r="U55" i="27"/>
  <c r="U50" i="27"/>
  <c r="U49" i="27"/>
  <c r="U48" i="27"/>
  <c r="U47" i="27"/>
  <c r="U46" i="27"/>
  <c r="U45" i="27"/>
  <c r="U44" i="27"/>
  <c r="U43" i="27"/>
  <c r="U42" i="27"/>
  <c r="U41" i="27"/>
  <c r="U40" i="27"/>
  <c r="U39" i="27"/>
  <c r="U36" i="27"/>
  <c r="U35" i="27"/>
  <c r="U34" i="27"/>
  <c r="U33" i="27"/>
  <c r="U22" i="27"/>
  <c r="U21" i="27"/>
  <c r="U20" i="27"/>
  <c r="U19" i="27"/>
  <c r="U18" i="27"/>
  <c r="U17" i="27"/>
  <c r="U16" i="27"/>
  <c r="U10" i="27"/>
  <c r="U9" i="27"/>
  <c r="U8" i="27"/>
  <c r="U7" i="27"/>
  <c r="U6" i="27"/>
  <c r="U5" i="27"/>
  <c r="U112" i="25"/>
  <c r="U111" i="25"/>
  <c r="U110" i="25"/>
  <c r="U109" i="25"/>
  <c r="U108" i="25"/>
  <c r="U105" i="25"/>
  <c r="U104" i="25"/>
  <c r="U103" i="25"/>
  <c r="U102" i="25"/>
  <c r="U101" i="25"/>
  <c r="U100" i="25"/>
  <c r="U99" i="25"/>
  <c r="U96" i="25"/>
  <c r="U95" i="25"/>
  <c r="U94" i="25"/>
  <c r="U93" i="25"/>
  <c r="U92" i="25"/>
  <c r="U91" i="25"/>
  <c r="U90" i="25"/>
  <c r="U87" i="25"/>
  <c r="U86" i="25"/>
  <c r="U85" i="25"/>
  <c r="U84" i="25"/>
  <c r="U83" i="25"/>
  <c r="U82" i="25"/>
  <c r="U81" i="25"/>
  <c r="U80" i="25"/>
  <c r="U75" i="25"/>
  <c r="U74" i="25"/>
  <c r="U73" i="25"/>
  <c r="U70" i="25"/>
  <c r="U69" i="25"/>
  <c r="U68" i="25"/>
  <c r="U65" i="25"/>
  <c r="U64" i="25"/>
  <c r="U63" i="25"/>
  <c r="U62" i="25"/>
  <c r="U61" i="25"/>
  <c r="U60" i="25"/>
  <c r="U59" i="25"/>
  <c r="U58" i="25"/>
  <c r="U57" i="25"/>
  <c r="U56" i="25"/>
  <c r="U55" i="25"/>
  <c r="U50" i="25"/>
  <c r="U49" i="25"/>
  <c r="U48" i="25"/>
  <c r="U47" i="25"/>
  <c r="U46" i="25"/>
  <c r="U45" i="25"/>
  <c r="U44" i="25"/>
  <c r="U43" i="25"/>
  <c r="U42" i="25"/>
  <c r="U41" i="25"/>
  <c r="U40" i="25"/>
  <c r="U39" i="25"/>
  <c r="U36" i="25"/>
  <c r="U35" i="25"/>
  <c r="U34" i="25"/>
  <c r="U33" i="25"/>
  <c r="U22" i="25"/>
  <c r="U21" i="25"/>
  <c r="U20" i="25"/>
  <c r="U19" i="25"/>
  <c r="U18" i="25"/>
  <c r="U17" i="25"/>
  <c r="U16" i="25"/>
  <c r="U10" i="25"/>
  <c r="U9" i="25"/>
  <c r="U8" i="25"/>
  <c r="U7" i="25"/>
  <c r="U6" i="25"/>
  <c r="U5" i="25"/>
  <c r="U112" i="24"/>
  <c r="U111" i="24"/>
  <c r="U110" i="24"/>
  <c r="U109" i="24"/>
  <c r="U108" i="24"/>
  <c r="U105" i="24"/>
  <c r="U104" i="24"/>
  <c r="U103" i="24"/>
  <c r="U102" i="24"/>
  <c r="U101" i="24"/>
  <c r="U100" i="24"/>
  <c r="U99" i="24"/>
  <c r="U96" i="24"/>
  <c r="U95" i="24"/>
  <c r="U94" i="24"/>
  <c r="U93" i="24"/>
  <c r="U92" i="24"/>
  <c r="U91" i="24"/>
  <c r="U90" i="24"/>
  <c r="U87" i="24"/>
  <c r="U86" i="24"/>
  <c r="U85" i="24"/>
  <c r="U84" i="24"/>
  <c r="U83" i="24"/>
  <c r="U82" i="24"/>
  <c r="U81" i="24"/>
  <c r="U80" i="24"/>
  <c r="U75" i="24"/>
  <c r="U74" i="24"/>
  <c r="U73" i="24"/>
  <c r="U70" i="24"/>
  <c r="U69" i="24"/>
  <c r="U68" i="24"/>
  <c r="U65" i="24"/>
  <c r="U64" i="24"/>
  <c r="U63" i="24"/>
  <c r="U62" i="24"/>
  <c r="U61" i="24"/>
  <c r="U60" i="24"/>
  <c r="U59" i="24"/>
  <c r="U58" i="24"/>
  <c r="U57" i="24"/>
  <c r="U56" i="24"/>
  <c r="U55" i="24"/>
  <c r="U50" i="24"/>
  <c r="U49" i="24"/>
  <c r="U48" i="24"/>
  <c r="U47" i="24"/>
  <c r="U46" i="24"/>
  <c r="U45" i="24"/>
  <c r="U44" i="24"/>
  <c r="U43" i="24"/>
  <c r="U42" i="24"/>
  <c r="U41" i="24"/>
  <c r="U40" i="24"/>
  <c r="U39" i="24"/>
  <c r="U36" i="24"/>
  <c r="U35" i="24"/>
  <c r="U34" i="24"/>
  <c r="U33" i="24"/>
  <c r="U25" i="24"/>
  <c r="U24" i="24"/>
  <c r="U22" i="24"/>
  <c r="U21" i="24"/>
  <c r="U20" i="24"/>
  <c r="U19" i="24"/>
  <c r="U18" i="24"/>
  <c r="U17" i="24"/>
  <c r="U16" i="24"/>
  <c r="U10" i="24"/>
  <c r="U9" i="24"/>
  <c r="U8" i="24"/>
  <c r="U7" i="24"/>
  <c r="U6" i="24"/>
  <c r="U5" i="24"/>
  <c r="V53" i="4"/>
  <c r="U112" i="4"/>
  <c r="U111" i="4"/>
  <c r="U110" i="4"/>
  <c r="U109" i="4"/>
  <c r="U108" i="4"/>
  <c r="U105" i="4"/>
  <c r="U104" i="4"/>
  <c r="U103" i="4"/>
  <c r="U102" i="4"/>
  <c r="U101" i="4"/>
  <c r="U100" i="4"/>
  <c r="U99" i="4"/>
  <c r="U96" i="4"/>
  <c r="U95" i="4"/>
  <c r="U94" i="4"/>
  <c r="U93" i="4"/>
  <c r="U92" i="4"/>
  <c r="U91" i="4"/>
  <c r="U90" i="4"/>
  <c r="U87" i="4"/>
  <c r="U86" i="4"/>
  <c r="U85" i="4"/>
  <c r="U84" i="4"/>
  <c r="U83" i="4"/>
  <c r="U81" i="4"/>
  <c r="U80" i="4"/>
  <c r="U75" i="4"/>
  <c r="U74" i="4"/>
  <c r="U73" i="4"/>
  <c r="U70" i="4"/>
  <c r="U69" i="4"/>
  <c r="U68" i="4"/>
  <c r="U65" i="4"/>
  <c r="U64" i="4"/>
  <c r="U63" i="4"/>
  <c r="U62" i="4"/>
  <c r="U61" i="4"/>
  <c r="U60" i="4"/>
  <c r="U59" i="4"/>
  <c r="U58" i="4"/>
  <c r="U57" i="4"/>
  <c r="U56" i="4"/>
  <c r="U55" i="4"/>
  <c r="U50" i="4"/>
  <c r="U49" i="4"/>
  <c r="U48" i="4"/>
  <c r="U47" i="4"/>
  <c r="U46" i="4"/>
  <c r="U45" i="4"/>
  <c r="U44" i="4"/>
  <c r="U43" i="4"/>
  <c r="U42" i="4"/>
  <c r="U41" i="4"/>
  <c r="U40" i="4"/>
  <c r="U39" i="4"/>
  <c r="U36" i="4"/>
  <c r="U35" i="4"/>
  <c r="U34" i="4"/>
  <c r="U33" i="4"/>
  <c r="U22" i="4"/>
  <c r="U21" i="4"/>
  <c r="U20" i="4"/>
  <c r="U19" i="4"/>
  <c r="U18" i="4"/>
  <c r="U17" i="4"/>
  <c r="U16" i="4"/>
  <c r="U10" i="4"/>
  <c r="U9" i="4"/>
  <c r="U8" i="4"/>
  <c r="U7" i="4"/>
  <c r="U6" i="4"/>
  <c r="U5" i="4"/>
  <c r="Q112" i="4"/>
  <c r="Q111" i="4"/>
  <c r="Q110" i="4"/>
  <c r="Q109" i="4"/>
  <c r="Q108" i="4"/>
  <c r="Q105" i="4"/>
  <c r="Q104" i="4"/>
  <c r="Q103" i="4"/>
  <c r="Q102" i="4"/>
  <c r="Q101" i="4"/>
  <c r="Q100" i="4"/>
  <c r="Q99" i="4"/>
  <c r="Q96" i="4"/>
  <c r="Q95" i="4"/>
  <c r="Q94" i="4"/>
  <c r="Q93" i="4"/>
  <c r="Q92" i="4"/>
  <c r="Q91" i="4"/>
  <c r="Q90" i="4"/>
  <c r="Q87" i="4"/>
  <c r="Q86" i="4"/>
  <c r="Q85" i="4"/>
  <c r="Q84" i="4"/>
  <c r="Q83" i="4"/>
  <c r="Q82" i="4"/>
  <c r="Q81" i="4"/>
  <c r="Q80" i="4"/>
  <c r="Q75" i="4"/>
  <c r="Q74" i="4"/>
  <c r="Q73" i="4"/>
  <c r="Q70" i="4"/>
  <c r="Q69" i="4"/>
  <c r="Q68" i="4"/>
  <c r="Q65" i="4"/>
  <c r="Q64" i="4"/>
  <c r="Q63" i="4"/>
  <c r="Q62" i="4"/>
  <c r="Q61" i="4"/>
  <c r="Q60" i="4"/>
  <c r="Q59" i="4"/>
  <c r="Q58" i="4"/>
  <c r="Q57" i="4"/>
  <c r="Q56" i="4"/>
  <c r="Q55" i="4"/>
  <c r="Q50" i="4"/>
  <c r="Q49" i="4"/>
  <c r="Q48" i="4"/>
  <c r="Q47" i="4"/>
  <c r="Q46" i="4"/>
  <c r="Q45" i="4"/>
  <c r="Q44" i="4"/>
  <c r="Q43" i="4"/>
  <c r="Q42" i="4"/>
  <c r="Q41" i="4"/>
  <c r="Q40" i="4"/>
  <c r="Q39" i="4"/>
  <c r="Q36" i="4"/>
  <c r="Q35" i="4"/>
  <c r="Q34" i="4"/>
  <c r="Q33" i="4"/>
  <c r="Q22" i="4"/>
  <c r="Q21" i="4"/>
  <c r="Q20" i="4"/>
  <c r="Q19" i="4"/>
  <c r="Q18" i="4"/>
  <c r="Q17" i="4"/>
  <c r="Q16" i="4"/>
  <c r="Q10" i="4"/>
  <c r="Q9" i="4"/>
  <c r="Q8" i="4"/>
  <c r="Q7" i="4"/>
  <c r="Q6" i="4"/>
  <c r="Q5" i="4"/>
  <c r="M112" i="4"/>
  <c r="M111" i="4"/>
  <c r="M110" i="4"/>
  <c r="M109" i="4"/>
  <c r="M108" i="4"/>
  <c r="M105" i="4"/>
  <c r="M104" i="4"/>
  <c r="M103" i="4"/>
  <c r="M102" i="4"/>
  <c r="M101" i="4"/>
  <c r="M100" i="4"/>
  <c r="M99" i="4"/>
  <c r="M96" i="4"/>
  <c r="M95" i="4"/>
  <c r="M94" i="4"/>
  <c r="M93" i="4"/>
  <c r="M92" i="4"/>
  <c r="M91" i="4"/>
  <c r="M90" i="4"/>
  <c r="M87" i="4"/>
  <c r="M86" i="4"/>
  <c r="M85" i="4"/>
  <c r="M84" i="4"/>
  <c r="M83" i="4"/>
  <c r="M82" i="4"/>
  <c r="M81" i="4"/>
  <c r="M80" i="4"/>
  <c r="M75" i="4"/>
  <c r="M74" i="4"/>
  <c r="M73" i="4"/>
  <c r="M70" i="4"/>
  <c r="M69" i="4"/>
  <c r="M68" i="4"/>
  <c r="M65" i="4"/>
  <c r="M64" i="4"/>
  <c r="M63" i="4"/>
  <c r="M62" i="4"/>
  <c r="M61" i="4"/>
  <c r="M60" i="4"/>
  <c r="M59" i="4"/>
  <c r="M58" i="4"/>
  <c r="M57" i="4"/>
  <c r="M56" i="4"/>
  <c r="M55" i="4"/>
  <c r="M50" i="4"/>
  <c r="M49" i="4"/>
  <c r="M48" i="4"/>
  <c r="M47" i="4"/>
  <c r="M46" i="4"/>
  <c r="M45" i="4"/>
  <c r="M44" i="4"/>
  <c r="M43" i="4"/>
  <c r="M42" i="4"/>
  <c r="M41" i="4"/>
  <c r="M40" i="4"/>
  <c r="M39" i="4"/>
  <c r="M36" i="4"/>
  <c r="M35" i="4"/>
  <c r="M34" i="4"/>
  <c r="M33" i="4"/>
  <c r="M22" i="4"/>
  <c r="M21" i="4"/>
  <c r="M20" i="4"/>
  <c r="M19" i="4"/>
  <c r="M18" i="4"/>
  <c r="M17" i="4"/>
  <c r="M16" i="4"/>
  <c r="M10" i="4"/>
  <c r="M9" i="4"/>
  <c r="M8" i="4"/>
  <c r="M7" i="4"/>
  <c r="M6" i="4"/>
  <c r="M5" i="4"/>
  <c r="I99" i="4"/>
  <c r="I96" i="4"/>
  <c r="I95" i="4"/>
  <c r="I94" i="4"/>
  <c r="I93" i="4"/>
  <c r="I92" i="4"/>
  <c r="I91" i="4"/>
  <c r="U71" i="25" l="1"/>
  <c r="U113" i="25"/>
  <c r="U113" i="4"/>
  <c r="Q12" i="4"/>
  <c r="Q113" i="4"/>
  <c r="M113" i="4"/>
  <c r="I113" i="27"/>
  <c r="M113" i="27"/>
  <c r="Q113" i="27"/>
  <c r="U113" i="27"/>
  <c r="M113" i="31"/>
  <c r="M113" i="24"/>
  <c r="I113" i="24"/>
  <c r="Q113" i="24"/>
  <c r="Q71" i="4"/>
  <c r="U113" i="31"/>
  <c r="I113" i="31"/>
  <c r="Q113" i="31"/>
  <c r="U113" i="24"/>
  <c r="U71" i="31"/>
  <c r="U37" i="31"/>
  <c r="V96" i="4"/>
  <c r="U76" i="31"/>
  <c r="U37" i="27"/>
  <c r="U12" i="25"/>
  <c r="I113" i="25"/>
  <c r="M113" i="25"/>
  <c r="Q113" i="25"/>
  <c r="U76" i="25"/>
  <c r="U66" i="27"/>
  <c r="U106" i="27"/>
  <c r="U97" i="27"/>
  <c r="U12" i="27"/>
  <c r="U71" i="27"/>
  <c r="V93" i="4"/>
  <c r="U51" i="31"/>
  <c r="U66" i="31"/>
  <c r="U106" i="31"/>
  <c r="U88" i="31"/>
  <c r="U89" i="31" s="1"/>
  <c r="U97" i="31"/>
  <c r="U37" i="25"/>
  <c r="U12" i="24"/>
  <c r="Q12" i="33"/>
  <c r="U12" i="33"/>
  <c r="Q26" i="33"/>
  <c r="V95" i="4"/>
  <c r="Q37" i="4"/>
  <c r="U106" i="4"/>
  <c r="V99" i="4"/>
  <c r="M12" i="4"/>
  <c r="V94" i="4"/>
  <c r="M71" i="4"/>
  <c r="U37" i="4"/>
  <c r="V91" i="4"/>
  <c r="U97" i="4"/>
  <c r="V92" i="4"/>
  <c r="U37" i="24"/>
  <c r="U51" i="24"/>
  <c r="U88" i="27"/>
  <c r="U89" i="27" s="1"/>
  <c r="U51" i="27"/>
  <c r="U26" i="27"/>
  <c r="U76" i="27"/>
  <c r="U26" i="25"/>
  <c r="U66" i="25"/>
  <c r="U106" i="25"/>
  <c r="U88" i="25"/>
  <c r="U89" i="25" s="1"/>
  <c r="U97" i="25"/>
  <c r="U51" i="25"/>
  <c r="U97" i="24"/>
  <c r="U71" i="24"/>
  <c r="U76" i="24"/>
  <c r="U26" i="24"/>
  <c r="U66" i="24"/>
  <c r="U106" i="24"/>
  <c r="U88" i="24"/>
  <c r="U89" i="24" s="1"/>
  <c r="U12" i="4"/>
  <c r="U76" i="4"/>
  <c r="M88" i="4"/>
  <c r="M89" i="4" s="1"/>
  <c r="Q51" i="4"/>
  <c r="M97" i="4"/>
  <c r="U26" i="4"/>
  <c r="I97" i="4"/>
  <c r="M51" i="4"/>
  <c r="Q26" i="4"/>
  <c r="Q29" i="4" s="1"/>
  <c r="Q30" i="4" s="1"/>
  <c r="Q76" i="4"/>
  <c r="U88" i="4"/>
  <c r="U89" i="4" s="1"/>
  <c r="Q66" i="4"/>
  <c r="M76" i="4"/>
  <c r="Q106" i="4"/>
  <c r="U71" i="4"/>
  <c r="U66" i="4"/>
  <c r="M26" i="4"/>
  <c r="M29" i="4" s="1"/>
  <c r="Q88" i="4"/>
  <c r="Q89" i="4" s="1"/>
  <c r="U51" i="4"/>
  <c r="M37" i="4"/>
  <c r="M66" i="4"/>
  <c r="M106" i="4"/>
  <c r="Q97" i="4"/>
  <c r="M26" i="33"/>
  <c r="M12" i="33"/>
  <c r="U26" i="33"/>
  <c r="U29" i="25" l="1"/>
  <c r="U30" i="25" s="1"/>
  <c r="U52" i="25"/>
  <c r="U77" i="25" s="1"/>
  <c r="U29" i="24"/>
  <c r="U30" i="24" s="1"/>
  <c r="U29" i="4"/>
  <c r="U30" i="4" s="1"/>
  <c r="U52" i="31"/>
  <c r="U77" i="31" s="1"/>
  <c r="U118" i="31" s="1"/>
  <c r="U52" i="27"/>
  <c r="U77" i="27" s="1"/>
  <c r="Q114" i="25"/>
  <c r="M30" i="4"/>
  <c r="U114" i="27"/>
  <c r="M114" i="27"/>
  <c r="Q114" i="31"/>
  <c r="I114" i="31"/>
  <c r="M52" i="4"/>
  <c r="M77" i="4" s="1"/>
  <c r="U114" i="31"/>
  <c r="I114" i="27"/>
  <c r="U29" i="27"/>
  <c r="U30" i="27" s="1"/>
  <c r="I114" i="25"/>
  <c r="M114" i="25"/>
  <c r="Q52" i="4"/>
  <c r="Q77" i="4" s="1"/>
  <c r="M114" i="31"/>
  <c r="U52" i="4"/>
  <c r="U77" i="4" s="1"/>
  <c r="U29" i="33"/>
  <c r="U30" i="33" s="1"/>
  <c r="Q29" i="33"/>
  <c r="Q30" i="33" s="1"/>
  <c r="Q114" i="4"/>
  <c r="V97" i="4"/>
  <c r="U114" i="24"/>
  <c r="M114" i="24"/>
  <c r="Q114" i="24"/>
  <c r="U52" i="24"/>
  <c r="U77" i="24" s="1"/>
  <c r="Q114" i="27"/>
  <c r="U114" i="25"/>
  <c r="I114" i="24"/>
  <c r="M114" i="4"/>
  <c r="U114" i="4"/>
  <c r="M29" i="33"/>
  <c r="M30" i="33" s="1"/>
  <c r="U115" i="27" l="1"/>
  <c r="U115" i="31"/>
  <c r="Q115" i="31"/>
  <c r="Q115" i="25"/>
  <c r="M115" i="27"/>
  <c r="M115" i="25"/>
  <c r="I115" i="31"/>
  <c r="M115" i="4"/>
  <c r="Q115" i="4"/>
  <c r="I115" i="27"/>
  <c r="I115" i="25"/>
  <c r="M115" i="31"/>
  <c r="Q115" i="27"/>
  <c r="U115" i="25"/>
  <c r="M115" i="24"/>
  <c r="U115" i="24"/>
  <c r="Q115" i="24"/>
  <c r="U115" i="4"/>
  <c r="I25" i="3"/>
  <c r="I24" i="3"/>
  <c r="I23" i="3"/>
  <c r="I21" i="3"/>
  <c r="I20" i="3"/>
  <c r="I19" i="3"/>
  <c r="I9" i="3"/>
  <c r="I10" i="3"/>
  <c r="I11" i="3"/>
  <c r="I8" i="3"/>
  <c r="G13" i="39"/>
  <c r="G15" i="39" s="1"/>
  <c r="G26" i="4"/>
  <c r="F13" i="39" s="1"/>
  <c r="F15" i="39" s="1"/>
  <c r="F26" i="4"/>
  <c r="E13" i="39" s="1"/>
  <c r="I22" i="4"/>
  <c r="V22" i="4" s="1"/>
  <c r="I21" i="4"/>
  <c r="V21" i="4" s="1"/>
  <c r="I20" i="4"/>
  <c r="V20" i="4" s="1"/>
  <c r="I19" i="4"/>
  <c r="V19" i="4" s="1"/>
  <c r="I18" i="4"/>
  <c r="V18" i="4" s="1"/>
  <c r="I17" i="4"/>
  <c r="V17" i="4" s="1"/>
  <c r="I16" i="4"/>
  <c r="V16" i="4" s="1"/>
  <c r="G6" i="39"/>
  <c r="G8" i="39" s="1"/>
  <c r="G12" i="4"/>
  <c r="F6" i="39" s="1"/>
  <c r="F12" i="4"/>
  <c r="E6" i="39" s="1"/>
  <c r="I10" i="4"/>
  <c r="V10" i="4" s="1"/>
  <c r="I9" i="4"/>
  <c r="V9" i="4" s="1"/>
  <c r="I8" i="4"/>
  <c r="V8" i="4" s="1"/>
  <c r="I7" i="4"/>
  <c r="V7" i="4" s="1"/>
  <c r="I6" i="4"/>
  <c r="V6" i="4" s="1"/>
  <c r="I5" i="4"/>
  <c r="V5" i="4" s="1"/>
  <c r="V22" i="24"/>
  <c r="H29" i="3"/>
  <c r="U25" i="3"/>
  <c r="Q25" i="3"/>
  <c r="M25" i="3"/>
  <c r="U24" i="3"/>
  <c r="Q24" i="3"/>
  <c r="M24" i="3"/>
  <c r="U23" i="3"/>
  <c r="Q23" i="3"/>
  <c r="M23" i="3"/>
  <c r="U22" i="3"/>
  <c r="Q22" i="3"/>
  <c r="M22" i="3"/>
  <c r="U21" i="3"/>
  <c r="Q21" i="3"/>
  <c r="M21" i="3"/>
  <c r="U20" i="3"/>
  <c r="Q20" i="3"/>
  <c r="M20" i="3"/>
  <c r="U19" i="3"/>
  <c r="Q19" i="3"/>
  <c r="M19" i="3"/>
  <c r="U13" i="3"/>
  <c r="Q13" i="3"/>
  <c r="M13" i="3"/>
  <c r="U12" i="3"/>
  <c r="Q12" i="3"/>
  <c r="M12" i="3"/>
  <c r="U11" i="3"/>
  <c r="Q11" i="3"/>
  <c r="M11" i="3"/>
  <c r="U10" i="3"/>
  <c r="Q10" i="3"/>
  <c r="M10" i="3"/>
  <c r="U9" i="3"/>
  <c r="Q9" i="3"/>
  <c r="M9" i="3"/>
  <c r="U8" i="3"/>
  <c r="Q8" i="3"/>
  <c r="M8" i="3"/>
  <c r="F8" i="39" l="1"/>
  <c r="F21" i="39"/>
  <c r="F23" i="39" s="1"/>
  <c r="H13" i="39"/>
  <c r="U13" i="39"/>
  <c r="U15" i="39" s="1"/>
  <c r="D17" i="56"/>
  <c r="S15" i="39"/>
  <c r="R15" i="39"/>
  <c r="Q15" i="39"/>
  <c r="O15" i="39"/>
  <c r="Q8" i="39"/>
  <c r="S8" i="39"/>
  <c r="R8" i="39"/>
  <c r="O8" i="39"/>
  <c r="N8" i="39"/>
  <c r="N15" i="39"/>
  <c r="M8" i="39"/>
  <c r="M15" i="39"/>
  <c r="K15" i="39"/>
  <c r="J15" i="39"/>
  <c r="J8" i="39"/>
  <c r="I8" i="39"/>
  <c r="I15" i="39"/>
  <c r="V115" i="31"/>
  <c r="G29" i="4"/>
  <c r="G30" i="4" s="1"/>
  <c r="M15" i="3"/>
  <c r="I10" i="33"/>
  <c r="V10" i="33" s="1"/>
  <c r="I20" i="33"/>
  <c r="V20" i="33" s="1"/>
  <c r="V26" i="4"/>
  <c r="I21" i="33"/>
  <c r="V21" i="33" s="1"/>
  <c r="I22" i="33"/>
  <c r="V22" i="33" s="1"/>
  <c r="I5" i="33"/>
  <c r="V5" i="33" s="1"/>
  <c r="I16" i="33"/>
  <c r="V16" i="33" s="1"/>
  <c r="I6" i="33"/>
  <c r="V6" i="33" s="1"/>
  <c r="I17" i="33"/>
  <c r="V17" i="33" s="1"/>
  <c r="I7" i="33"/>
  <c r="V7" i="33" s="1"/>
  <c r="I18" i="33"/>
  <c r="V18" i="33" s="1"/>
  <c r="I9" i="33"/>
  <c r="V9" i="33" s="1"/>
  <c r="V12" i="4"/>
  <c r="I8" i="33"/>
  <c r="V8" i="33" s="1"/>
  <c r="I19" i="33"/>
  <c r="V19" i="33" s="1"/>
  <c r="V10" i="27"/>
  <c r="V6" i="27"/>
  <c r="V8" i="27"/>
  <c r="V8" i="25"/>
  <c r="V8" i="24"/>
  <c r="V25" i="24"/>
  <c r="F15" i="3"/>
  <c r="I12" i="3"/>
  <c r="I15" i="3" s="1"/>
  <c r="I22" i="3"/>
  <c r="V22" i="3" s="1"/>
  <c r="F12" i="33"/>
  <c r="F29" i="4"/>
  <c r="H32" i="3"/>
  <c r="G33" i="3"/>
  <c r="V19" i="3"/>
  <c r="V10" i="25"/>
  <c r="F26" i="33"/>
  <c r="V6" i="24"/>
  <c r="V5" i="24"/>
  <c r="V16" i="25"/>
  <c r="I26" i="4"/>
  <c r="I12" i="4"/>
  <c r="V9" i="24"/>
  <c r="V17" i="24"/>
  <c r="V19" i="24"/>
  <c r="V21" i="24"/>
  <c r="V24" i="24"/>
  <c r="V20" i="24"/>
  <c r="V10" i="24"/>
  <c r="V7" i="24"/>
  <c r="V16" i="24"/>
  <c r="V18" i="24"/>
  <c r="V18" i="27"/>
  <c r="V20" i="27"/>
  <c r="V7" i="27"/>
  <c r="V16" i="27"/>
  <c r="V9" i="27"/>
  <c r="V17" i="27"/>
  <c r="V19" i="27"/>
  <c r="V22" i="27"/>
  <c r="V5" i="27"/>
  <c r="V21" i="27"/>
  <c r="V7" i="25"/>
  <c r="V18" i="25"/>
  <c r="V22" i="25"/>
  <c r="V20" i="25"/>
  <c r="V6" i="25"/>
  <c r="V17" i="25"/>
  <c r="V19" i="25"/>
  <c r="V21" i="25"/>
  <c r="V9" i="25"/>
  <c r="V5" i="25"/>
  <c r="V21" i="3"/>
  <c r="V8" i="3"/>
  <c r="V10" i="3"/>
  <c r="V11" i="3"/>
  <c r="V20" i="3"/>
  <c r="V24" i="3"/>
  <c r="Q15" i="3"/>
  <c r="V9" i="3"/>
  <c r="Q29" i="3"/>
  <c r="M29" i="3"/>
  <c r="V13" i="3"/>
  <c r="V23" i="3"/>
  <c r="V25" i="3"/>
  <c r="U15" i="3"/>
  <c r="U29" i="3"/>
  <c r="H33" i="3" l="1"/>
  <c r="H17" i="56"/>
  <c r="H19" i="56" s="1"/>
  <c r="D19" i="56"/>
  <c r="E2" i="43"/>
  <c r="I29" i="3"/>
  <c r="I32" i="3" s="1"/>
  <c r="E4" i="43"/>
  <c r="H4" i="43" s="1"/>
  <c r="U4" i="43" s="1"/>
  <c r="R23" i="39"/>
  <c r="S23" i="39"/>
  <c r="Q23" i="39"/>
  <c r="O23" i="39"/>
  <c r="N23" i="39"/>
  <c r="M23" i="39"/>
  <c r="K8" i="39"/>
  <c r="K23" i="39"/>
  <c r="J23" i="39"/>
  <c r="E15" i="39"/>
  <c r="I23" i="39"/>
  <c r="M32" i="3"/>
  <c r="M33" i="3" s="1"/>
  <c r="I29" i="4"/>
  <c r="I26" i="33"/>
  <c r="I12" i="33"/>
  <c r="V29" i="4"/>
  <c r="V30" i="4" s="1"/>
  <c r="V12" i="24"/>
  <c r="F30" i="4"/>
  <c r="V26" i="27"/>
  <c r="F29" i="33"/>
  <c r="V12" i="3"/>
  <c r="V15" i="3" s="1"/>
  <c r="V29" i="3"/>
  <c r="F29" i="3"/>
  <c r="E6" i="43" s="1"/>
  <c r="Q32" i="3"/>
  <c r="Q33" i="3" s="1"/>
  <c r="U32" i="3"/>
  <c r="U33" i="3" s="1"/>
  <c r="V26" i="25"/>
  <c r="V26" i="33"/>
  <c r="V26" i="24"/>
  <c r="V12" i="27"/>
  <c r="V12" i="25"/>
  <c r="V12" i="33"/>
  <c r="I33" i="3" l="1"/>
  <c r="F32" i="3"/>
  <c r="E10" i="43"/>
  <c r="E12" i="43" s="1"/>
  <c r="H2" i="43"/>
  <c r="U2" i="43" s="1"/>
  <c r="H15" i="39"/>
  <c r="I29" i="33"/>
  <c r="I30" i="33" s="1"/>
  <c r="V29" i="24"/>
  <c r="V30" i="24" s="1"/>
  <c r="I30" i="4"/>
  <c r="F30" i="33"/>
  <c r="V29" i="25"/>
  <c r="V30" i="25" s="1"/>
  <c r="V32" i="3"/>
  <c r="V29" i="27"/>
  <c r="V30" i="27" s="1"/>
  <c r="V29" i="33"/>
  <c r="V30" i="33" s="1"/>
  <c r="V33" i="3" l="1"/>
  <c r="F33" i="3"/>
  <c r="E8" i="43"/>
  <c r="H8" i="43" s="1"/>
  <c r="U8" i="43" s="1"/>
  <c r="H6" i="43"/>
  <c r="H12" i="43"/>
  <c r="U12" i="43" s="1"/>
  <c r="U6" i="43" l="1"/>
  <c r="H10" i="43"/>
  <c r="U10" i="43" s="1"/>
  <c r="Y120" i="3"/>
  <c r="Y123" i="3"/>
  <c r="Y122" i="3"/>
  <c r="Y121" i="3"/>
  <c r="H113" i="33"/>
  <c r="M39" i="33"/>
  <c r="Q70" i="33"/>
  <c r="M55" i="33"/>
  <c r="Q99" i="33"/>
  <c r="U41" i="33"/>
  <c r="U73" i="33"/>
  <c r="M33" i="33"/>
  <c r="M80" i="33"/>
  <c r="Q33" i="33"/>
  <c r="Q43" i="33"/>
  <c r="Q55" i="33"/>
  <c r="I93" i="33"/>
  <c r="M95" i="33"/>
  <c r="Q83" i="33"/>
  <c r="U46" i="33"/>
  <c r="I35" i="33"/>
  <c r="I63" i="33"/>
  <c r="I82" i="33"/>
  <c r="M36" i="33"/>
  <c r="M46" i="33"/>
  <c r="M58" i="33"/>
  <c r="M68" i="33"/>
  <c r="M82" i="33"/>
  <c r="M93" i="33"/>
  <c r="M103" i="33"/>
  <c r="Q35" i="33"/>
  <c r="Q45" i="33"/>
  <c r="Q57" i="33"/>
  <c r="Q65" i="33"/>
  <c r="Q81" i="33"/>
  <c r="Q92" i="33"/>
  <c r="Q102" i="33"/>
  <c r="Q112" i="33"/>
  <c r="U34" i="33"/>
  <c r="U44" i="33"/>
  <c r="U56" i="33"/>
  <c r="U64" i="33"/>
  <c r="U80" i="33"/>
  <c r="U91" i="33"/>
  <c r="U101" i="33"/>
  <c r="U111" i="33"/>
  <c r="I108" i="33"/>
  <c r="M84" i="33"/>
  <c r="Q69" i="33"/>
  <c r="U68" i="33"/>
  <c r="I44" i="33"/>
  <c r="I68" i="33"/>
  <c r="I95" i="33"/>
  <c r="I101" i="33"/>
  <c r="I34" i="33"/>
  <c r="I43" i="33"/>
  <c r="I62" i="33"/>
  <c r="I70" i="33"/>
  <c r="I87" i="33"/>
  <c r="I94" i="33"/>
  <c r="I100" i="33"/>
  <c r="M47" i="33"/>
  <c r="M59" i="33"/>
  <c r="M69" i="33"/>
  <c r="M83" i="33"/>
  <c r="M94" i="33"/>
  <c r="M104" i="33"/>
  <c r="Q36" i="33"/>
  <c r="Q46" i="33"/>
  <c r="Q58" i="33"/>
  <c r="Q68" i="33"/>
  <c r="Q82" i="33"/>
  <c r="Q93" i="33"/>
  <c r="Q103" i="33"/>
  <c r="U35" i="33"/>
  <c r="U45" i="33"/>
  <c r="U57" i="33"/>
  <c r="U65" i="33"/>
  <c r="U81" i="33"/>
  <c r="U92" i="33"/>
  <c r="U102" i="33"/>
  <c r="U112" i="33"/>
  <c r="I42" i="33"/>
  <c r="Q47" i="33"/>
  <c r="U103" i="33"/>
  <c r="I60" i="33"/>
  <c r="M41" i="33"/>
  <c r="M49" i="33"/>
  <c r="M61" i="33"/>
  <c r="M73" i="33"/>
  <c r="M85" i="33"/>
  <c r="M96" i="33"/>
  <c r="M108" i="33"/>
  <c r="Q40" i="33"/>
  <c r="Q48" i="33"/>
  <c r="Q60" i="33"/>
  <c r="Q84" i="33"/>
  <c r="Q95" i="33"/>
  <c r="Q105" i="33"/>
  <c r="U39" i="33"/>
  <c r="U47" i="33"/>
  <c r="U59" i="33"/>
  <c r="U69" i="33"/>
  <c r="U83" i="33"/>
  <c r="U94" i="33"/>
  <c r="U104" i="33"/>
  <c r="I61" i="33"/>
  <c r="M48" i="33"/>
  <c r="Q94" i="33"/>
  <c r="U36" i="33"/>
  <c r="U93" i="33"/>
  <c r="I73" i="33"/>
  <c r="I48" i="33"/>
  <c r="I40" i="33"/>
  <c r="I59" i="33"/>
  <c r="I75" i="33"/>
  <c r="I84" i="33"/>
  <c r="I99" i="33"/>
  <c r="I111" i="33"/>
  <c r="M42" i="33"/>
  <c r="M50" i="33"/>
  <c r="M62" i="33"/>
  <c r="M74" i="33"/>
  <c r="M86" i="33"/>
  <c r="M99" i="33"/>
  <c r="M109" i="33"/>
  <c r="Q41" i="33"/>
  <c r="Q49" i="33"/>
  <c r="Q61" i="33"/>
  <c r="Q73" i="33"/>
  <c r="Q85" i="33"/>
  <c r="Q96" i="33"/>
  <c r="Q108" i="33"/>
  <c r="U40" i="33"/>
  <c r="U48" i="33"/>
  <c r="U60" i="33"/>
  <c r="U70" i="33"/>
  <c r="U84" i="33"/>
  <c r="U95" i="33"/>
  <c r="U105" i="33"/>
  <c r="I39" i="33"/>
  <c r="I86" i="33"/>
  <c r="M70" i="33"/>
  <c r="Q59" i="33"/>
  <c r="Q104" i="33"/>
  <c r="I50" i="33"/>
  <c r="I92" i="33"/>
  <c r="I47" i="33"/>
  <c r="I55" i="33"/>
  <c r="I58" i="33"/>
  <c r="I74" i="33"/>
  <c r="I83" i="33"/>
  <c r="I105" i="33"/>
  <c r="I110" i="33"/>
  <c r="M43" i="33"/>
  <c r="M63" i="33"/>
  <c r="M75" i="33"/>
  <c r="M87" i="33"/>
  <c r="M100" i="33"/>
  <c r="M110" i="33"/>
  <c r="Q42" i="33"/>
  <c r="Q50" i="33"/>
  <c r="Q62" i="33"/>
  <c r="Q74" i="33"/>
  <c r="Q86" i="33"/>
  <c r="Q109" i="33"/>
  <c r="U49" i="33"/>
  <c r="U61" i="33"/>
  <c r="U85" i="33"/>
  <c r="U96" i="33"/>
  <c r="U108" i="33"/>
  <c r="I69" i="33"/>
  <c r="M40" i="33"/>
  <c r="M105" i="33"/>
  <c r="U58" i="33"/>
  <c r="I41" i="33"/>
  <c r="I112" i="33"/>
  <c r="I46" i="33"/>
  <c r="I65" i="33"/>
  <c r="I57" i="33"/>
  <c r="I80" i="33"/>
  <c r="I91" i="33"/>
  <c r="I103" i="33"/>
  <c r="I109" i="33"/>
  <c r="M34" i="33"/>
  <c r="M44" i="33"/>
  <c r="M56" i="33"/>
  <c r="M64" i="33"/>
  <c r="M91" i="33"/>
  <c r="M101" i="33"/>
  <c r="M111" i="33"/>
  <c r="Q63" i="33"/>
  <c r="Q75" i="33"/>
  <c r="Q87" i="33"/>
  <c r="Q100" i="33"/>
  <c r="Q110" i="33"/>
  <c r="U42" i="33"/>
  <c r="U50" i="33"/>
  <c r="U62" i="33"/>
  <c r="U74" i="33"/>
  <c r="U86" i="33"/>
  <c r="U99" i="33"/>
  <c r="U109" i="33"/>
  <c r="M60" i="33"/>
  <c r="Q39" i="33"/>
  <c r="U82" i="33"/>
  <c r="I85" i="33"/>
  <c r="I33" i="33"/>
  <c r="I45" i="33"/>
  <c r="I64" i="33"/>
  <c r="I56" i="33"/>
  <c r="I81" i="33"/>
  <c r="I96" i="33"/>
  <c r="I102" i="33"/>
  <c r="M35" i="33"/>
  <c r="M45" i="33"/>
  <c r="M57" i="33"/>
  <c r="M65" i="33"/>
  <c r="M81" i="33"/>
  <c r="M92" i="33"/>
  <c r="M102" i="33"/>
  <c r="M112" i="33"/>
  <c r="Q34" i="33"/>
  <c r="Q44" i="33"/>
  <c r="Q56" i="33"/>
  <c r="Q64" i="33"/>
  <c r="Q80" i="33"/>
  <c r="Q91" i="33"/>
  <c r="Q101" i="33"/>
  <c r="Q111" i="33"/>
  <c r="U33" i="33"/>
  <c r="U43" i="33"/>
  <c r="U55" i="33"/>
  <c r="U63" i="33"/>
  <c r="U75" i="33"/>
  <c r="U87" i="33"/>
  <c r="U100" i="33"/>
  <c r="U110" i="33"/>
  <c r="G114" i="33" l="1"/>
  <c r="U37" i="33"/>
  <c r="Q66" i="33"/>
  <c r="M37" i="33"/>
  <c r="M51" i="33"/>
  <c r="Q113" i="33"/>
  <c r="U76" i="33"/>
  <c r="I76" i="33"/>
  <c r="Q37" i="33"/>
  <c r="Q106" i="33"/>
  <c r="M66" i="33"/>
  <c r="U113" i="33"/>
  <c r="I97" i="33"/>
  <c r="I66" i="33"/>
  <c r="Q51" i="33"/>
  <c r="U51" i="33"/>
  <c r="M97" i="33"/>
  <c r="Q71" i="33"/>
  <c r="I71" i="33"/>
  <c r="M71" i="33"/>
  <c r="U97" i="33"/>
  <c r="I88" i="33"/>
  <c r="I89" i="33" s="1"/>
  <c r="U88" i="33"/>
  <c r="U89" i="33" s="1"/>
  <c r="U66" i="33"/>
  <c r="Q97" i="33"/>
  <c r="M88" i="33"/>
  <c r="M76" i="33"/>
  <c r="Q88" i="33"/>
  <c r="I113" i="33"/>
  <c r="Q76" i="33"/>
  <c r="U71" i="33"/>
  <c r="U106" i="33"/>
  <c r="M106" i="33"/>
  <c r="M113" i="33"/>
  <c r="G121" i="33" l="1"/>
  <c r="G123" i="20" s="1"/>
  <c r="H124" i="25"/>
  <c r="H124" i="27"/>
  <c r="G124" i="27"/>
  <c r="G124" i="25"/>
  <c r="U52" i="33"/>
  <c r="U77" i="33" s="1"/>
  <c r="Q52" i="33"/>
  <c r="Q77" i="33" s="1"/>
  <c r="M52" i="33"/>
  <c r="M77" i="33" s="1"/>
  <c r="I104" i="33"/>
  <c r="I106" i="33" s="1"/>
  <c r="I114" i="33" s="1"/>
  <c r="Q89" i="33"/>
  <c r="Q114" i="33" s="1"/>
  <c r="U114" i="33"/>
  <c r="M89" i="33"/>
  <c r="M114" i="33" s="1"/>
  <c r="G21" i="39" l="1"/>
  <c r="G27" i="39"/>
  <c r="G20" i="39"/>
  <c r="G29" i="39"/>
  <c r="G22" i="39"/>
  <c r="F27" i="39"/>
  <c r="F29" i="39"/>
  <c r="U115" i="33"/>
  <c r="M115" i="33"/>
  <c r="Q115" i="33"/>
  <c r="G23" i="39" l="1"/>
  <c r="F76" i="33"/>
  <c r="F71" i="33"/>
  <c r="V89" i="33"/>
  <c r="V53" i="33"/>
  <c r="V103" i="31"/>
  <c r="V96" i="31"/>
  <c r="V94" i="31"/>
  <c r="V90" i="31"/>
  <c r="V89" i="31"/>
  <c r="V82" i="31"/>
  <c r="V80" i="31"/>
  <c r="V75" i="31"/>
  <c r="V70" i="31"/>
  <c r="V65" i="31"/>
  <c r="V63" i="31"/>
  <c r="V53" i="31"/>
  <c r="I49" i="40" l="1"/>
  <c r="Y52" i="3"/>
  <c r="Y39" i="3"/>
  <c r="I36" i="40"/>
  <c r="N114" i="31"/>
  <c r="H114" i="31"/>
  <c r="F114" i="31"/>
  <c r="P114" i="31"/>
  <c r="I115" i="24"/>
  <c r="K114" i="31"/>
  <c r="O114" i="31"/>
  <c r="R114" i="31"/>
  <c r="L114" i="31"/>
  <c r="V83" i="31"/>
  <c r="V64" i="31"/>
  <c r="V110" i="31"/>
  <c r="V36" i="31"/>
  <c r="V39" i="31"/>
  <c r="V41" i="31"/>
  <c r="V45" i="31"/>
  <c r="V47" i="31"/>
  <c r="J114" i="31"/>
  <c r="V43" i="33"/>
  <c r="V46" i="33"/>
  <c r="V57" i="31"/>
  <c r="V49" i="31"/>
  <c r="V62" i="31"/>
  <c r="V69" i="31"/>
  <c r="V108" i="31"/>
  <c r="V86" i="31"/>
  <c r="V94" i="33"/>
  <c r="V61" i="33"/>
  <c r="F88" i="33"/>
  <c r="V56" i="33"/>
  <c r="V59" i="33"/>
  <c r="V103" i="33"/>
  <c r="V34" i="31"/>
  <c r="V59" i="31"/>
  <c r="V61" i="31"/>
  <c r="V101" i="31"/>
  <c r="V112" i="31"/>
  <c r="V43" i="31"/>
  <c r="G114" i="31"/>
  <c r="V105" i="31"/>
  <c r="V35" i="31"/>
  <c r="V58" i="31"/>
  <c r="V60" i="31"/>
  <c r="V84" i="31"/>
  <c r="S114" i="31"/>
  <c r="V93" i="31"/>
  <c r="V95" i="31"/>
  <c r="V100" i="31"/>
  <c r="V40" i="31"/>
  <c r="V42" i="31"/>
  <c r="V44" i="31"/>
  <c r="V48" i="31"/>
  <c r="V50" i="31"/>
  <c r="T114" i="31"/>
  <c r="V104" i="31"/>
  <c r="V46" i="31"/>
  <c r="V56" i="31"/>
  <c r="V81" i="31"/>
  <c r="V85" i="31"/>
  <c r="V87" i="31"/>
  <c r="V109" i="31"/>
  <c r="V111" i="31"/>
  <c r="V74" i="31"/>
  <c r="V33" i="31"/>
  <c r="F106" i="33"/>
  <c r="F97" i="33"/>
  <c r="V76" i="31"/>
  <c r="V100" i="33"/>
  <c r="V90" i="33"/>
  <c r="V102" i="31"/>
  <c r="V99" i="31"/>
  <c r="V55" i="31"/>
  <c r="V68" i="31"/>
  <c r="V73" i="31"/>
  <c r="V91" i="31"/>
  <c r="V92" i="31"/>
  <c r="Q109" i="20"/>
  <c r="U112" i="28"/>
  <c r="U111" i="28"/>
  <c r="U110" i="28"/>
  <c r="Q113" i="28"/>
  <c r="U109" i="28"/>
  <c r="U108" i="28"/>
  <c r="M113" i="28"/>
  <c r="U105" i="28"/>
  <c r="U104" i="28"/>
  <c r="U103" i="28"/>
  <c r="U102" i="28"/>
  <c r="U101" i="28"/>
  <c r="U100" i="28"/>
  <c r="U99" i="28"/>
  <c r="U96" i="28"/>
  <c r="U95" i="28"/>
  <c r="U94" i="28"/>
  <c r="U93" i="28"/>
  <c r="U92" i="28"/>
  <c r="U91" i="28"/>
  <c r="U90" i="28"/>
  <c r="V89" i="28"/>
  <c r="U87" i="28"/>
  <c r="U86" i="28"/>
  <c r="U85" i="28"/>
  <c r="U84" i="28"/>
  <c r="U83" i="28"/>
  <c r="U82" i="28"/>
  <c r="U81" i="28"/>
  <c r="U80" i="28"/>
  <c r="U75" i="28"/>
  <c r="U74" i="28"/>
  <c r="U73" i="28"/>
  <c r="U70" i="28"/>
  <c r="U69" i="28"/>
  <c r="U68" i="28"/>
  <c r="U65" i="28"/>
  <c r="U64" i="28"/>
  <c r="U63" i="28"/>
  <c r="U62" i="28"/>
  <c r="U61" i="28"/>
  <c r="U60" i="28"/>
  <c r="U59" i="28"/>
  <c r="U58" i="28"/>
  <c r="U57" i="28"/>
  <c r="U56" i="28"/>
  <c r="U55" i="28"/>
  <c r="V53" i="28"/>
  <c r="U50" i="28"/>
  <c r="U49" i="28"/>
  <c r="U48" i="28"/>
  <c r="U47" i="28"/>
  <c r="U46" i="28"/>
  <c r="U45" i="28"/>
  <c r="U44" i="28"/>
  <c r="U43" i="28"/>
  <c r="U42" i="28"/>
  <c r="U41" i="28"/>
  <c r="U40" i="28"/>
  <c r="U39" i="28"/>
  <c r="U36" i="28"/>
  <c r="U35" i="28"/>
  <c r="U34" i="28"/>
  <c r="U33" i="28"/>
  <c r="V89" i="27"/>
  <c r="V53" i="27"/>
  <c r="V49" i="27"/>
  <c r="V47" i="27"/>
  <c r="V45" i="27"/>
  <c r="V41" i="27"/>
  <c r="V39" i="27"/>
  <c r="V36" i="27"/>
  <c r="V34" i="27"/>
  <c r="U112" i="26"/>
  <c r="U111" i="26"/>
  <c r="U110" i="26"/>
  <c r="M113" i="26"/>
  <c r="I113" i="26"/>
  <c r="U109" i="26"/>
  <c r="U108" i="26"/>
  <c r="U105" i="26"/>
  <c r="U104" i="26"/>
  <c r="U103" i="26"/>
  <c r="U102" i="26"/>
  <c r="U101" i="26"/>
  <c r="U100" i="26"/>
  <c r="U99" i="26"/>
  <c r="U96" i="26"/>
  <c r="U95" i="26"/>
  <c r="U94" i="26"/>
  <c r="U93" i="26"/>
  <c r="U92" i="26"/>
  <c r="U91" i="26"/>
  <c r="U90" i="26"/>
  <c r="V89" i="26"/>
  <c r="U87" i="26"/>
  <c r="U86" i="26"/>
  <c r="U85" i="26"/>
  <c r="U84" i="26"/>
  <c r="U83" i="26"/>
  <c r="U82" i="26"/>
  <c r="U81" i="26"/>
  <c r="U80" i="26"/>
  <c r="U75" i="26"/>
  <c r="U74" i="26"/>
  <c r="U73" i="26"/>
  <c r="U70" i="26"/>
  <c r="U69" i="26"/>
  <c r="U68" i="26"/>
  <c r="U65" i="26"/>
  <c r="U64" i="26"/>
  <c r="U63" i="26"/>
  <c r="U62" i="26"/>
  <c r="U61" i="26"/>
  <c r="U60" i="26"/>
  <c r="U59" i="26"/>
  <c r="U58" i="26"/>
  <c r="U57" i="26"/>
  <c r="U56" i="26"/>
  <c r="U55" i="26"/>
  <c r="V53" i="26"/>
  <c r="U50" i="26"/>
  <c r="U49" i="26"/>
  <c r="U48" i="26"/>
  <c r="U47" i="26"/>
  <c r="U46" i="26"/>
  <c r="U45" i="26"/>
  <c r="U44" i="26"/>
  <c r="U43" i="26"/>
  <c r="U42" i="26"/>
  <c r="U41" i="26"/>
  <c r="U40" i="26"/>
  <c r="U39" i="26"/>
  <c r="U36" i="26"/>
  <c r="U35" i="26"/>
  <c r="U34" i="26"/>
  <c r="U33" i="26"/>
  <c r="T113" i="25"/>
  <c r="S113" i="25"/>
  <c r="R113" i="25"/>
  <c r="P113" i="25"/>
  <c r="O113" i="25"/>
  <c r="N113" i="25"/>
  <c r="V89" i="25"/>
  <c r="V53" i="25"/>
  <c r="V89" i="24"/>
  <c r="V53" i="24"/>
  <c r="U113" i="28" l="1"/>
  <c r="U113" i="26"/>
  <c r="U97" i="26"/>
  <c r="F54" i="3"/>
  <c r="F40" i="3"/>
  <c r="V46" i="28"/>
  <c r="V113" i="26"/>
  <c r="O115" i="31"/>
  <c r="T115" i="31"/>
  <c r="K115" i="31"/>
  <c r="V42" i="28"/>
  <c r="V50" i="28"/>
  <c r="V44" i="28"/>
  <c r="J114" i="27"/>
  <c r="F77" i="40"/>
  <c r="F124" i="40" s="1"/>
  <c r="V36" i="40"/>
  <c r="I37" i="40"/>
  <c r="V37" i="40" s="1"/>
  <c r="I51" i="40"/>
  <c r="V49" i="40"/>
  <c r="H120" i="28"/>
  <c r="H114" i="28"/>
  <c r="V103" i="28"/>
  <c r="S115" i="31"/>
  <c r="L115" i="31"/>
  <c r="L120" i="28"/>
  <c r="P114" i="28"/>
  <c r="V100" i="28"/>
  <c r="V104" i="28"/>
  <c r="V109" i="28"/>
  <c r="U37" i="28"/>
  <c r="V36" i="28"/>
  <c r="V110" i="28"/>
  <c r="R114" i="26"/>
  <c r="U51" i="26"/>
  <c r="U71" i="26"/>
  <c r="V63" i="28"/>
  <c r="V65" i="28"/>
  <c r="V68" i="28"/>
  <c r="V70" i="28"/>
  <c r="V75" i="28"/>
  <c r="V82" i="28"/>
  <c r="V61" i="28"/>
  <c r="V56" i="28"/>
  <c r="V58" i="28"/>
  <c r="V62" i="28"/>
  <c r="V85" i="28"/>
  <c r="V87" i="28"/>
  <c r="K114" i="28"/>
  <c r="V47" i="28"/>
  <c r="V83" i="28"/>
  <c r="L114" i="28"/>
  <c r="V90" i="28"/>
  <c r="V92" i="28"/>
  <c r="V94" i="28"/>
  <c r="V96" i="28"/>
  <c r="Q45" i="20"/>
  <c r="Q69" i="20"/>
  <c r="Q60" i="20"/>
  <c r="M104" i="20"/>
  <c r="M69" i="20"/>
  <c r="M99" i="20"/>
  <c r="M73" i="20"/>
  <c r="M93" i="20"/>
  <c r="M48" i="20"/>
  <c r="Q104" i="20"/>
  <c r="H114" i="26"/>
  <c r="V111" i="26"/>
  <c r="V85" i="26"/>
  <c r="L114" i="26"/>
  <c r="V90" i="26"/>
  <c r="V108" i="26"/>
  <c r="V110" i="26"/>
  <c r="V65" i="26"/>
  <c r="V70" i="26"/>
  <c r="V82" i="26"/>
  <c r="V84" i="26"/>
  <c r="V86" i="26"/>
  <c r="P114" i="26"/>
  <c r="V48" i="28"/>
  <c r="V55" i="28"/>
  <c r="V91" i="28"/>
  <c r="V108" i="28"/>
  <c r="N114" i="28"/>
  <c r="U71" i="28"/>
  <c r="U76" i="28"/>
  <c r="V86" i="28"/>
  <c r="V111" i="28"/>
  <c r="F114" i="28"/>
  <c r="V102" i="28"/>
  <c r="O114" i="28"/>
  <c r="V41" i="28"/>
  <c r="V43" i="28"/>
  <c r="V45" i="28"/>
  <c r="V64" i="28"/>
  <c r="V73" i="28"/>
  <c r="V80" i="28"/>
  <c r="G114" i="28"/>
  <c r="R114" i="28"/>
  <c r="V35" i="28"/>
  <c r="V74" i="28"/>
  <c r="S114" i="28"/>
  <c r="V105" i="28"/>
  <c r="U66" i="28"/>
  <c r="U97" i="28"/>
  <c r="V49" i="28"/>
  <c r="V57" i="28"/>
  <c r="V59" i="28"/>
  <c r="V81" i="28"/>
  <c r="J114" i="28"/>
  <c r="T114" i="28"/>
  <c r="V93" i="28"/>
  <c r="V95" i="28"/>
  <c r="U106" i="28"/>
  <c r="V101" i="28"/>
  <c r="M51" i="3"/>
  <c r="J115" i="31"/>
  <c r="Q49" i="3"/>
  <c r="H115" i="31"/>
  <c r="Q63" i="3"/>
  <c r="H79" i="3"/>
  <c r="M43" i="3"/>
  <c r="Q107" i="3"/>
  <c r="Q72" i="3"/>
  <c r="M106" i="3"/>
  <c r="H40" i="3"/>
  <c r="M88" i="3"/>
  <c r="M84" i="3"/>
  <c r="Q108" i="3"/>
  <c r="Q112" i="3"/>
  <c r="M67" i="3"/>
  <c r="Q37" i="3"/>
  <c r="Q48" i="3"/>
  <c r="M60" i="3"/>
  <c r="Q47" i="3"/>
  <c r="M111" i="3"/>
  <c r="Q77" i="3"/>
  <c r="Q103" i="3"/>
  <c r="M44" i="3"/>
  <c r="M107" i="3"/>
  <c r="Q43" i="3"/>
  <c r="M59" i="3"/>
  <c r="M72" i="3"/>
  <c r="M103" i="3"/>
  <c r="M114" i="3"/>
  <c r="M39" i="3"/>
  <c r="Q99" i="3"/>
  <c r="M96" i="3"/>
  <c r="M47" i="3"/>
  <c r="I63" i="3"/>
  <c r="Q88" i="3"/>
  <c r="I62" i="20"/>
  <c r="M86" i="20"/>
  <c r="M89" i="3"/>
  <c r="Q82" i="20"/>
  <c r="Q85" i="3"/>
  <c r="I70" i="20"/>
  <c r="M96" i="20"/>
  <c r="M99" i="3"/>
  <c r="M102" i="20"/>
  <c r="M105" i="3"/>
  <c r="I49" i="3"/>
  <c r="M36" i="20"/>
  <c r="I42" i="3"/>
  <c r="I50" i="20"/>
  <c r="M49" i="20"/>
  <c r="M52" i="3"/>
  <c r="Q48" i="20"/>
  <c r="Q51" i="3"/>
  <c r="I46" i="20"/>
  <c r="M43" i="20"/>
  <c r="M46" i="3"/>
  <c r="Q40" i="20"/>
  <c r="M55" i="20"/>
  <c r="Q64" i="20"/>
  <c r="Q67" i="3"/>
  <c r="M61" i="20"/>
  <c r="M64" i="3"/>
  <c r="M57" i="20"/>
  <c r="Q73" i="20"/>
  <c r="Q99" i="20"/>
  <c r="Q102" i="3"/>
  <c r="Q87" i="20"/>
  <c r="Q90" i="3"/>
  <c r="M94" i="20"/>
  <c r="M97" i="3"/>
  <c r="M92" i="20"/>
  <c r="M105" i="20"/>
  <c r="M108" i="3"/>
  <c r="Q103" i="20"/>
  <c r="Q106" i="3"/>
  <c r="M100" i="20"/>
  <c r="Q111" i="20"/>
  <c r="Q114" i="3"/>
  <c r="M110" i="20"/>
  <c r="M113" i="3"/>
  <c r="Q36" i="20"/>
  <c r="Q39" i="3"/>
  <c r="Q57" i="20"/>
  <c r="Q60" i="3"/>
  <c r="Q46" i="20"/>
  <c r="Q55" i="20"/>
  <c r="Q58" i="3"/>
  <c r="M64" i="20"/>
  <c r="Q62" i="20"/>
  <c r="Q65" i="3"/>
  <c r="I58" i="20"/>
  <c r="Q81" i="20"/>
  <c r="Q70" i="20"/>
  <c r="I75" i="20"/>
  <c r="M103" i="20"/>
  <c r="Q101" i="20"/>
  <c r="Q104" i="3"/>
  <c r="M111" i="20"/>
  <c r="M35" i="20"/>
  <c r="Q39" i="20"/>
  <c r="I48" i="20"/>
  <c r="I51" i="3"/>
  <c r="M46" i="20"/>
  <c r="M49" i="3"/>
  <c r="I64" i="20"/>
  <c r="I67" i="3"/>
  <c r="M44" i="20"/>
  <c r="Q42" i="20"/>
  <c r="Q45" i="3"/>
  <c r="I35" i="20"/>
  <c r="Q50" i="20"/>
  <c r="Q53" i="3"/>
  <c r="M47" i="20"/>
  <c r="M50" i="3"/>
  <c r="I65" i="20"/>
  <c r="I61" i="20"/>
  <c r="M59" i="20"/>
  <c r="M62" i="3"/>
  <c r="Q58" i="20"/>
  <c r="M68" i="20"/>
  <c r="I73" i="20"/>
  <c r="M91" i="20"/>
  <c r="M85" i="20"/>
  <c r="M84" i="20"/>
  <c r="M87" i="3"/>
  <c r="M82" i="20"/>
  <c r="M85" i="3"/>
  <c r="M74" i="20"/>
  <c r="M77" i="3"/>
  <c r="Q96" i="20"/>
  <c r="Q95" i="20"/>
  <c r="Q98" i="3"/>
  <c r="Q93" i="20"/>
  <c r="Q96" i="3"/>
  <c r="Q105" i="20"/>
  <c r="M101" i="20"/>
  <c r="F76" i="20"/>
  <c r="I48" i="3"/>
  <c r="M34" i="20"/>
  <c r="M37" i="3"/>
  <c r="I63" i="20"/>
  <c r="I66" i="3"/>
  <c r="M62" i="20"/>
  <c r="Q68" i="20"/>
  <c r="Q71" i="3"/>
  <c r="Q91" i="20"/>
  <c r="Q83" i="20"/>
  <c r="Q86" i="3"/>
  <c r="I47" i="20"/>
  <c r="Q61" i="20"/>
  <c r="Q64" i="3"/>
  <c r="Q56" i="20"/>
  <c r="Q59" i="3"/>
  <c r="M108" i="20"/>
  <c r="Q86" i="20"/>
  <c r="Q89" i="3"/>
  <c r="M70" i="20"/>
  <c r="M73" i="3"/>
  <c r="Q100" i="20"/>
  <c r="Q112" i="20"/>
  <c r="Q115" i="3"/>
  <c r="M109" i="20"/>
  <c r="M112" i="3"/>
  <c r="I43" i="20"/>
  <c r="I56" i="20"/>
  <c r="Q75" i="20"/>
  <c r="Q78" i="3"/>
  <c r="Q35" i="20"/>
  <c r="Q38" i="3"/>
  <c r="M50" i="20"/>
  <c r="M53" i="3"/>
  <c r="I49" i="20"/>
  <c r="Q43" i="20"/>
  <c r="M42" i="20"/>
  <c r="M45" i="3"/>
  <c r="M40" i="20"/>
  <c r="I55" i="20"/>
  <c r="Q65" i="20"/>
  <c r="Q68" i="3"/>
  <c r="I68" i="20"/>
  <c r="M45" i="20"/>
  <c r="M48" i="3"/>
  <c r="Q44" i="20"/>
  <c r="Q41" i="20"/>
  <c r="Q44" i="3"/>
  <c r="Q63" i="20"/>
  <c r="Q66" i="3"/>
  <c r="M60" i="20"/>
  <c r="M63" i="3"/>
  <c r="Q59" i="20"/>
  <c r="M56" i="20"/>
  <c r="M80" i="20"/>
  <c r="Q108" i="20"/>
  <c r="Q111" i="3"/>
  <c r="M81" i="20"/>
  <c r="I69" i="20"/>
  <c r="Q74" i="20"/>
  <c r="M95" i="20"/>
  <c r="M98" i="3"/>
  <c r="Q102" i="20"/>
  <c r="Q105" i="3"/>
  <c r="Q110" i="20"/>
  <c r="Q113" i="3"/>
  <c r="M87" i="20"/>
  <c r="M90" i="3"/>
  <c r="I36" i="20"/>
  <c r="Q34" i="20"/>
  <c r="M39" i="20"/>
  <c r="Q49" i="20"/>
  <c r="Q52" i="3"/>
  <c r="Q47" i="20"/>
  <c r="Q50" i="3"/>
  <c r="I45" i="20"/>
  <c r="M41" i="20"/>
  <c r="M65" i="20"/>
  <c r="M68" i="3"/>
  <c r="M63" i="20"/>
  <c r="M66" i="3"/>
  <c r="I60" i="20"/>
  <c r="M58" i="20"/>
  <c r="M61" i="3"/>
  <c r="I57" i="20"/>
  <c r="H74" i="3"/>
  <c r="Q80" i="20"/>
  <c r="Q83" i="3"/>
  <c r="Q85" i="20"/>
  <c r="Q84" i="20"/>
  <c r="M83" i="20"/>
  <c r="M86" i="3"/>
  <c r="M75" i="20"/>
  <c r="I74" i="20"/>
  <c r="Q94" i="20"/>
  <c r="Q97" i="3"/>
  <c r="Q92" i="20"/>
  <c r="M112" i="20"/>
  <c r="M115" i="3"/>
  <c r="G114" i="27"/>
  <c r="R114" i="27"/>
  <c r="J114" i="25"/>
  <c r="T114" i="25"/>
  <c r="I49" i="33"/>
  <c r="I51" i="33" s="1"/>
  <c r="I36" i="33"/>
  <c r="I37" i="33" s="1"/>
  <c r="F37" i="33"/>
  <c r="V103" i="27"/>
  <c r="G115" i="31"/>
  <c r="N115" i="31"/>
  <c r="P115" i="31"/>
  <c r="R115" i="31"/>
  <c r="V81" i="27"/>
  <c r="K114" i="25"/>
  <c r="V56" i="25"/>
  <c r="V58" i="25"/>
  <c r="V60" i="25"/>
  <c r="V62" i="25"/>
  <c r="V69" i="25"/>
  <c r="L114" i="25"/>
  <c r="V65" i="33"/>
  <c r="V44" i="24"/>
  <c r="V85" i="24"/>
  <c r="V71" i="24"/>
  <c r="V93" i="24"/>
  <c r="V95" i="24"/>
  <c r="V100" i="24"/>
  <c r="V102" i="24"/>
  <c r="V104" i="24"/>
  <c r="V109" i="24"/>
  <c r="V111" i="24"/>
  <c r="H114" i="27"/>
  <c r="V62" i="27"/>
  <c r="V112" i="27"/>
  <c r="V48" i="27"/>
  <c r="P114" i="27"/>
  <c r="V108" i="27"/>
  <c r="V35" i="27"/>
  <c r="V63" i="27"/>
  <c r="V65" i="27"/>
  <c r="V70" i="27"/>
  <c r="V73" i="27"/>
  <c r="V75" i="27"/>
  <c r="V80" i="27"/>
  <c r="V82" i="27"/>
  <c r="V86" i="27"/>
  <c r="V90" i="27"/>
  <c r="V61" i="27"/>
  <c r="V103" i="25"/>
  <c r="V36" i="25"/>
  <c r="V84" i="25"/>
  <c r="H114" i="25"/>
  <c r="S114" i="25"/>
  <c r="V88" i="31"/>
  <c r="V97" i="31"/>
  <c r="V71" i="31"/>
  <c r="V37" i="31"/>
  <c r="V109" i="33"/>
  <c r="V84" i="33"/>
  <c r="V40" i="33"/>
  <c r="V34" i="33"/>
  <c r="V70" i="33"/>
  <c r="Q84" i="3"/>
  <c r="V55" i="33"/>
  <c r="V68" i="33"/>
  <c r="V60" i="33"/>
  <c r="V82" i="33"/>
  <c r="V58" i="33"/>
  <c r="V87" i="33"/>
  <c r="V62" i="33"/>
  <c r="V91" i="33"/>
  <c r="V64" i="33"/>
  <c r="V47" i="33"/>
  <c r="V41" i="33"/>
  <c r="V101" i="33"/>
  <c r="V95" i="33"/>
  <c r="V93" i="33"/>
  <c r="V105" i="33"/>
  <c r="V57" i="33"/>
  <c r="V50" i="33"/>
  <c r="V83" i="33"/>
  <c r="V86" i="33"/>
  <c r="V96" i="33"/>
  <c r="V84" i="27"/>
  <c r="V91" i="27"/>
  <c r="V93" i="27"/>
  <c r="V95" i="27"/>
  <c r="V100" i="27"/>
  <c r="V110" i="27"/>
  <c r="V58" i="27"/>
  <c r="V60" i="27"/>
  <c r="T114" i="27"/>
  <c r="V102" i="27"/>
  <c r="V104" i="27"/>
  <c r="V74" i="33"/>
  <c r="V42" i="27"/>
  <c r="V44" i="27"/>
  <c r="V46" i="27"/>
  <c r="V83" i="27"/>
  <c r="V85" i="27"/>
  <c r="V87" i="27"/>
  <c r="V109" i="27"/>
  <c r="V111" i="27"/>
  <c r="V81" i="33"/>
  <c r="V102" i="33"/>
  <c r="V80" i="33"/>
  <c r="L114" i="27"/>
  <c r="S114" i="27"/>
  <c r="V45" i="33"/>
  <c r="V75" i="33"/>
  <c r="V64" i="27"/>
  <c r="V69" i="27"/>
  <c r="V74" i="27"/>
  <c r="N114" i="27"/>
  <c r="V96" i="27"/>
  <c r="V101" i="27"/>
  <c r="V42" i="33"/>
  <c r="V57" i="27"/>
  <c r="V59" i="27"/>
  <c r="O114" i="27"/>
  <c r="K114" i="27"/>
  <c r="V74" i="25"/>
  <c r="V81" i="25"/>
  <c r="V90" i="25"/>
  <c r="V92" i="25"/>
  <c r="V94" i="25"/>
  <c r="V96" i="25"/>
  <c r="V48" i="25"/>
  <c r="V55" i="25"/>
  <c r="V57" i="25"/>
  <c r="V59" i="25"/>
  <c r="V108" i="25"/>
  <c r="V75" i="25"/>
  <c r="V80" i="25"/>
  <c r="V82" i="25"/>
  <c r="V39" i="25"/>
  <c r="V41" i="25"/>
  <c r="V43" i="25"/>
  <c r="V45" i="25"/>
  <c r="V47" i="25"/>
  <c r="V49" i="25"/>
  <c r="G114" i="25"/>
  <c r="R114" i="25"/>
  <c r="V93" i="25"/>
  <c r="V95" i="25"/>
  <c r="P114" i="25"/>
  <c r="V100" i="25"/>
  <c r="V55" i="24"/>
  <c r="V63" i="24"/>
  <c r="V70" i="24"/>
  <c r="V75" i="24"/>
  <c r="V84" i="24"/>
  <c r="V50" i="24"/>
  <c r="V83" i="24"/>
  <c r="V112" i="24"/>
  <c r="V35" i="33"/>
  <c r="V112" i="33"/>
  <c r="V110" i="33"/>
  <c r="V104" i="33"/>
  <c r="V69" i="33"/>
  <c r="V63" i="33"/>
  <c r="V48" i="33"/>
  <c r="V73" i="33"/>
  <c r="V103" i="26"/>
  <c r="V57" i="26"/>
  <c r="V101" i="26"/>
  <c r="U37" i="26"/>
  <c r="V96" i="26"/>
  <c r="V75" i="26"/>
  <c r="V58" i="26"/>
  <c r="V62" i="26"/>
  <c r="U88" i="26"/>
  <c r="V34" i="26"/>
  <c r="V47" i="26"/>
  <c r="K114" i="26"/>
  <c r="V85" i="33"/>
  <c r="U66" i="26"/>
  <c r="V92" i="26"/>
  <c r="V94" i="26"/>
  <c r="V104" i="26"/>
  <c r="V33" i="26"/>
  <c r="V40" i="26"/>
  <c r="V44" i="26"/>
  <c r="V46" i="26"/>
  <c r="V48" i="26"/>
  <c r="V56" i="26"/>
  <c r="V105" i="26"/>
  <c r="V109" i="26"/>
  <c r="V63" i="26"/>
  <c r="V68" i="26"/>
  <c r="N114" i="26"/>
  <c r="V112" i="26"/>
  <c r="V64" i="26"/>
  <c r="V69" i="26"/>
  <c r="U76" i="26"/>
  <c r="V76" i="26" s="1"/>
  <c r="V80" i="26"/>
  <c r="O114" i="26"/>
  <c r="U106" i="26"/>
  <c r="V60" i="26"/>
  <c r="V74" i="26"/>
  <c r="S114" i="26"/>
  <c r="V95" i="26"/>
  <c r="V100" i="26"/>
  <c r="V102" i="26"/>
  <c r="V36" i="26"/>
  <c r="V41" i="26"/>
  <c r="V43" i="26"/>
  <c r="V45" i="26"/>
  <c r="V49" i="26"/>
  <c r="J114" i="26"/>
  <c r="T114" i="26"/>
  <c r="V93" i="26"/>
  <c r="G114" i="26"/>
  <c r="V59" i="26"/>
  <c r="V61" i="26"/>
  <c r="V87" i="26"/>
  <c r="F115" i="31"/>
  <c r="V106" i="31"/>
  <c r="V66" i="31"/>
  <c r="V63" i="25"/>
  <c r="V65" i="25"/>
  <c r="V68" i="25"/>
  <c r="V83" i="25"/>
  <c r="V85" i="25"/>
  <c r="V87" i="25"/>
  <c r="V102" i="25"/>
  <c r="V104" i="25"/>
  <c r="V34" i="25"/>
  <c r="V70" i="25"/>
  <c r="V73" i="25"/>
  <c r="V109" i="25"/>
  <c r="V111" i="25"/>
  <c r="N114" i="25"/>
  <c r="O114" i="25"/>
  <c r="V101" i="25"/>
  <c r="V64" i="25"/>
  <c r="V86" i="25"/>
  <c r="V105" i="25"/>
  <c r="V110" i="25"/>
  <c r="V112" i="25"/>
  <c r="V35" i="25"/>
  <c r="V42" i="25"/>
  <c r="V44" i="25"/>
  <c r="V46" i="25"/>
  <c r="V50" i="25"/>
  <c r="V91" i="25"/>
  <c r="V46" i="24"/>
  <c r="V48" i="24"/>
  <c r="V56" i="24"/>
  <c r="V58" i="24"/>
  <c r="V60" i="24"/>
  <c r="V92" i="24"/>
  <c r="V64" i="24"/>
  <c r="V69" i="24"/>
  <c r="V80" i="24"/>
  <c r="V94" i="24"/>
  <c r="V96" i="24"/>
  <c r="V101" i="24"/>
  <c r="V105" i="24"/>
  <c r="V110" i="24"/>
  <c r="V34" i="24"/>
  <c r="V39" i="24"/>
  <c r="V74" i="24"/>
  <c r="V86" i="24"/>
  <c r="V90" i="24"/>
  <c r="V45" i="24"/>
  <c r="V47" i="24"/>
  <c r="V57" i="24"/>
  <c r="V59" i="24"/>
  <c r="V61" i="24"/>
  <c r="V82" i="24"/>
  <c r="V91" i="24"/>
  <c r="V103" i="24"/>
  <c r="V65" i="24"/>
  <c r="V81" i="24"/>
  <c r="V35" i="24"/>
  <c r="V40" i="24"/>
  <c r="V42" i="24"/>
  <c r="V87" i="24"/>
  <c r="M104" i="3"/>
  <c r="M95" i="3"/>
  <c r="M76" i="3"/>
  <c r="M42" i="3"/>
  <c r="M71" i="3"/>
  <c r="M94" i="3"/>
  <c r="M102" i="3"/>
  <c r="M83" i="3"/>
  <c r="V39" i="28"/>
  <c r="V92" i="27"/>
  <c r="V40" i="25"/>
  <c r="V41" i="24"/>
  <c r="V42" i="26"/>
  <c r="V39" i="26"/>
  <c r="V40" i="27"/>
  <c r="V33" i="33"/>
  <c r="V34" i="28"/>
  <c r="I34" i="20"/>
  <c r="I41" i="20"/>
  <c r="I40" i="20"/>
  <c r="I39" i="20"/>
  <c r="I42" i="20"/>
  <c r="F71" i="20"/>
  <c r="I62" i="3"/>
  <c r="I59" i="20"/>
  <c r="F66" i="20"/>
  <c r="I47" i="3"/>
  <c r="I44" i="20"/>
  <c r="F37" i="20"/>
  <c r="F52" i="20" s="1"/>
  <c r="F117" i="28"/>
  <c r="V60" i="28"/>
  <c r="V44" i="33"/>
  <c r="F114" i="27"/>
  <c r="V105" i="27"/>
  <c r="V92" i="33"/>
  <c r="V56" i="27"/>
  <c r="V50" i="27"/>
  <c r="V43" i="27"/>
  <c r="F117" i="27"/>
  <c r="V36" i="24"/>
  <c r="V61" i="25"/>
  <c r="F114" i="25"/>
  <c r="V83" i="26"/>
  <c r="F114" i="26"/>
  <c r="F115" i="26" s="1"/>
  <c r="F118" i="20" s="1"/>
  <c r="F120" i="20" s="1"/>
  <c r="V50" i="26"/>
  <c r="V73" i="24"/>
  <c r="F114" i="24"/>
  <c r="V49" i="24"/>
  <c r="V68" i="24"/>
  <c r="V43" i="24"/>
  <c r="V99" i="33"/>
  <c r="V108" i="33"/>
  <c r="V111" i="33"/>
  <c r="V39" i="33"/>
  <c r="V113" i="31"/>
  <c r="V51" i="31"/>
  <c r="V33" i="28"/>
  <c r="U88" i="28"/>
  <c r="V69" i="28"/>
  <c r="V84" i="28"/>
  <c r="V40" i="28"/>
  <c r="V99" i="28"/>
  <c r="V112" i="28"/>
  <c r="U51" i="28"/>
  <c r="V66" i="27"/>
  <c r="V33" i="27"/>
  <c r="V71" i="27"/>
  <c r="V94" i="27"/>
  <c r="V99" i="27"/>
  <c r="V55" i="27"/>
  <c r="V68" i="27"/>
  <c r="V88" i="27"/>
  <c r="V35" i="26"/>
  <c r="V81" i="26"/>
  <c r="V99" i="26"/>
  <c r="V55" i="26"/>
  <c r="V73" i="26"/>
  <c r="V91" i="26"/>
  <c r="V33" i="25"/>
  <c r="V99" i="25"/>
  <c r="V88" i="25"/>
  <c r="V33" i="24"/>
  <c r="V108" i="24"/>
  <c r="V62" i="24"/>
  <c r="V99" i="24"/>
  <c r="F124" i="24" l="1"/>
  <c r="E25" i="39" s="1"/>
  <c r="F120" i="40"/>
  <c r="F52" i="33"/>
  <c r="F77" i="33" s="1"/>
  <c r="F115" i="40"/>
  <c r="F117" i="40" s="1"/>
  <c r="F55" i="3"/>
  <c r="O117" i="27"/>
  <c r="Q114" i="28"/>
  <c r="V71" i="28"/>
  <c r="R117" i="28"/>
  <c r="R120" i="28"/>
  <c r="T117" i="28"/>
  <c r="T120" i="28"/>
  <c r="O117" i="28"/>
  <c r="O120" i="28"/>
  <c r="K117" i="28"/>
  <c r="K120" i="28"/>
  <c r="J117" i="28"/>
  <c r="J120" i="28"/>
  <c r="G115" i="28"/>
  <c r="G120" i="28"/>
  <c r="G117" i="28"/>
  <c r="T117" i="25"/>
  <c r="J117" i="25"/>
  <c r="H117" i="25"/>
  <c r="G117" i="25"/>
  <c r="F117" i="25"/>
  <c r="F117" i="24"/>
  <c r="T117" i="27"/>
  <c r="U52" i="28"/>
  <c r="U77" i="28" s="1"/>
  <c r="S117" i="27"/>
  <c r="S117" i="25"/>
  <c r="S117" i="28"/>
  <c r="S120" i="28"/>
  <c r="S115" i="28"/>
  <c r="V113" i="24"/>
  <c r="R117" i="25"/>
  <c r="R115" i="28"/>
  <c r="P117" i="28"/>
  <c r="P120" i="28"/>
  <c r="P117" i="25"/>
  <c r="V76" i="28"/>
  <c r="P115" i="28"/>
  <c r="P115" i="26"/>
  <c r="P118" i="20" s="1"/>
  <c r="O117" i="25"/>
  <c r="O115" i="28"/>
  <c r="N115" i="25"/>
  <c r="N117" i="27"/>
  <c r="N115" i="28"/>
  <c r="N120" i="28"/>
  <c r="N117" i="28"/>
  <c r="N115" i="26"/>
  <c r="N118" i="20" s="1"/>
  <c r="N120" i="20" s="1"/>
  <c r="N117" i="25"/>
  <c r="L117" i="25"/>
  <c r="K117" i="27"/>
  <c r="L117" i="27"/>
  <c r="G115" i="27"/>
  <c r="L115" i="28"/>
  <c r="L117" i="28"/>
  <c r="K117" i="25"/>
  <c r="K115" i="27"/>
  <c r="K115" i="28"/>
  <c r="J117" i="27"/>
  <c r="J115" i="28"/>
  <c r="G117" i="27"/>
  <c r="O115" i="26"/>
  <c r="O118" i="20" s="1"/>
  <c r="O120" i="20" s="1"/>
  <c r="M114" i="26"/>
  <c r="V51" i="40"/>
  <c r="I52" i="40"/>
  <c r="H117" i="27"/>
  <c r="Q113" i="20"/>
  <c r="M113" i="20"/>
  <c r="H115" i="27"/>
  <c r="H115" i="26"/>
  <c r="H118" i="20" s="1"/>
  <c r="H115" i="28"/>
  <c r="H117" i="28"/>
  <c r="U52" i="26"/>
  <c r="U77" i="26" s="1"/>
  <c r="V97" i="26"/>
  <c r="L115" i="26"/>
  <c r="L118" i="20" s="1"/>
  <c r="L120" i="20" s="1"/>
  <c r="V37" i="26"/>
  <c r="J115" i="26"/>
  <c r="J118" i="20" s="1"/>
  <c r="J120" i="20" s="1"/>
  <c r="R115" i="26"/>
  <c r="R118" i="20" s="1"/>
  <c r="I114" i="28"/>
  <c r="V88" i="28"/>
  <c r="T115" i="28"/>
  <c r="S115" i="26"/>
  <c r="S118" i="20" s="1"/>
  <c r="S120" i="20" s="1"/>
  <c r="I64" i="3"/>
  <c r="F117" i="33"/>
  <c r="V88" i="26"/>
  <c r="G115" i="26"/>
  <c r="G118" i="20" s="1"/>
  <c r="U114" i="26"/>
  <c r="V37" i="28"/>
  <c r="V106" i="28"/>
  <c r="M114" i="28"/>
  <c r="I73" i="3"/>
  <c r="M116" i="3"/>
  <c r="Q116" i="3"/>
  <c r="O115" i="25"/>
  <c r="M38" i="3"/>
  <c r="K115" i="26"/>
  <c r="K118" i="20" s="1"/>
  <c r="V71" i="26"/>
  <c r="T115" i="26"/>
  <c r="T118" i="20" s="1"/>
  <c r="T120" i="20" s="1"/>
  <c r="V113" i="28"/>
  <c r="V66" i="28"/>
  <c r="V97" i="28"/>
  <c r="F115" i="28"/>
  <c r="F120" i="28"/>
  <c r="M78" i="3"/>
  <c r="N115" i="27"/>
  <c r="T115" i="27"/>
  <c r="J115" i="27"/>
  <c r="H54" i="3"/>
  <c r="Q87" i="3"/>
  <c r="Q95" i="3"/>
  <c r="Q62" i="3"/>
  <c r="I68" i="3"/>
  <c r="Q76" i="3"/>
  <c r="I72" i="3"/>
  <c r="I38" i="3"/>
  <c r="Q73" i="3"/>
  <c r="M58" i="3"/>
  <c r="Q94" i="3"/>
  <c r="Q46" i="3"/>
  <c r="M65" i="3"/>
  <c r="I77" i="3"/>
  <c r="I50" i="3"/>
  <c r="I60" i="3"/>
  <c r="I65" i="3"/>
  <c r="I58" i="3"/>
  <c r="Q61" i="3"/>
  <c r="Q42" i="3"/>
  <c r="I76" i="3"/>
  <c r="I78" i="3"/>
  <c r="S115" i="27"/>
  <c r="V49" i="33"/>
  <c r="S115" i="25"/>
  <c r="K115" i="25"/>
  <c r="T115" i="25"/>
  <c r="V36" i="33"/>
  <c r="I52" i="33"/>
  <c r="I77" i="33" s="1"/>
  <c r="I115" i="33" s="1"/>
  <c r="J115" i="25"/>
  <c r="V66" i="25"/>
  <c r="L115" i="27"/>
  <c r="P115" i="27"/>
  <c r="P117" i="27"/>
  <c r="R115" i="27"/>
  <c r="R117" i="27"/>
  <c r="V76" i="27"/>
  <c r="O115" i="27"/>
  <c r="L115" i="25"/>
  <c r="R115" i="25"/>
  <c r="H115" i="25"/>
  <c r="G117" i="24"/>
  <c r="G115" i="25"/>
  <c r="P115" i="25"/>
  <c r="V88" i="24"/>
  <c r="V76" i="24"/>
  <c r="V106" i="24"/>
  <c r="V37" i="24"/>
  <c r="V106" i="25"/>
  <c r="V71" i="33"/>
  <c r="V37" i="33"/>
  <c r="V76" i="33"/>
  <c r="V66" i="33"/>
  <c r="V88" i="33"/>
  <c r="V97" i="33"/>
  <c r="V51" i="33"/>
  <c r="V106" i="33"/>
  <c r="V106" i="27"/>
  <c r="V37" i="27"/>
  <c r="V71" i="25"/>
  <c r="V97" i="25"/>
  <c r="V66" i="24"/>
  <c r="V106" i="26"/>
  <c r="V113" i="33"/>
  <c r="Q114" i="26"/>
  <c r="V66" i="26"/>
  <c r="I114" i="26"/>
  <c r="V37" i="25"/>
  <c r="F115" i="24"/>
  <c r="V97" i="24"/>
  <c r="I52" i="3"/>
  <c r="I71" i="3"/>
  <c r="V97" i="27"/>
  <c r="F115" i="25"/>
  <c r="I37" i="3"/>
  <c r="I44" i="3"/>
  <c r="I43" i="3"/>
  <c r="I45" i="3"/>
  <c r="I61" i="3"/>
  <c r="I59" i="3"/>
  <c r="I53" i="3"/>
  <c r="F77" i="20"/>
  <c r="I46" i="3"/>
  <c r="F115" i="27"/>
  <c r="I39" i="3"/>
  <c r="V52" i="31"/>
  <c r="V114" i="31"/>
  <c r="U114" i="28"/>
  <c r="V51" i="28"/>
  <c r="V51" i="27"/>
  <c r="V52" i="27"/>
  <c r="V113" i="27"/>
  <c r="V51" i="26"/>
  <c r="V51" i="25"/>
  <c r="V113" i="25"/>
  <c r="V76" i="25"/>
  <c r="V51" i="24"/>
  <c r="H25" i="39" l="1"/>
  <c r="F124" i="33"/>
  <c r="F120" i="33"/>
  <c r="I123" i="51"/>
  <c r="V123" i="51" s="1"/>
  <c r="I124" i="24"/>
  <c r="V124" i="24" s="1"/>
  <c r="I117" i="28"/>
  <c r="I54" i="3"/>
  <c r="O124" i="20"/>
  <c r="J124" i="20"/>
  <c r="T124" i="20"/>
  <c r="L124" i="20"/>
  <c r="S124" i="20"/>
  <c r="N124" i="20"/>
  <c r="I123" i="24"/>
  <c r="V123" i="24" s="1"/>
  <c r="F80" i="3"/>
  <c r="T117" i="33"/>
  <c r="U117" i="25"/>
  <c r="Q115" i="28"/>
  <c r="O117" i="33"/>
  <c r="K117" i="33"/>
  <c r="M117" i="25"/>
  <c r="I124" i="40"/>
  <c r="V124" i="40" s="1"/>
  <c r="M117" i="28"/>
  <c r="J117" i="33"/>
  <c r="R120" i="20"/>
  <c r="K120" i="20"/>
  <c r="P120" i="20"/>
  <c r="S117" i="33"/>
  <c r="M117" i="27"/>
  <c r="G117" i="33"/>
  <c r="Q117" i="28"/>
  <c r="V52" i="28"/>
  <c r="U117" i="28"/>
  <c r="Q117" i="25"/>
  <c r="I117" i="24"/>
  <c r="U117" i="24"/>
  <c r="U115" i="28"/>
  <c r="U115" i="26"/>
  <c r="N117" i="33"/>
  <c r="L117" i="33"/>
  <c r="M117" i="24"/>
  <c r="M115" i="28"/>
  <c r="M115" i="26"/>
  <c r="U117" i="27"/>
  <c r="R117" i="33"/>
  <c r="Q117" i="27"/>
  <c r="P117" i="33"/>
  <c r="V52" i="40"/>
  <c r="I77" i="40"/>
  <c r="H117" i="33"/>
  <c r="H55" i="3"/>
  <c r="I115" i="28"/>
  <c r="I117" i="25"/>
  <c r="I115" i="26"/>
  <c r="I117" i="27"/>
  <c r="V77" i="26"/>
  <c r="V114" i="26"/>
  <c r="V52" i="26"/>
  <c r="V114" i="28"/>
  <c r="Q117" i="24"/>
  <c r="V52" i="25"/>
  <c r="V77" i="31"/>
  <c r="V118" i="31" s="1"/>
  <c r="V114" i="24"/>
  <c r="V52" i="33"/>
  <c r="V114" i="33"/>
  <c r="Q115" i="26"/>
  <c r="V114" i="27"/>
  <c r="V114" i="25"/>
  <c r="V52" i="24"/>
  <c r="T125" i="24" l="1"/>
  <c r="T125" i="51"/>
  <c r="T126" i="51" s="1"/>
  <c r="S125" i="24"/>
  <c r="S126" i="24" s="1"/>
  <c r="S125" i="51"/>
  <c r="S126" i="51" s="1"/>
  <c r="O125" i="24"/>
  <c r="O126" i="24" s="1"/>
  <c r="O125" i="51"/>
  <c r="O126" i="51" s="1"/>
  <c r="N125" i="24"/>
  <c r="N126" i="24" s="1"/>
  <c r="N125" i="51"/>
  <c r="L125" i="24"/>
  <c r="L126" i="24" s="1"/>
  <c r="L125" i="51"/>
  <c r="L126" i="51" s="1"/>
  <c r="J125" i="51"/>
  <c r="J125" i="24"/>
  <c r="J126" i="24" s="1"/>
  <c r="U25" i="39"/>
  <c r="D30" i="56"/>
  <c r="T125" i="41"/>
  <c r="T126" i="41" s="1"/>
  <c r="T125" i="40"/>
  <c r="O125" i="41"/>
  <c r="O126" i="41" s="1"/>
  <c r="O125" i="40"/>
  <c r="S125" i="41"/>
  <c r="S126" i="41" s="1"/>
  <c r="S125" i="40"/>
  <c r="L125" i="40"/>
  <c r="L125" i="41"/>
  <c r="L126" i="41" s="1"/>
  <c r="J125" i="41"/>
  <c r="J126" i="41" s="1"/>
  <c r="J125" i="40"/>
  <c r="N125" i="40"/>
  <c r="N125" i="41"/>
  <c r="N126" i="41" s="1"/>
  <c r="E18" i="39"/>
  <c r="F123" i="25"/>
  <c r="F124" i="25" s="1"/>
  <c r="E29" i="39" s="1"/>
  <c r="F129" i="51"/>
  <c r="F123" i="27"/>
  <c r="I123" i="27" s="1"/>
  <c r="V123" i="27" s="1"/>
  <c r="L125" i="33"/>
  <c r="L126" i="33" s="1"/>
  <c r="J125" i="33"/>
  <c r="J126" i="33" s="1"/>
  <c r="O125" i="33"/>
  <c r="O126" i="33" s="1"/>
  <c r="N125" i="33"/>
  <c r="N126" i="33" s="1"/>
  <c r="S125" i="33"/>
  <c r="S126" i="33" s="1"/>
  <c r="T125" i="33"/>
  <c r="T126" i="33" s="1"/>
  <c r="I124" i="33"/>
  <c r="V124" i="33" s="1"/>
  <c r="H26" i="39"/>
  <c r="T125" i="4"/>
  <c r="T126" i="4" s="1"/>
  <c r="T125" i="27"/>
  <c r="T126" i="27" s="1"/>
  <c r="T125" i="25"/>
  <c r="S125" i="25"/>
  <c r="S126" i="25" s="1"/>
  <c r="S125" i="27"/>
  <c r="S126" i="27" s="1"/>
  <c r="S125" i="4"/>
  <c r="S126" i="4" s="1"/>
  <c r="N125" i="4"/>
  <c r="N125" i="27"/>
  <c r="N126" i="27" s="1"/>
  <c r="N125" i="25"/>
  <c r="O125" i="25"/>
  <c r="O126" i="25" s="1"/>
  <c r="O125" i="27"/>
  <c r="O126" i="27" s="1"/>
  <c r="O125" i="4"/>
  <c r="O126" i="4" s="1"/>
  <c r="J125" i="25"/>
  <c r="J125" i="27"/>
  <c r="J125" i="4"/>
  <c r="L125" i="4"/>
  <c r="L126" i="4" s="1"/>
  <c r="L125" i="25"/>
  <c r="L126" i="25" s="1"/>
  <c r="L125" i="27"/>
  <c r="L126" i="27" s="1"/>
  <c r="T126" i="24"/>
  <c r="I124" i="51"/>
  <c r="V124" i="51" s="1"/>
  <c r="R124" i="20"/>
  <c r="P124" i="20"/>
  <c r="K124" i="20"/>
  <c r="V117" i="28"/>
  <c r="V117" i="25"/>
  <c r="H80" i="3"/>
  <c r="V117" i="27"/>
  <c r="V115" i="28"/>
  <c r="V117" i="24"/>
  <c r="V77" i="40"/>
  <c r="I115" i="40"/>
  <c r="V115" i="40" s="1"/>
  <c r="V77" i="28"/>
  <c r="V115" i="26"/>
  <c r="V77" i="33"/>
  <c r="V77" i="27"/>
  <c r="V77" i="25"/>
  <c r="V115" i="33"/>
  <c r="V115" i="27"/>
  <c r="V115" i="25"/>
  <c r="V77" i="24"/>
  <c r="V115" i="24"/>
  <c r="R125" i="41" l="1"/>
  <c r="R125" i="51"/>
  <c r="R125" i="24"/>
  <c r="P125" i="24"/>
  <c r="P125" i="51"/>
  <c r="K125" i="24"/>
  <c r="K125" i="51"/>
  <c r="U26" i="39"/>
  <c r="D31" i="56"/>
  <c r="H31" i="56" s="1"/>
  <c r="H30" i="56"/>
  <c r="K125" i="41"/>
  <c r="K126" i="41" s="1"/>
  <c r="K125" i="40"/>
  <c r="P125" i="40"/>
  <c r="P125" i="41"/>
  <c r="P126" i="41" s="1"/>
  <c r="E17" i="39"/>
  <c r="I123" i="25"/>
  <c r="V123" i="25" s="1"/>
  <c r="H3" i="39"/>
  <c r="F124" i="27"/>
  <c r="E27" i="39" s="1"/>
  <c r="F130" i="51"/>
  <c r="I129" i="51"/>
  <c r="V129" i="51" s="1"/>
  <c r="K125" i="33"/>
  <c r="K126" i="33" s="1"/>
  <c r="M126" i="33" s="1"/>
  <c r="P125" i="33"/>
  <c r="P126" i="33" s="1"/>
  <c r="Q126" i="33" s="1"/>
  <c r="R125" i="33"/>
  <c r="U125" i="33" s="1"/>
  <c r="R125" i="27"/>
  <c r="R125" i="25"/>
  <c r="R126" i="25" s="1"/>
  <c r="R125" i="4"/>
  <c r="T126" i="25"/>
  <c r="N126" i="25"/>
  <c r="P125" i="4"/>
  <c r="P126" i="4" s="1"/>
  <c r="P125" i="25"/>
  <c r="P126" i="25" s="1"/>
  <c r="P125" i="27"/>
  <c r="N126" i="4"/>
  <c r="J126" i="4"/>
  <c r="J126" i="27"/>
  <c r="J126" i="25"/>
  <c r="K125" i="4"/>
  <c r="K126" i="4" s="1"/>
  <c r="K125" i="25"/>
  <c r="K126" i="25" s="1"/>
  <c r="K125" i="27"/>
  <c r="K126" i="27" s="1"/>
  <c r="I124" i="25"/>
  <c r="V124" i="25" s="1"/>
  <c r="R125" i="40"/>
  <c r="R126" i="41"/>
  <c r="J126" i="51"/>
  <c r="N126" i="51"/>
  <c r="N126" i="40"/>
  <c r="L126" i="40"/>
  <c r="L127" i="40" s="1"/>
  <c r="T126" i="40"/>
  <c r="T127" i="4" s="1"/>
  <c r="J126" i="40"/>
  <c r="J127" i="33" s="1"/>
  <c r="S126" i="40"/>
  <c r="S127" i="41" s="1"/>
  <c r="O126" i="40"/>
  <c r="O127" i="40" s="1"/>
  <c r="J30" i="39"/>
  <c r="J35" i="39" s="1"/>
  <c r="J44" i="39" s="1"/>
  <c r="T113" i="4"/>
  <c r="Y74" i="3"/>
  <c r="Y69" i="3"/>
  <c r="Y54" i="3"/>
  <c r="Y40" i="3"/>
  <c r="J31" i="39" l="1"/>
  <c r="J40" i="39" s="1"/>
  <c r="J32" i="39"/>
  <c r="J41" i="39" s="1"/>
  <c r="J33" i="39"/>
  <c r="J42" i="39" s="1"/>
  <c r="J34" i="39"/>
  <c r="J36" i="39"/>
  <c r="J45" i="39" s="1"/>
  <c r="R126" i="33"/>
  <c r="U126" i="33" s="1"/>
  <c r="Q125" i="33"/>
  <c r="N127" i="4"/>
  <c r="U3" i="39"/>
  <c r="D6" i="56"/>
  <c r="I124" i="27"/>
  <c r="V124" i="27" s="1"/>
  <c r="M125" i="33"/>
  <c r="O127" i="51"/>
  <c r="O127" i="41"/>
  <c r="S127" i="25"/>
  <c r="S127" i="27"/>
  <c r="L127" i="33"/>
  <c r="O127" i="33"/>
  <c r="L127" i="25"/>
  <c r="L127" i="27"/>
  <c r="O127" i="4"/>
  <c r="O127" i="25"/>
  <c r="T127" i="24"/>
  <c r="S127" i="4"/>
  <c r="T127" i="25"/>
  <c r="T127" i="51"/>
  <c r="L127" i="24"/>
  <c r="T127" i="41"/>
  <c r="L127" i="51"/>
  <c r="J127" i="51"/>
  <c r="O127" i="24"/>
  <c r="L127" i="41"/>
  <c r="Q125" i="51"/>
  <c r="P126" i="51"/>
  <c r="Q126" i="51" s="1"/>
  <c r="M125" i="51"/>
  <c r="K126" i="51"/>
  <c r="M126" i="51" s="1"/>
  <c r="U125" i="24"/>
  <c r="R126" i="24"/>
  <c r="U126" i="24" s="1"/>
  <c r="Q125" i="24"/>
  <c r="P126" i="24"/>
  <c r="Q126" i="24" s="1"/>
  <c r="M125" i="24"/>
  <c r="K126" i="24"/>
  <c r="M126" i="24" s="1"/>
  <c r="M126" i="41"/>
  <c r="N127" i="40"/>
  <c r="N127" i="51"/>
  <c r="Q125" i="41"/>
  <c r="N127" i="25"/>
  <c r="S127" i="24"/>
  <c r="N127" i="33"/>
  <c r="N127" i="27"/>
  <c r="J127" i="40"/>
  <c r="U126" i="41"/>
  <c r="J127" i="25"/>
  <c r="S127" i="51"/>
  <c r="J127" i="24"/>
  <c r="O127" i="27"/>
  <c r="Q126" i="41"/>
  <c r="T127" i="40"/>
  <c r="T127" i="33"/>
  <c r="J127" i="27"/>
  <c r="J127" i="41"/>
  <c r="N127" i="24"/>
  <c r="S127" i="40"/>
  <c r="S127" i="33"/>
  <c r="J127" i="4"/>
  <c r="T127" i="27"/>
  <c r="L127" i="4"/>
  <c r="N127" i="41"/>
  <c r="H2" i="39"/>
  <c r="H17" i="39"/>
  <c r="H18" i="39"/>
  <c r="H4" i="39"/>
  <c r="D7" i="56" s="1"/>
  <c r="H7" i="56" s="1"/>
  <c r="E19" i="39"/>
  <c r="M125" i="25"/>
  <c r="U125" i="25"/>
  <c r="U125" i="4"/>
  <c r="R126" i="4"/>
  <c r="U126" i="25"/>
  <c r="R126" i="27"/>
  <c r="U125" i="27"/>
  <c r="Q126" i="25"/>
  <c r="Q126" i="4"/>
  <c r="Q125" i="25"/>
  <c r="Q125" i="4"/>
  <c r="Q125" i="27"/>
  <c r="P126" i="27"/>
  <c r="M125" i="27"/>
  <c r="M126" i="27"/>
  <c r="M126" i="4"/>
  <c r="M125" i="4"/>
  <c r="M126" i="25"/>
  <c r="R126" i="51"/>
  <c r="U125" i="51"/>
  <c r="M125" i="41"/>
  <c r="U125" i="41"/>
  <c r="U125" i="40"/>
  <c r="R126" i="40"/>
  <c r="P126" i="40"/>
  <c r="P127" i="40" s="1"/>
  <c r="K126" i="40"/>
  <c r="K127" i="40" s="1"/>
  <c r="M125" i="40"/>
  <c r="Q125" i="40"/>
  <c r="T115" i="33"/>
  <c r="T114" i="4"/>
  <c r="Y55" i="3"/>
  <c r="J37" i="39" l="1"/>
  <c r="J38" i="39" s="1"/>
  <c r="J43" i="39"/>
  <c r="J46" i="39" s="1"/>
  <c r="R127" i="41"/>
  <c r="U17" i="39"/>
  <c r="Q127" i="40"/>
  <c r="M127" i="40"/>
  <c r="U18" i="39"/>
  <c r="U2" i="39"/>
  <c r="D8" i="56"/>
  <c r="D22" i="56"/>
  <c r="H6" i="56"/>
  <c r="H27" i="39"/>
  <c r="E20" i="39"/>
  <c r="H20" i="39" s="1"/>
  <c r="P127" i="4"/>
  <c r="Q127" i="4" s="1"/>
  <c r="K127" i="25"/>
  <c r="M127" i="25" s="1"/>
  <c r="K127" i="41"/>
  <c r="M127" i="41" s="1"/>
  <c r="R127" i="40"/>
  <c r="U127" i="40" s="1"/>
  <c r="P127" i="51"/>
  <c r="Q127" i="51" s="1"/>
  <c r="P127" i="41"/>
  <c r="Q127" i="41" s="1"/>
  <c r="K127" i="27"/>
  <c r="M127" i="27" s="1"/>
  <c r="K127" i="24"/>
  <c r="M127" i="24" s="1"/>
  <c r="R127" i="27"/>
  <c r="U127" i="27" s="1"/>
  <c r="K127" i="4"/>
  <c r="M127" i="4" s="1"/>
  <c r="P127" i="25"/>
  <c r="Q127" i="25" s="1"/>
  <c r="P127" i="24"/>
  <c r="Q127" i="24" s="1"/>
  <c r="K127" i="33"/>
  <c r="M127" i="33" s="1"/>
  <c r="R127" i="33"/>
  <c r="U127" i="33" s="1"/>
  <c r="K127" i="51"/>
  <c r="M127" i="51" s="1"/>
  <c r="R127" i="25"/>
  <c r="U127" i="25" s="1"/>
  <c r="R127" i="51"/>
  <c r="U127" i="51" s="1"/>
  <c r="P127" i="27"/>
  <c r="Q127" i="27" s="1"/>
  <c r="R127" i="4"/>
  <c r="U127" i="4" s="1"/>
  <c r="R127" i="24"/>
  <c r="U127" i="24" s="1"/>
  <c r="P127" i="33"/>
  <c r="Q127" i="33" s="1"/>
  <c r="H7" i="39"/>
  <c r="E22" i="39"/>
  <c r="H22" i="39" s="1"/>
  <c r="U22" i="39" s="1"/>
  <c r="U4" i="39"/>
  <c r="H19" i="39"/>
  <c r="U19" i="39" s="1"/>
  <c r="Q126" i="40"/>
  <c r="U126" i="27"/>
  <c r="U126" i="4"/>
  <c r="Q126" i="27"/>
  <c r="U126" i="51"/>
  <c r="U127" i="41"/>
  <c r="U126" i="40"/>
  <c r="M126" i="40"/>
  <c r="Y80" i="3"/>
  <c r="T115" i="4"/>
  <c r="T117" i="4"/>
  <c r="J47" i="39" l="1"/>
  <c r="K122" i="3"/>
  <c r="U20" i="39"/>
  <c r="U27" i="39"/>
  <c r="D33" i="56"/>
  <c r="U7" i="39"/>
  <c r="D11" i="56"/>
  <c r="H11" i="56" s="1"/>
  <c r="H22" i="56"/>
  <c r="D21" i="56"/>
  <c r="H8" i="56"/>
  <c r="D25" i="56"/>
  <c r="H5" i="39"/>
  <c r="S30" i="39"/>
  <c r="T115" i="20"/>
  <c r="S36" i="39" l="1"/>
  <c r="S45" i="39" s="1"/>
  <c r="S35" i="39"/>
  <c r="S44" i="39" s="1"/>
  <c r="S32" i="39"/>
  <c r="S41" i="39" s="1"/>
  <c r="S31" i="39"/>
  <c r="S33" i="39"/>
  <c r="S42" i="39" s="1"/>
  <c r="S34" i="39"/>
  <c r="S43" i="39" s="1"/>
  <c r="H33" i="56"/>
  <c r="U5" i="39"/>
  <c r="D9" i="56"/>
  <c r="H21" i="56"/>
  <c r="H25" i="56"/>
  <c r="H24" i="56" s="1"/>
  <c r="D24" i="56"/>
  <c r="R115" i="33"/>
  <c r="R114" i="4"/>
  <c r="S40" i="39" l="1"/>
  <c r="S46" i="39" s="1"/>
  <c r="S37" i="39"/>
  <c r="S38" i="39" s="1"/>
  <c r="H9" i="56"/>
  <c r="R117" i="4"/>
  <c r="R115" i="4"/>
  <c r="T122" i="3" l="1"/>
  <c r="S47" i="39"/>
  <c r="Q30" i="39"/>
  <c r="L115" i="33"/>
  <c r="Q31" i="39" l="1"/>
  <c r="Q36" i="39"/>
  <c r="Q35" i="39"/>
  <c r="Q33" i="39"/>
  <c r="Q32" i="39"/>
  <c r="Q34" i="39"/>
  <c r="K115" i="33"/>
  <c r="K114" i="4"/>
  <c r="Q37" i="39" l="1"/>
  <c r="Q38" i="39" s="1"/>
  <c r="Q41" i="39"/>
  <c r="Q43" i="39"/>
  <c r="Q42" i="39"/>
  <c r="Q44" i="39"/>
  <c r="Q45" i="39"/>
  <c r="Q40" i="39"/>
  <c r="K117" i="4"/>
  <c r="K115" i="4"/>
  <c r="Q46" i="39" l="1"/>
  <c r="Q47" i="39" s="1"/>
  <c r="S113" i="4"/>
  <c r="L114" i="4"/>
  <c r="H106" i="4"/>
  <c r="H97" i="4"/>
  <c r="G106" i="4"/>
  <c r="G97" i="4"/>
  <c r="G88" i="4"/>
  <c r="G76" i="4"/>
  <c r="G66" i="4"/>
  <c r="G51" i="4"/>
  <c r="R122" i="3" l="1"/>
  <c r="N115" i="33"/>
  <c r="O115" i="33"/>
  <c r="P115" i="33"/>
  <c r="J115" i="33"/>
  <c r="H114" i="33"/>
  <c r="H121" i="33" s="1"/>
  <c r="S115" i="33"/>
  <c r="S114" i="4"/>
  <c r="P114" i="4"/>
  <c r="O114" i="4"/>
  <c r="N114" i="4"/>
  <c r="J114" i="4"/>
  <c r="H114" i="4"/>
  <c r="H122" i="4"/>
  <c r="G52" i="4"/>
  <c r="G114" i="4"/>
  <c r="H123" i="4" l="1"/>
  <c r="H124" i="4" s="1"/>
  <c r="G28" i="39" s="1"/>
  <c r="G30" i="39" s="1"/>
  <c r="S117" i="4"/>
  <c r="P117" i="4"/>
  <c r="O117" i="4"/>
  <c r="N117" i="4"/>
  <c r="J117" i="4"/>
  <c r="H115" i="33"/>
  <c r="H123" i="20"/>
  <c r="H117" i="4"/>
  <c r="G77" i="4"/>
  <c r="G122" i="4" s="1"/>
  <c r="G115" i="33"/>
  <c r="U117" i="33"/>
  <c r="L115" i="4"/>
  <c r="L117" i="4"/>
  <c r="S115" i="4"/>
  <c r="P115" i="4"/>
  <c r="O115" i="4"/>
  <c r="N115" i="4"/>
  <c r="J115" i="4"/>
  <c r="H115" i="4"/>
  <c r="G123" i="4" l="1"/>
  <c r="G124" i="4" s="1"/>
  <c r="F28" i="39" s="1"/>
  <c r="O30" i="39"/>
  <c r="R30" i="39"/>
  <c r="U117" i="4"/>
  <c r="U117" i="40"/>
  <c r="N30" i="39"/>
  <c r="M30" i="39"/>
  <c r="I30" i="39"/>
  <c r="Q117" i="40"/>
  <c r="Q117" i="4"/>
  <c r="M117" i="40"/>
  <c r="G115" i="4"/>
  <c r="G117" i="4"/>
  <c r="M117" i="4"/>
  <c r="Q117" i="33"/>
  <c r="M117" i="33"/>
  <c r="R36" i="39" l="1"/>
  <c r="R35" i="39"/>
  <c r="R33" i="39"/>
  <c r="R32" i="39"/>
  <c r="T32" i="39" s="1"/>
  <c r="R31" i="39"/>
  <c r="R34" i="39"/>
  <c r="O32" i="39"/>
  <c r="O41" i="39" s="1"/>
  <c r="O34" i="39"/>
  <c r="O43" i="39" s="1"/>
  <c r="O31" i="39"/>
  <c r="O40" i="39" s="1"/>
  <c r="O36" i="39"/>
  <c r="O45" i="39" s="1"/>
  <c r="O35" i="39"/>
  <c r="O44" i="39" s="1"/>
  <c r="O33" i="39"/>
  <c r="O42" i="39" s="1"/>
  <c r="N35" i="39"/>
  <c r="N44" i="39" s="1"/>
  <c r="N34" i="39"/>
  <c r="N43" i="39" s="1"/>
  <c r="N32" i="39"/>
  <c r="N41" i="39" s="1"/>
  <c r="N31" i="39"/>
  <c r="N36" i="39"/>
  <c r="N45" i="39" s="1"/>
  <c r="N33" i="39"/>
  <c r="N42" i="39" s="1"/>
  <c r="M33" i="39"/>
  <c r="M34" i="39"/>
  <c r="M32" i="39"/>
  <c r="M41" i="39" s="1"/>
  <c r="M31" i="39"/>
  <c r="M35" i="39"/>
  <c r="M36" i="39"/>
  <c r="I31" i="39"/>
  <c r="I32" i="39"/>
  <c r="I36" i="39"/>
  <c r="I33" i="39"/>
  <c r="I35" i="39"/>
  <c r="I34" i="39"/>
  <c r="F30" i="39"/>
  <c r="K30" i="39"/>
  <c r="R43" i="39" l="1"/>
  <c r="T43" i="39" s="1"/>
  <c r="T34" i="39"/>
  <c r="R37" i="39"/>
  <c r="R38" i="39" s="1"/>
  <c r="R40" i="39"/>
  <c r="T40" i="39" s="1"/>
  <c r="T31" i="39"/>
  <c r="R42" i="39"/>
  <c r="T42" i="39" s="1"/>
  <c r="T33" i="39"/>
  <c r="R44" i="39"/>
  <c r="T44" i="39" s="1"/>
  <c r="T35" i="39"/>
  <c r="R45" i="39"/>
  <c r="T45" i="39" s="1"/>
  <c r="T36" i="39"/>
  <c r="P32" i="39"/>
  <c r="P34" i="39"/>
  <c r="M43" i="39"/>
  <c r="P43" i="39" s="1"/>
  <c r="M37" i="39"/>
  <c r="M38" i="39" s="1"/>
  <c r="O37" i="39"/>
  <c r="O38" i="39" s="1"/>
  <c r="O46" i="39"/>
  <c r="P122" i="3" s="1"/>
  <c r="N40" i="39"/>
  <c r="N46" i="39" s="1"/>
  <c r="O122" i="3" s="1"/>
  <c r="N37" i="39"/>
  <c r="N38" i="39" s="1"/>
  <c r="P36" i="39"/>
  <c r="M45" i="39"/>
  <c r="P45" i="39" s="1"/>
  <c r="P35" i="39"/>
  <c r="M44" i="39"/>
  <c r="P44" i="39" s="1"/>
  <c r="P31" i="39"/>
  <c r="M40" i="39"/>
  <c r="P33" i="39"/>
  <c r="M42" i="39"/>
  <c r="P42" i="39" s="1"/>
  <c r="K31" i="39"/>
  <c r="K40" i="39" s="1"/>
  <c r="K36" i="39"/>
  <c r="K45" i="39" s="1"/>
  <c r="K32" i="39"/>
  <c r="L32" i="39" s="1"/>
  <c r="K33" i="39"/>
  <c r="K42" i="39" s="1"/>
  <c r="K35" i="39"/>
  <c r="K44" i="39" s="1"/>
  <c r="K34" i="39"/>
  <c r="K43" i="39" s="1"/>
  <c r="I43" i="39"/>
  <c r="I44" i="39"/>
  <c r="I42" i="39"/>
  <c r="I37" i="39"/>
  <c r="I38" i="39" s="1"/>
  <c r="I45" i="39"/>
  <c r="I41" i="39"/>
  <c r="I40" i="39"/>
  <c r="P41" i="39"/>
  <c r="R41" i="39"/>
  <c r="T41" i="39" s="1"/>
  <c r="L115" i="20"/>
  <c r="L31" i="39" l="1"/>
  <c r="F39" i="56"/>
  <c r="F46" i="56" s="1"/>
  <c r="F37" i="56"/>
  <c r="F44" i="56" s="1"/>
  <c r="T46" i="39"/>
  <c r="G37" i="56"/>
  <c r="T37" i="39"/>
  <c r="T38" i="39" s="1"/>
  <c r="G38" i="56"/>
  <c r="G45" i="56" s="1"/>
  <c r="G39" i="56"/>
  <c r="G46" i="56" s="1"/>
  <c r="L36" i="39"/>
  <c r="L45" i="39"/>
  <c r="N47" i="39"/>
  <c r="P40" i="39"/>
  <c r="L33" i="39"/>
  <c r="L42" i="39"/>
  <c r="L34" i="39"/>
  <c r="L43" i="39"/>
  <c r="O47" i="39"/>
  <c r="M46" i="39"/>
  <c r="F38" i="56"/>
  <c r="F45" i="56" s="1"/>
  <c r="P37" i="39"/>
  <c r="P38" i="39" s="1"/>
  <c r="L35" i="39"/>
  <c r="L44" i="39"/>
  <c r="E37" i="56"/>
  <c r="E38" i="56"/>
  <c r="E45" i="56" s="1"/>
  <c r="L40" i="39"/>
  <c r="I46" i="39"/>
  <c r="R46" i="39"/>
  <c r="K37" i="39"/>
  <c r="K38" i="39" s="1"/>
  <c r="K41" i="39"/>
  <c r="L41" i="39" s="1"/>
  <c r="T47" i="39" l="1"/>
  <c r="P46" i="39"/>
  <c r="P47" i="39" s="1"/>
  <c r="L37" i="39"/>
  <c r="L38" i="39" s="1"/>
  <c r="F47" i="56"/>
  <c r="E39" i="56"/>
  <c r="E46" i="56" s="1"/>
  <c r="G40" i="56"/>
  <c r="G41" i="56" s="1"/>
  <c r="G43" i="56" s="1"/>
  <c r="G44" i="56"/>
  <c r="G47" i="56" s="1"/>
  <c r="M47" i="39"/>
  <c r="N122" i="3"/>
  <c r="I47" i="39"/>
  <c r="J122" i="3"/>
  <c r="R47" i="39"/>
  <c r="S122" i="3"/>
  <c r="F40" i="56"/>
  <c r="F41" i="56" s="1"/>
  <c r="F43" i="56" s="1"/>
  <c r="E44" i="56"/>
  <c r="L46" i="39"/>
  <c r="K46" i="39"/>
  <c r="K115" i="20"/>
  <c r="E47" i="56" l="1"/>
  <c r="E40" i="56"/>
  <c r="E41" i="56" s="1"/>
  <c r="E43" i="56" s="1"/>
  <c r="L47" i="39"/>
  <c r="K47" i="39"/>
  <c r="L122" i="3"/>
  <c r="I76" i="20"/>
  <c r="I33" i="20"/>
  <c r="U112" i="20"/>
  <c r="U111" i="20"/>
  <c r="U110" i="20"/>
  <c r="U109" i="20"/>
  <c r="U108" i="20"/>
  <c r="U105" i="20"/>
  <c r="U104" i="20"/>
  <c r="U103" i="20"/>
  <c r="U102" i="20"/>
  <c r="U101" i="20"/>
  <c r="U100" i="20"/>
  <c r="U99" i="20"/>
  <c r="U96" i="20"/>
  <c r="U95" i="20"/>
  <c r="U94" i="20"/>
  <c r="U93" i="20"/>
  <c r="U92" i="20"/>
  <c r="U91" i="20"/>
  <c r="V89" i="20"/>
  <c r="U87" i="20"/>
  <c r="U86" i="20"/>
  <c r="U85" i="20"/>
  <c r="U84" i="20"/>
  <c r="U83" i="20"/>
  <c r="U82" i="20"/>
  <c r="U81" i="20"/>
  <c r="U80" i="20"/>
  <c r="U75" i="20"/>
  <c r="U74" i="20"/>
  <c r="U73" i="20"/>
  <c r="Q76" i="20"/>
  <c r="U70" i="20"/>
  <c r="U69" i="20"/>
  <c r="U68" i="20"/>
  <c r="Q71" i="20"/>
  <c r="U65" i="20"/>
  <c r="U64" i="20"/>
  <c r="U63" i="20"/>
  <c r="U62" i="20"/>
  <c r="U61" i="20"/>
  <c r="U60" i="20"/>
  <c r="U59" i="20"/>
  <c r="U58" i="20"/>
  <c r="U57" i="20"/>
  <c r="U56" i="20"/>
  <c r="U55" i="20"/>
  <c r="V53" i="20"/>
  <c r="U50" i="20"/>
  <c r="U49" i="20"/>
  <c r="U48" i="20"/>
  <c r="U47" i="20"/>
  <c r="U46" i="20"/>
  <c r="U45" i="20"/>
  <c r="U44" i="20"/>
  <c r="U43" i="20"/>
  <c r="U40" i="20"/>
  <c r="U39" i="20"/>
  <c r="U36" i="20"/>
  <c r="U35" i="20"/>
  <c r="U34" i="20"/>
  <c r="U33" i="20"/>
  <c r="Q33" i="20"/>
  <c r="M33" i="20"/>
  <c r="U113" i="20" l="1"/>
  <c r="U97" i="20"/>
  <c r="U88" i="20"/>
  <c r="U106" i="20"/>
  <c r="U76" i="20"/>
  <c r="U71" i="20"/>
  <c r="U66" i="20"/>
  <c r="U37" i="20"/>
  <c r="V61" i="20"/>
  <c r="V63" i="20"/>
  <c r="Q66" i="20"/>
  <c r="Q37" i="20"/>
  <c r="Q51" i="20"/>
  <c r="V69" i="20"/>
  <c r="V59" i="20"/>
  <c r="M37" i="20"/>
  <c r="V62" i="20"/>
  <c r="M76" i="20"/>
  <c r="V40" i="20"/>
  <c r="V64" i="20"/>
  <c r="V56" i="20"/>
  <c r="V50" i="20"/>
  <c r="V35" i="20"/>
  <c r="V46" i="20"/>
  <c r="V48" i="20"/>
  <c r="M66" i="20"/>
  <c r="V74" i="20"/>
  <c r="M71" i="20"/>
  <c r="M88" i="20"/>
  <c r="V60" i="20"/>
  <c r="M51" i="20"/>
  <c r="M97" i="20"/>
  <c r="V34" i="20"/>
  <c r="V43" i="20"/>
  <c r="V47" i="20"/>
  <c r="V55" i="20"/>
  <c r="V49" i="20"/>
  <c r="M106" i="20"/>
  <c r="V45" i="20"/>
  <c r="I71" i="20"/>
  <c r="V68" i="20"/>
  <c r="V57" i="20"/>
  <c r="V44" i="20"/>
  <c r="V65" i="20"/>
  <c r="V70" i="20"/>
  <c r="V75" i="20"/>
  <c r="I37" i="20"/>
  <c r="V58" i="20"/>
  <c r="V73" i="20"/>
  <c r="V36" i="20"/>
  <c r="I66" i="20"/>
  <c r="V39" i="20"/>
  <c r="Q88" i="20"/>
  <c r="Q97" i="20"/>
  <c r="V33" i="20"/>
  <c r="Q106" i="20"/>
  <c r="P115" i="20" l="1"/>
  <c r="N115" i="20"/>
  <c r="M52" i="20"/>
  <c r="M77" i="20" s="1"/>
  <c r="V76" i="20"/>
  <c r="U114" i="20"/>
  <c r="Q52" i="20"/>
  <c r="Q77" i="20" s="1"/>
  <c r="O115" i="20"/>
  <c r="V37" i="20"/>
  <c r="Q114" i="20"/>
  <c r="M114" i="20"/>
  <c r="V71" i="20"/>
  <c r="V66" i="20"/>
  <c r="Q115" i="20" l="1"/>
  <c r="M115" i="20"/>
  <c r="I111" i="4" l="1"/>
  <c r="V111" i="4" s="1"/>
  <c r="U114" i="3" l="1"/>
  <c r="Y117" i="3" l="1"/>
  <c r="F106" i="4" l="1"/>
  <c r="S115" i="20" l="1"/>
  <c r="U42" i="20"/>
  <c r="Y119" i="3" l="1"/>
  <c r="T120" i="3"/>
  <c r="R115" i="20"/>
  <c r="U41" i="20"/>
  <c r="U51" i="20" s="1"/>
  <c r="U52" i="20" s="1"/>
  <c r="U77" i="20" s="1"/>
  <c r="U115" i="20" s="1"/>
  <c r="V42" i="20"/>
  <c r="J115" i="20"/>
  <c r="V41" i="20" l="1"/>
  <c r="I51" i="20"/>
  <c r="AQ84" i="3"/>
  <c r="AQ37" i="3"/>
  <c r="V51" i="20" l="1"/>
  <c r="I52" i="20"/>
  <c r="AQ116" i="3"/>
  <c r="AQ109" i="3"/>
  <c r="AQ100" i="3"/>
  <c r="AQ91" i="3"/>
  <c r="AQ79" i="3"/>
  <c r="AQ74" i="3"/>
  <c r="AQ69" i="3"/>
  <c r="AQ54" i="3"/>
  <c r="AQ40" i="3"/>
  <c r="L120" i="3" l="1"/>
  <c r="O120" i="3"/>
  <c r="K120" i="3"/>
  <c r="V52" i="20"/>
  <c r="I77" i="20"/>
  <c r="AQ117" i="3"/>
  <c r="AQ55" i="3"/>
  <c r="AQ80" i="3" s="1"/>
  <c r="P120" i="3" l="1"/>
  <c r="N120" i="3"/>
  <c r="V77" i="20"/>
  <c r="AQ118" i="3"/>
  <c r="S120" i="3" l="1"/>
  <c r="R120" i="3"/>
  <c r="J120" i="3"/>
  <c r="AD120" i="3"/>
  <c r="AD122" i="3"/>
  <c r="AD113" i="3"/>
  <c r="AD66" i="3"/>
  <c r="AD111" i="3"/>
  <c r="AD108" i="3"/>
  <c r="AD95" i="3"/>
  <c r="AD67" i="3"/>
  <c r="AD45" i="3"/>
  <c r="AD85" i="3"/>
  <c r="AD52" i="3"/>
  <c r="AD68" i="3"/>
  <c r="AD63" i="3"/>
  <c r="AD61" i="3"/>
  <c r="AD59" i="3"/>
  <c r="AD62" i="3"/>
  <c r="AD60" i="3"/>
  <c r="AD44" i="3"/>
  <c r="AD43" i="3"/>
  <c r="AD42" i="3"/>
  <c r="AD46" i="3"/>
  <c r="AD39" i="3"/>
  <c r="AD38" i="3"/>
  <c r="AD76" i="3"/>
  <c r="AD89" i="3"/>
  <c r="AD84" i="3"/>
  <c r="AD78" i="3"/>
  <c r="AD104" i="3"/>
  <c r="AD103" i="3"/>
  <c r="AD94" i="3"/>
  <c r="AD49" i="3"/>
  <c r="AD105" i="3"/>
  <c r="AD87" i="3"/>
  <c r="AD86" i="3"/>
  <c r="AD112" i="3"/>
  <c r="AD97" i="3"/>
  <c r="AD88" i="3"/>
  <c r="AD71" i="3"/>
  <c r="AD48" i="3"/>
  <c r="AD53" i="3"/>
  <c r="AD47" i="3"/>
  <c r="AA84" i="3" l="1"/>
  <c r="AA91" i="3" s="1"/>
  <c r="AC115" i="3"/>
  <c r="AC72" i="3"/>
  <c r="AA116" i="3"/>
  <c r="AA109" i="3"/>
  <c r="AA100" i="3"/>
  <c r="AA79" i="3"/>
  <c r="AA74" i="3"/>
  <c r="AA69" i="3"/>
  <c r="AA54" i="3"/>
  <c r="AA40" i="3"/>
  <c r="AA117" i="3" l="1"/>
  <c r="AA55" i="3"/>
  <c r="AA80" i="3" s="1"/>
  <c r="AA118" i="3" l="1"/>
  <c r="AE115" i="3" l="1"/>
  <c r="AE72" i="3"/>
  <c r="AD124" i="3"/>
  <c r="AD36" i="3"/>
  <c r="AD40" i="3" s="1"/>
  <c r="AD74" i="3"/>
  <c r="AD109" i="3"/>
  <c r="AD100" i="3"/>
  <c r="AD79" i="3"/>
  <c r="AI116" i="3"/>
  <c r="AI109" i="3"/>
  <c r="AI100" i="3"/>
  <c r="AI84" i="3"/>
  <c r="AI91" i="3" s="1"/>
  <c r="AI79" i="3"/>
  <c r="AI74" i="3"/>
  <c r="AI69" i="3"/>
  <c r="AI54" i="3"/>
  <c r="AI40" i="3"/>
  <c r="AI117" i="3" l="1"/>
  <c r="AD116" i="3"/>
  <c r="AD91" i="3"/>
  <c r="AD69" i="3"/>
  <c r="AD54" i="3"/>
  <c r="AD55" i="3" s="1"/>
  <c r="AI55" i="3"/>
  <c r="AI80" i="3" s="1"/>
  <c r="AI118" i="3" s="1"/>
  <c r="AD117" i="3" l="1"/>
  <c r="AD80" i="3"/>
  <c r="AD118" i="3" l="1"/>
  <c r="AD125" i="3" l="1"/>
  <c r="I50" i="4" l="1"/>
  <c r="V50" i="4" s="1"/>
  <c r="AB53" i="3" l="1"/>
  <c r="AN53" i="3"/>
  <c r="AO53" i="3" s="1"/>
  <c r="U53" i="3"/>
  <c r="AC53" i="3" l="1"/>
  <c r="AE53" i="3"/>
  <c r="AJ53" i="3"/>
  <c r="AK53" i="3" s="1"/>
  <c r="V53" i="3"/>
  <c r="AG53" i="3" l="1"/>
  <c r="AR53" i="3"/>
  <c r="AS53" i="3" s="1"/>
  <c r="AN77" i="3"/>
  <c r="AO77" i="3" s="1"/>
  <c r="AN59" i="3"/>
  <c r="AN60" i="3" l="1"/>
  <c r="AN64" i="3"/>
  <c r="AN76" i="3"/>
  <c r="AO76" i="3" s="1"/>
  <c r="AN61" i="3"/>
  <c r="AN87" i="3"/>
  <c r="AO87" i="3" s="1"/>
  <c r="AB37" i="3"/>
  <c r="AJ37" i="3" s="1"/>
  <c r="AK37" i="3" s="1"/>
  <c r="AB84" i="3"/>
  <c r="AN86" i="3"/>
  <c r="AO86" i="3" s="1"/>
  <c r="AB38" i="3"/>
  <c r="AJ38" i="3" s="1"/>
  <c r="AK38" i="3" s="1"/>
  <c r="AB44" i="3"/>
  <c r="AB48" i="3"/>
  <c r="AJ48" i="3" s="1"/>
  <c r="AK48" i="3" s="1"/>
  <c r="AB52" i="3"/>
  <c r="AJ52" i="3" s="1"/>
  <c r="AK52" i="3" s="1"/>
  <c r="AB65" i="3"/>
  <c r="AJ65" i="3" s="1"/>
  <c r="AK65" i="3" s="1"/>
  <c r="AB71" i="3"/>
  <c r="AJ71" i="3" s="1"/>
  <c r="AK71" i="3" s="1"/>
  <c r="AB77" i="3"/>
  <c r="AJ77" i="3" s="1"/>
  <c r="AK77" i="3" s="1"/>
  <c r="AB85" i="3"/>
  <c r="AJ85" i="3" s="1"/>
  <c r="AK85" i="3" s="1"/>
  <c r="AB89" i="3"/>
  <c r="AJ89" i="3" s="1"/>
  <c r="AK89" i="3" s="1"/>
  <c r="AB96" i="3"/>
  <c r="AB99" i="3"/>
  <c r="AJ99" i="3" s="1"/>
  <c r="AK99" i="3" s="1"/>
  <c r="AB105" i="3"/>
  <c r="AJ105" i="3" s="1"/>
  <c r="AK105" i="3" s="1"/>
  <c r="AB111" i="3"/>
  <c r="AJ111" i="3" s="1"/>
  <c r="AK111" i="3" s="1"/>
  <c r="AB47" i="3"/>
  <c r="AJ47" i="3" s="1"/>
  <c r="AK47" i="3" s="1"/>
  <c r="AB51" i="3"/>
  <c r="AJ51" i="3" s="1"/>
  <c r="AK51" i="3" s="1"/>
  <c r="AB68" i="3"/>
  <c r="AJ68" i="3" s="1"/>
  <c r="AK68" i="3" s="1"/>
  <c r="AB88" i="3"/>
  <c r="AJ88" i="3" s="1"/>
  <c r="AK88" i="3" s="1"/>
  <c r="AB98" i="3"/>
  <c r="AJ98" i="3" s="1"/>
  <c r="AK98" i="3" s="1"/>
  <c r="AB104" i="3"/>
  <c r="AN66" i="3"/>
  <c r="AO66" i="3" s="1"/>
  <c r="AB39" i="3"/>
  <c r="AB45" i="3"/>
  <c r="AJ45" i="3" s="1"/>
  <c r="AK45" i="3" s="1"/>
  <c r="AB49" i="3"/>
  <c r="AB66" i="3"/>
  <c r="AB78" i="3"/>
  <c r="AB86" i="3"/>
  <c r="AJ86" i="3" s="1"/>
  <c r="AK86" i="3" s="1"/>
  <c r="AB90" i="3"/>
  <c r="AJ90" i="3" s="1"/>
  <c r="AK90" i="3" s="1"/>
  <c r="AB106" i="3"/>
  <c r="AJ106" i="3" s="1"/>
  <c r="AK106" i="3" s="1"/>
  <c r="AB112" i="3"/>
  <c r="AJ112" i="3" s="1"/>
  <c r="AK112" i="3" s="1"/>
  <c r="AB43" i="3"/>
  <c r="AB76" i="3"/>
  <c r="AJ76" i="3" s="1"/>
  <c r="AK76" i="3" s="1"/>
  <c r="AB95" i="3"/>
  <c r="AB108" i="3"/>
  <c r="AJ108" i="3" s="1"/>
  <c r="AK108" i="3" s="1"/>
  <c r="AB36" i="3"/>
  <c r="AJ36" i="3" s="1"/>
  <c r="AK36" i="3" s="1"/>
  <c r="AB42" i="3"/>
  <c r="AJ42" i="3" s="1"/>
  <c r="AK42" i="3" s="1"/>
  <c r="AB46" i="3"/>
  <c r="AJ46" i="3" s="1"/>
  <c r="AK46" i="3" s="1"/>
  <c r="AB50" i="3"/>
  <c r="AJ50" i="3" s="1"/>
  <c r="AK50" i="3" s="1"/>
  <c r="AB58" i="3"/>
  <c r="AJ58" i="3" s="1"/>
  <c r="AK58" i="3" s="1"/>
  <c r="AB67" i="3"/>
  <c r="AJ67" i="3" s="1"/>
  <c r="AK67" i="3" s="1"/>
  <c r="AB73" i="3"/>
  <c r="AJ73" i="3" s="1"/>
  <c r="AK73" i="3" s="1"/>
  <c r="AB83" i="3"/>
  <c r="AJ83" i="3" s="1"/>
  <c r="AK83" i="3" s="1"/>
  <c r="AB87" i="3"/>
  <c r="AJ87" i="3" s="1"/>
  <c r="AK87" i="3" s="1"/>
  <c r="AB94" i="3"/>
  <c r="AJ94" i="3" s="1"/>
  <c r="AK94" i="3" s="1"/>
  <c r="AB97" i="3"/>
  <c r="AJ97" i="3" s="1"/>
  <c r="AK97" i="3" s="1"/>
  <c r="AB103" i="3"/>
  <c r="AJ103" i="3" s="1"/>
  <c r="AK103" i="3" s="1"/>
  <c r="AB107" i="3"/>
  <c r="AJ107" i="3" s="1"/>
  <c r="AK107" i="3" s="1"/>
  <c r="AB113" i="3"/>
  <c r="AJ113" i="3" s="1"/>
  <c r="AK113" i="3" s="1"/>
  <c r="AN37" i="3"/>
  <c r="AO37" i="3" s="1"/>
  <c r="AN48" i="3"/>
  <c r="AO48" i="3" s="1"/>
  <c r="AN71" i="3"/>
  <c r="AN106" i="3"/>
  <c r="AO106" i="3" s="1"/>
  <c r="AN38" i="3"/>
  <c r="AO38" i="3" s="1"/>
  <c r="AN45" i="3"/>
  <c r="AO45" i="3" s="1"/>
  <c r="AN49" i="3"/>
  <c r="AO49" i="3" s="1"/>
  <c r="AN58" i="3"/>
  <c r="AN62" i="3"/>
  <c r="AJ72" i="3"/>
  <c r="AK72" i="3" s="1"/>
  <c r="AN72" i="3"/>
  <c r="AO72" i="3" s="1"/>
  <c r="AN83" i="3"/>
  <c r="AN94" i="3"/>
  <c r="AN97" i="3"/>
  <c r="AO97" i="3" s="1"/>
  <c r="AN103" i="3"/>
  <c r="AN107" i="3"/>
  <c r="AO107" i="3" s="1"/>
  <c r="AN113" i="3"/>
  <c r="AO113" i="3" s="1"/>
  <c r="AN43" i="3"/>
  <c r="AO43" i="3" s="1"/>
  <c r="AN52" i="3"/>
  <c r="AO52" i="3" s="1"/>
  <c r="AN65" i="3"/>
  <c r="AO65" i="3" s="1"/>
  <c r="AN78" i="3"/>
  <c r="AO78" i="3" s="1"/>
  <c r="AN90" i="3"/>
  <c r="AO90" i="3" s="1"/>
  <c r="AN112" i="3"/>
  <c r="AO112" i="3" s="1"/>
  <c r="AN39" i="3"/>
  <c r="AO39" i="3" s="1"/>
  <c r="AN46" i="3"/>
  <c r="AO46" i="3" s="1"/>
  <c r="AN50" i="3"/>
  <c r="AO50" i="3" s="1"/>
  <c r="AN63" i="3"/>
  <c r="AN67" i="3"/>
  <c r="AO67" i="3" s="1"/>
  <c r="AN73" i="3"/>
  <c r="AO73" i="3" s="1"/>
  <c r="AN84" i="3"/>
  <c r="AO84" i="3" s="1"/>
  <c r="AN88" i="3"/>
  <c r="AO88" i="3" s="1"/>
  <c r="AN95" i="3"/>
  <c r="AO95" i="3" s="1"/>
  <c r="AN98" i="3"/>
  <c r="AO98" i="3" s="1"/>
  <c r="AN104" i="3"/>
  <c r="AO104" i="3" s="1"/>
  <c r="AN108" i="3"/>
  <c r="AO108" i="3" s="1"/>
  <c r="AJ115" i="3"/>
  <c r="AK115" i="3" s="1"/>
  <c r="AN115" i="3"/>
  <c r="AO115" i="3" s="1"/>
  <c r="AN36" i="3"/>
  <c r="AN42" i="3"/>
  <c r="AN47" i="3"/>
  <c r="AO47" i="3" s="1"/>
  <c r="AN51" i="3"/>
  <c r="AO51" i="3" s="1"/>
  <c r="AN68" i="3"/>
  <c r="AO68" i="3" s="1"/>
  <c r="AN85" i="3"/>
  <c r="AO85" i="3" s="1"/>
  <c r="AN89" i="3"/>
  <c r="AO89" i="3" s="1"/>
  <c r="AN96" i="3"/>
  <c r="AO96" i="3" s="1"/>
  <c r="AN99" i="3"/>
  <c r="AO99" i="3" s="1"/>
  <c r="AN105" i="3"/>
  <c r="AO105" i="3" s="1"/>
  <c r="AN111" i="3"/>
  <c r="AC95" i="3" l="1"/>
  <c r="AE95" i="3"/>
  <c r="AC78" i="3"/>
  <c r="AE78" i="3"/>
  <c r="AC49" i="3"/>
  <c r="AE49" i="3"/>
  <c r="AC104" i="3"/>
  <c r="AE104" i="3"/>
  <c r="AC88" i="3"/>
  <c r="AE88" i="3"/>
  <c r="AC96" i="3"/>
  <c r="AE96" i="3"/>
  <c r="AC84" i="3"/>
  <c r="AE84" i="3"/>
  <c r="AJ96" i="3"/>
  <c r="AK96" i="3" s="1"/>
  <c r="AJ78" i="3"/>
  <c r="AK78" i="3" s="1"/>
  <c r="AK79" i="3" s="1"/>
  <c r="AC113" i="3"/>
  <c r="AE113" i="3"/>
  <c r="AC103" i="3"/>
  <c r="AE103" i="3"/>
  <c r="AB109" i="3"/>
  <c r="AC94" i="3"/>
  <c r="AE94" i="3"/>
  <c r="AB100" i="3"/>
  <c r="AC83" i="3"/>
  <c r="AE83" i="3"/>
  <c r="AB91" i="3"/>
  <c r="AC67" i="3"/>
  <c r="AE67" i="3"/>
  <c r="AC42" i="3"/>
  <c r="AE42" i="3"/>
  <c r="AB54" i="3"/>
  <c r="AC90" i="3"/>
  <c r="AE90" i="3"/>
  <c r="AC51" i="3"/>
  <c r="AE51" i="3"/>
  <c r="AC111" i="3"/>
  <c r="AE111" i="3"/>
  <c r="AB116" i="3"/>
  <c r="AC89" i="3"/>
  <c r="AE89" i="3"/>
  <c r="AC65" i="3"/>
  <c r="AE65" i="3"/>
  <c r="AC48" i="3"/>
  <c r="AE48" i="3"/>
  <c r="AC38" i="3"/>
  <c r="AE38" i="3"/>
  <c r="AC43" i="3"/>
  <c r="AE43" i="3"/>
  <c r="AO79" i="3"/>
  <c r="AJ104" i="3"/>
  <c r="AK104" i="3" s="1"/>
  <c r="AK109" i="3" s="1"/>
  <c r="AJ95" i="3"/>
  <c r="AK95" i="3" s="1"/>
  <c r="AJ84" i="3"/>
  <c r="AK84" i="3" s="1"/>
  <c r="AK91" i="3" s="1"/>
  <c r="AJ49" i="3"/>
  <c r="AK49" i="3" s="1"/>
  <c r="AC50" i="3"/>
  <c r="AE50" i="3"/>
  <c r="AC108" i="3"/>
  <c r="AE108" i="3"/>
  <c r="AC76" i="3"/>
  <c r="AE76" i="3"/>
  <c r="AB79" i="3"/>
  <c r="AC112" i="3"/>
  <c r="AE112" i="3"/>
  <c r="AC86" i="3"/>
  <c r="AE86" i="3"/>
  <c r="AC66" i="3"/>
  <c r="AE66" i="3"/>
  <c r="AC45" i="3"/>
  <c r="AE45" i="3"/>
  <c r="AC98" i="3"/>
  <c r="AE98" i="3"/>
  <c r="AC68" i="3"/>
  <c r="AE68" i="3"/>
  <c r="AC47" i="3"/>
  <c r="AE47" i="3"/>
  <c r="AC99" i="3"/>
  <c r="AE99" i="3"/>
  <c r="AC77" i="3"/>
  <c r="AE77" i="3"/>
  <c r="AE37" i="3"/>
  <c r="AC37" i="3"/>
  <c r="AC106" i="3"/>
  <c r="AE106" i="3"/>
  <c r="AC39" i="3"/>
  <c r="AE39" i="3"/>
  <c r="AN79" i="3"/>
  <c r="AJ39" i="3"/>
  <c r="AK39" i="3" s="1"/>
  <c r="AK40" i="3" s="1"/>
  <c r="AJ43" i="3"/>
  <c r="AK43" i="3" s="1"/>
  <c r="AC107" i="3"/>
  <c r="AE107" i="3"/>
  <c r="AC97" i="3"/>
  <c r="AE97" i="3"/>
  <c r="AC87" i="3"/>
  <c r="AE87" i="3"/>
  <c r="AC73" i="3"/>
  <c r="AE73" i="3"/>
  <c r="AB69" i="3"/>
  <c r="AC58" i="3"/>
  <c r="AE58" i="3"/>
  <c r="AC46" i="3"/>
  <c r="AE46" i="3"/>
  <c r="AC36" i="3"/>
  <c r="AE36" i="3"/>
  <c r="AB40" i="3"/>
  <c r="AJ66" i="3"/>
  <c r="AK66" i="3" s="1"/>
  <c r="AK69" i="3" s="1"/>
  <c r="AC105" i="3"/>
  <c r="AE105" i="3"/>
  <c r="AC85" i="3"/>
  <c r="AE85" i="3"/>
  <c r="AC71" i="3"/>
  <c r="AE71" i="3"/>
  <c r="AB74" i="3"/>
  <c r="AC52" i="3"/>
  <c r="AE52" i="3"/>
  <c r="AC44" i="3"/>
  <c r="AE44" i="3"/>
  <c r="AO94" i="3"/>
  <c r="AO100" i="3" s="1"/>
  <c r="AN100" i="3"/>
  <c r="AN69" i="3"/>
  <c r="AO58" i="3"/>
  <c r="AO69" i="3" s="1"/>
  <c r="AO42" i="3"/>
  <c r="AN74" i="3"/>
  <c r="AO71" i="3"/>
  <c r="AO74" i="3" s="1"/>
  <c r="AN40" i="3"/>
  <c r="AO36" i="3"/>
  <c r="AO40" i="3" s="1"/>
  <c r="AO111" i="3"/>
  <c r="AO116" i="3" s="1"/>
  <c r="AN116" i="3"/>
  <c r="AO103" i="3"/>
  <c r="AO109" i="3" s="1"/>
  <c r="AN109" i="3"/>
  <c r="AO83" i="3"/>
  <c r="AO91" i="3" s="1"/>
  <c r="AN91" i="3"/>
  <c r="AK74" i="3"/>
  <c r="AJ116" i="3"/>
  <c r="AK116" i="3"/>
  <c r="AJ74" i="3"/>
  <c r="AJ109" i="3" l="1"/>
  <c r="AJ91" i="3"/>
  <c r="AC74" i="3"/>
  <c r="AJ69" i="3"/>
  <c r="AK100" i="3"/>
  <c r="AK117" i="3" s="1"/>
  <c r="AB117" i="3"/>
  <c r="AE116" i="3"/>
  <c r="AJ79" i="3"/>
  <c r="AC109" i="3"/>
  <c r="AE40" i="3"/>
  <c r="AE69" i="3"/>
  <c r="AE79" i="3"/>
  <c r="AC54" i="3"/>
  <c r="AE91" i="3"/>
  <c r="AC100" i="3"/>
  <c r="AE100" i="3"/>
  <c r="AJ40" i="3"/>
  <c r="AC40" i="3"/>
  <c r="AC69" i="3"/>
  <c r="AC79" i="3"/>
  <c r="AC116" i="3"/>
  <c r="AC91" i="3"/>
  <c r="AE54" i="3"/>
  <c r="AJ100" i="3"/>
  <c r="AE74" i="3"/>
  <c r="AB55" i="3"/>
  <c r="AB80" i="3" s="1"/>
  <c r="AE109" i="3"/>
  <c r="AO117" i="3"/>
  <c r="AN117" i="3"/>
  <c r="AB118" i="3" l="1"/>
  <c r="AJ117" i="3"/>
  <c r="AE55" i="3"/>
  <c r="AE80" i="3" s="1"/>
  <c r="AE117" i="3"/>
  <c r="AC117" i="3"/>
  <c r="AC55" i="3"/>
  <c r="AC80" i="3" s="1"/>
  <c r="AE118" i="3" l="1"/>
  <c r="AC118" i="3"/>
  <c r="F51" i="4"/>
  <c r="F97" i="4" l="1"/>
  <c r="F88" i="4"/>
  <c r="F76" i="4"/>
  <c r="F66" i="4"/>
  <c r="F37" i="4"/>
  <c r="F114" i="33" l="1"/>
  <c r="F121" i="33" s="1"/>
  <c r="F114" i="4"/>
  <c r="F52" i="4"/>
  <c r="F123" i="20" l="1"/>
  <c r="F124" i="20" s="1"/>
  <c r="F115" i="33"/>
  <c r="F77" i="4"/>
  <c r="F122" i="4" s="1"/>
  <c r="F123" i="4" s="1"/>
  <c r="AJ44" i="3"/>
  <c r="AK44" i="3" s="1"/>
  <c r="AK54" i="3" s="1"/>
  <c r="AK55" i="3" s="1"/>
  <c r="AK80" i="3" s="1"/>
  <c r="AK118" i="3" s="1"/>
  <c r="AN44" i="3"/>
  <c r="F125" i="51" l="1"/>
  <c r="F125" i="24"/>
  <c r="F125" i="41"/>
  <c r="F125" i="40"/>
  <c r="F125" i="33"/>
  <c r="F125" i="25"/>
  <c r="F125" i="27"/>
  <c r="I122" i="4"/>
  <c r="V122" i="4" s="1"/>
  <c r="I123" i="4"/>
  <c r="V123" i="4" s="1"/>
  <c r="F117" i="4"/>
  <c r="F115" i="4"/>
  <c r="AJ54" i="3"/>
  <c r="AJ55" i="3" s="1"/>
  <c r="AJ80" i="3" s="1"/>
  <c r="AJ118" i="3" s="1"/>
  <c r="AO44" i="3"/>
  <c r="AO54" i="3" s="1"/>
  <c r="AO55" i="3" s="1"/>
  <c r="AO80" i="3" s="1"/>
  <c r="AO118" i="3" s="1"/>
  <c r="AN54" i="3"/>
  <c r="AN55" i="3" s="1"/>
  <c r="AN80" i="3" s="1"/>
  <c r="AN118" i="3" s="1"/>
  <c r="F126" i="41" l="1"/>
  <c r="F124" i="4"/>
  <c r="E28" i="39" s="1"/>
  <c r="F126" i="33"/>
  <c r="F126" i="24"/>
  <c r="I117" i="33"/>
  <c r="V117" i="33" s="1"/>
  <c r="I117" i="40"/>
  <c r="V117" i="40" s="1"/>
  <c r="I117" i="4"/>
  <c r="V117" i="4" s="1"/>
  <c r="I60" i="4"/>
  <c r="V60" i="4" s="1"/>
  <c r="F125" i="4" l="1"/>
  <c r="I124" i="4"/>
  <c r="V124" i="4" s="1"/>
  <c r="F126" i="27"/>
  <c r="F126" i="25"/>
  <c r="F126" i="51"/>
  <c r="F126" i="40"/>
  <c r="F127" i="40" s="1"/>
  <c r="U63" i="3"/>
  <c r="E8" i="39" l="1"/>
  <c r="F126" i="4"/>
  <c r="F127" i="4" s="1"/>
  <c r="F127" i="33"/>
  <c r="F127" i="27"/>
  <c r="F127" i="25"/>
  <c r="F127" i="41"/>
  <c r="F127" i="51"/>
  <c r="F127" i="24"/>
  <c r="E30" i="39"/>
  <c r="H28" i="39"/>
  <c r="H29" i="39"/>
  <c r="V63" i="3"/>
  <c r="E33" i="39" l="1"/>
  <c r="E31" i="39"/>
  <c r="D34" i="56"/>
  <c r="H34" i="56" s="1"/>
  <c r="U29" i="39"/>
  <c r="D35" i="56"/>
  <c r="H35" i="56" s="1"/>
  <c r="E32" i="39"/>
  <c r="E41" i="39" s="1"/>
  <c r="E34" i="39"/>
  <c r="E43" i="39" s="1"/>
  <c r="E36" i="39"/>
  <c r="E45" i="39" s="1"/>
  <c r="E35" i="39"/>
  <c r="E42" i="39"/>
  <c r="H6" i="39"/>
  <c r="H8" i="39" s="1"/>
  <c r="E21" i="39"/>
  <c r="H21" i="39" s="1"/>
  <c r="U28" i="39"/>
  <c r="H30" i="39"/>
  <c r="I105" i="4"/>
  <c r="V105" i="4" s="1"/>
  <c r="I49" i="4"/>
  <c r="V49" i="4" s="1"/>
  <c r="U30" i="39" l="1"/>
  <c r="H36" i="56"/>
  <c r="D36" i="56"/>
  <c r="E37" i="39"/>
  <c r="U6" i="39"/>
  <c r="U8" i="39" s="1"/>
  <c r="D10" i="56"/>
  <c r="D12" i="56" s="1"/>
  <c r="E40" i="39"/>
  <c r="E44" i="39"/>
  <c r="E23" i="39"/>
  <c r="U21" i="39"/>
  <c r="U23" i="39" s="1"/>
  <c r="H23" i="39"/>
  <c r="U38" i="3"/>
  <c r="U48" i="3"/>
  <c r="U51" i="3"/>
  <c r="U60" i="3"/>
  <c r="U65" i="3"/>
  <c r="U71" i="3"/>
  <c r="U77" i="3"/>
  <c r="U85" i="3"/>
  <c r="U89" i="3"/>
  <c r="U96" i="3"/>
  <c r="U99" i="3"/>
  <c r="U105" i="3"/>
  <c r="U111" i="3"/>
  <c r="M36" i="3"/>
  <c r="U37" i="3"/>
  <c r="U43" i="3"/>
  <c r="U47" i="3"/>
  <c r="U50" i="3"/>
  <c r="U59" i="3"/>
  <c r="U64" i="3"/>
  <c r="U68" i="3"/>
  <c r="U76" i="3"/>
  <c r="U84" i="3"/>
  <c r="U88" i="3"/>
  <c r="U95" i="3"/>
  <c r="U98" i="3"/>
  <c r="U104" i="3"/>
  <c r="U108" i="3"/>
  <c r="U115" i="3"/>
  <c r="Q36" i="3"/>
  <c r="U42" i="3"/>
  <c r="U46" i="3"/>
  <c r="U58" i="3"/>
  <c r="U62" i="3"/>
  <c r="U67" i="3"/>
  <c r="U73" i="3"/>
  <c r="U83" i="3"/>
  <c r="U87" i="3"/>
  <c r="U94" i="3"/>
  <c r="U97" i="3"/>
  <c r="U103" i="3"/>
  <c r="U107" i="3"/>
  <c r="U113" i="3"/>
  <c r="U36" i="3"/>
  <c r="U39" i="3"/>
  <c r="U49" i="3"/>
  <c r="U52" i="3"/>
  <c r="U61" i="3"/>
  <c r="U66" i="3"/>
  <c r="U72" i="3"/>
  <c r="V72" i="3" s="1"/>
  <c r="U78" i="3"/>
  <c r="U86" i="3"/>
  <c r="U90" i="3"/>
  <c r="U102" i="3"/>
  <c r="U106" i="3"/>
  <c r="U112" i="3"/>
  <c r="H10" i="56" l="1"/>
  <c r="H12" i="56" s="1"/>
  <c r="D28" i="56"/>
  <c r="AR72" i="3"/>
  <c r="AS72" i="3" s="1"/>
  <c r="AG72" i="3"/>
  <c r="U116" i="3"/>
  <c r="M109" i="3"/>
  <c r="U109" i="3"/>
  <c r="V52" i="3"/>
  <c r="Q109" i="3"/>
  <c r="Q74" i="3"/>
  <c r="U79" i="3"/>
  <c r="M100" i="3"/>
  <c r="U74" i="3"/>
  <c r="U40" i="3"/>
  <c r="M74" i="3"/>
  <c r="Q40" i="3"/>
  <c r="M79" i="3"/>
  <c r="M69" i="3"/>
  <c r="M91" i="3"/>
  <c r="U100" i="3"/>
  <c r="U69" i="3"/>
  <c r="U91" i="3"/>
  <c r="M40" i="3"/>
  <c r="Q100" i="3"/>
  <c r="Q91" i="3"/>
  <c r="Q69" i="3"/>
  <c r="Q79" i="3"/>
  <c r="H28" i="56" l="1"/>
  <c r="D27" i="56"/>
  <c r="D29" i="56"/>
  <c r="AG52" i="3"/>
  <c r="AR52" i="3"/>
  <c r="AS52" i="3" s="1"/>
  <c r="U117" i="3"/>
  <c r="M117" i="3"/>
  <c r="Q117" i="3"/>
  <c r="H27" i="56" l="1"/>
  <c r="H29" i="56"/>
  <c r="U45" i="3"/>
  <c r="M54" i="3" l="1"/>
  <c r="Q54" i="3"/>
  <c r="U44" i="3"/>
  <c r="U54" i="3" s="1"/>
  <c r="M55" i="3" l="1"/>
  <c r="M80" i="3" s="1"/>
  <c r="M118" i="3" s="1"/>
  <c r="U55" i="3"/>
  <c r="U80" i="3" s="1"/>
  <c r="U118" i="3" s="1"/>
  <c r="Q55" i="3"/>
  <c r="Q80" i="3" s="1"/>
  <c r="Q118" i="3" s="1"/>
  <c r="U120" i="3" l="1"/>
  <c r="U121" i="3"/>
  <c r="Q120" i="3"/>
  <c r="Q121" i="3"/>
  <c r="M120" i="3"/>
  <c r="M121" i="3"/>
  <c r="I90" i="4"/>
  <c r="V90" i="4" s="1"/>
  <c r="V92" i="3" l="1"/>
  <c r="V56" i="3"/>
  <c r="V64" i="3"/>
  <c r="I84" i="4"/>
  <c r="V84" i="4" s="1"/>
  <c r="I83" i="4"/>
  <c r="V83" i="4" s="1"/>
  <c r="I42" i="4"/>
  <c r="V42" i="4" s="1"/>
  <c r="I33" i="4"/>
  <c r="I34" i="4"/>
  <c r="V34" i="4" s="1"/>
  <c r="I35" i="4"/>
  <c r="V35" i="4" s="1"/>
  <c r="I36" i="4"/>
  <c r="V36" i="4" s="1"/>
  <c r="I39" i="4"/>
  <c r="I40" i="4"/>
  <c r="V40" i="4" s="1"/>
  <c r="I41" i="4"/>
  <c r="V41" i="4" s="1"/>
  <c r="I43" i="4"/>
  <c r="V43" i="4" s="1"/>
  <c r="I44" i="4"/>
  <c r="V44" i="4" s="1"/>
  <c r="I45" i="4"/>
  <c r="V45" i="4" s="1"/>
  <c r="I46" i="4"/>
  <c r="V46" i="4" s="1"/>
  <c r="I47" i="4"/>
  <c r="V47" i="4" s="1"/>
  <c r="I48" i="4"/>
  <c r="V48" i="4" s="1"/>
  <c r="I55" i="4"/>
  <c r="I56" i="4"/>
  <c r="V56" i="4" s="1"/>
  <c r="I57" i="4"/>
  <c r="V57" i="4" s="1"/>
  <c r="I58" i="4"/>
  <c r="V58" i="4" s="1"/>
  <c r="I59" i="4"/>
  <c r="V59" i="4" s="1"/>
  <c r="I61" i="4"/>
  <c r="V61" i="4" s="1"/>
  <c r="I62" i="4"/>
  <c r="V62" i="4" s="1"/>
  <c r="I63" i="4"/>
  <c r="V63" i="4" s="1"/>
  <c r="I64" i="4"/>
  <c r="V64" i="4" s="1"/>
  <c r="I65" i="4"/>
  <c r="V65" i="4" s="1"/>
  <c r="I68" i="4"/>
  <c r="I69" i="4"/>
  <c r="V69" i="4" s="1"/>
  <c r="I70" i="4"/>
  <c r="V70" i="4" s="1"/>
  <c r="I73" i="4"/>
  <c r="I74" i="4"/>
  <c r="V74" i="4" s="1"/>
  <c r="I75" i="4"/>
  <c r="V75" i="4" s="1"/>
  <c r="I80" i="4"/>
  <c r="V80" i="4" s="1"/>
  <c r="I81" i="4"/>
  <c r="I82" i="4"/>
  <c r="V82" i="4" s="1"/>
  <c r="I85" i="4"/>
  <c r="V85" i="4" s="1"/>
  <c r="I86" i="4"/>
  <c r="V86" i="4" s="1"/>
  <c r="I87" i="4"/>
  <c r="V87" i="4" s="1"/>
  <c r="I100" i="4"/>
  <c r="V100" i="4" s="1"/>
  <c r="I101" i="4"/>
  <c r="V101" i="4" s="1"/>
  <c r="I102" i="4"/>
  <c r="V102" i="4" s="1"/>
  <c r="I103" i="4"/>
  <c r="V103" i="4" s="1"/>
  <c r="I104" i="4"/>
  <c r="V104" i="4" s="1"/>
  <c r="I108" i="4"/>
  <c r="V108" i="4" s="1"/>
  <c r="I109" i="4"/>
  <c r="I110" i="4"/>
  <c r="V110" i="4" s="1"/>
  <c r="I112" i="4"/>
  <c r="V112" i="4" s="1"/>
  <c r="V109" i="4" l="1"/>
  <c r="I113" i="4"/>
  <c r="I37" i="4"/>
  <c r="V37" i="4" s="1"/>
  <c r="V33" i="4"/>
  <c r="V81" i="4"/>
  <c r="I66" i="4"/>
  <c r="V66" i="4" s="1"/>
  <c r="V55" i="4"/>
  <c r="I51" i="4"/>
  <c r="V39" i="4"/>
  <c r="I71" i="4"/>
  <c r="V71" i="4" s="1"/>
  <c r="V68" i="4"/>
  <c r="V73" i="4"/>
  <c r="I76" i="4"/>
  <c r="I106" i="4"/>
  <c r="V106" i="4" s="1"/>
  <c r="V77" i="3"/>
  <c r="V113" i="4"/>
  <c r="V65" i="3"/>
  <c r="V61" i="3"/>
  <c r="V59" i="3"/>
  <c r="V43" i="3"/>
  <c r="V46" i="3"/>
  <c r="V48" i="3"/>
  <c r="V51" i="3"/>
  <c r="I79" i="3"/>
  <c r="V37" i="3"/>
  <c r="V38" i="3"/>
  <c r="V39" i="3"/>
  <c r="V60" i="3"/>
  <c r="V62" i="3"/>
  <c r="V66" i="3"/>
  <c r="V67" i="3"/>
  <c r="V78" i="3"/>
  <c r="V49" i="3"/>
  <c r="V50" i="3"/>
  <c r="V73" i="3"/>
  <c r="I88" i="4"/>
  <c r="I89" i="4" s="1"/>
  <c r="V89" i="4" s="1"/>
  <c r="V51" i="4" l="1"/>
  <c r="I52" i="4"/>
  <c r="V52" i="4" s="1"/>
  <c r="V76" i="4"/>
  <c r="V88" i="4"/>
  <c r="I114" i="4"/>
  <c r="AG67" i="3"/>
  <c r="AR67" i="3"/>
  <c r="AS67" i="3" s="1"/>
  <c r="AG51" i="3"/>
  <c r="AR51" i="3"/>
  <c r="AS51" i="3" s="1"/>
  <c r="AG66" i="3"/>
  <c r="AR66" i="3"/>
  <c r="AS66" i="3" s="1"/>
  <c r="AG38" i="3"/>
  <c r="AR38" i="3"/>
  <c r="AS38" i="3" s="1"/>
  <c r="AG48" i="3"/>
  <c r="AR48" i="3"/>
  <c r="AS48" i="3" s="1"/>
  <c r="AG65" i="3"/>
  <c r="AR65" i="3"/>
  <c r="AS65" i="3" s="1"/>
  <c r="AG46" i="3"/>
  <c r="AR46" i="3"/>
  <c r="AS46" i="3" s="1"/>
  <c r="AG50" i="3"/>
  <c r="AR50" i="3"/>
  <c r="AS50" i="3" s="1"/>
  <c r="AG39" i="3"/>
  <c r="AR39" i="3"/>
  <c r="AS39" i="3" s="1"/>
  <c r="AG43" i="3"/>
  <c r="AR43" i="3"/>
  <c r="AS43" i="3" s="1"/>
  <c r="AG49" i="3"/>
  <c r="AR49" i="3"/>
  <c r="AS49" i="3" s="1"/>
  <c r="AG37" i="3"/>
  <c r="AR37" i="3"/>
  <c r="AS37" i="3" s="1"/>
  <c r="AG73" i="3"/>
  <c r="AR73" i="3"/>
  <c r="AS73" i="3" s="1"/>
  <c r="AG78" i="3"/>
  <c r="AR78" i="3"/>
  <c r="AS78" i="3" s="1"/>
  <c r="AG77" i="3"/>
  <c r="AR77" i="3"/>
  <c r="AS77" i="3" s="1"/>
  <c r="V68" i="3"/>
  <c r="V45" i="3"/>
  <c r="V47" i="3"/>
  <c r="V44" i="3"/>
  <c r="I36" i="3"/>
  <c r="V36" i="3" s="1"/>
  <c r="I77" i="4" l="1"/>
  <c r="V77" i="4" s="1"/>
  <c r="V114" i="4"/>
  <c r="AG36" i="3"/>
  <c r="AR36" i="3"/>
  <c r="AG47" i="3"/>
  <c r="AR47" i="3"/>
  <c r="AS47" i="3" s="1"/>
  <c r="AG44" i="3"/>
  <c r="AR44" i="3"/>
  <c r="AS44" i="3" s="1"/>
  <c r="AG45" i="3"/>
  <c r="AR45" i="3"/>
  <c r="AS45" i="3" s="1"/>
  <c r="AG68" i="3"/>
  <c r="AR68" i="3"/>
  <c r="AS68" i="3" s="1"/>
  <c r="I40" i="3"/>
  <c r="I74" i="3"/>
  <c r="V71" i="3"/>
  <c r="V42" i="3"/>
  <c r="V58" i="3"/>
  <c r="I69" i="3"/>
  <c r="V69" i="3" s="1"/>
  <c r="AG69" i="3" s="1"/>
  <c r="V79" i="3"/>
  <c r="AG79" i="3" s="1"/>
  <c r="V76" i="3"/>
  <c r="V40" i="3" l="1"/>
  <c r="AG40" i="3" s="1"/>
  <c r="I55" i="3"/>
  <c r="V55" i="3" s="1"/>
  <c r="AG55" i="3" s="1"/>
  <c r="V74" i="3"/>
  <c r="AG74" i="3" s="1"/>
  <c r="I115" i="4"/>
  <c r="V115" i="4" s="1"/>
  <c r="AG58" i="3"/>
  <c r="AR58" i="3"/>
  <c r="AR40" i="3"/>
  <c r="AS36" i="3"/>
  <c r="AS40" i="3" s="1"/>
  <c r="AG42" i="3"/>
  <c r="AR42" i="3"/>
  <c r="AG76" i="3"/>
  <c r="AR76" i="3"/>
  <c r="AG71" i="3"/>
  <c r="AR71" i="3"/>
  <c r="V54" i="3"/>
  <c r="AG54" i="3" s="1"/>
  <c r="I80" i="3" l="1"/>
  <c r="AS58" i="3"/>
  <c r="AS69" i="3" s="1"/>
  <c r="AR69" i="3"/>
  <c r="AR74" i="3"/>
  <c r="AS71" i="3"/>
  <c r="AS74" i="3" s="1"/>
  <c r="AS42" i="3"/>
  <c r="AS54" i="3" s="1"/>
  <c r="AS55" i="3" s="1"/>
  <c r="AR54" i="3"/>
  <c r="AR55" i="3" s="1"/>
  <c r="AR79" i="3"/>
  <c r="AS76" i="3"/>
  <c r="AS79" i="3" s="1"/>
  <c r="V80" i="3" l="1"/>
  <c r="AG80" i="3" s="1"/>
  <c r="AR80" i="3"/>
  <c r="AS80" i="3"/>
  <c r="Y86" i="3"/>
  <c r="Y85" i="3"/>
  <c r="I84" i="20"/>
  <c r="V84" i="20" s="1"/>
  <c r="Y84" i="3"/>
  <c r="Y90" i="3"/>
  <c r="I80" i="20" l="1"/>
  <c r="V80" i="20" s="1"/>
  <c r="I90" i="3"/>
  <c r="V90" i="3" s="1"/>
  <c r="AG90" i="3" s="1"/>
  <c r="I85" i="3"/>
  <c r="V85" i="3" s="1"/>
  <c r="AG85" i="3" s="1"/>
  <c r="I86" i="20"/>
  <c r="V86" i="20" s="1"/>
  <c r="Y83" i="3"/>
  <c r="I82" i="20"/>
  <c r="V82" i="20" s="1"/>
  <c r="I87" i="20"/>
  <c r="V87" i="20" s="1"/>
  <c r="I86" i="3"/>
  <c r="V86" i="3" s="1"/>
  <c r="AG86" i="3" s="1"/>
  <c r="I84" i="3"/>
  <c r="V84" i="3" s="1"/>
  <c r="AR84" i="3" s="1"/>
  <c r="AS84" i="3" s="1"/>
  <c r="I83" i="20"/>
  <c r="V83" i="20" s="1"/>
  <c r="I81" i="20"/>
  <c r="I85" i="20"/>
  <c r="V85" i="20" s="1"/>
  <c r="F88" i="20"/>
  <c r="H91" i="3"/>
  <c r="AR90" i="3" l="1"/>
  <c r="AS90" i="3" s="1"/>
  <c r="I87" i="3"/>
  <c r="V87" i="3" s="1"/>
  <c r="AR87" i="3" s="1"/>
  <c r="AS87" i="3" s="1"/>
  <c r="Y87" i="3"/>
  <c r="I89" i="3"/>
  <c r="V89" i="3" s="1"/>
  <c r="AG89" i="3" s="1"/>
  <c r="Y89" i="3"/>
  <c r="I88" i="3"/>
  <c r="V88" i="3" s="1"/>
  <c r="AG88" i="3" s="1"/>
  <c r="Y88" i="3"/>
  <c r="AR85" i="3"/>
  <c r="AS85" i="3" s="1"/>
  <c r="AR86" i="3"/>
  <c r="AS86" i="3" s="1"/>
  <c r="AG84" i="3"/>
  <c r="I83" i="3"/>
  <c r="V81" i="20"/>
  <c r="I88" i="20"/>
  <c r="V88" i="20" s="1"/>
  <c r="Y91" i="3"/>
  <c r="AR88" i="3" l="1"/>
  <c r="AS88" i="3" s="1"/>
  <c r="AG87" i="3"/>
  <c r="AR89" i="3"/>
  <c r="AS89" i="3" s="1"/>
  <c r="I91" i="3"/>
  <c r="V91" i="3" s="1"/>
  <c r="AG91" i="3" s="1"/>
  <c r="V83" i="3"/>
  <c r="AG83" i="3" l="1"/>
  <c r="AR83" i="3"/>
  <c r="AR91" i="3" l="1"/>
  <c r="AS83" i="3"/>
  <c r="AS91" i="3" s="1"/>
  <c r="Y94" i="3"/>
  <c r="Y99" i="3"/>
  <c r="Y96" i="3"/>
  <c r="Y95" i="3" l="1"/>
  <c r="I96" i="20"/>
  <c r="V96" i="20" s="1"/>
  <c r="I95" i="20"/>
  <c r="V95" i="20" s="1"/>
  <c r="Y98" i="3"/>
  <c r="I93" i="20"/>
  <c r="V93" i="20" s="1"/>
  <c r="G100" i="3"/>
  <c r="I96" i="3"/>
  <c r="V96" i="3" s="1"/>
  <c r="I94" i="20"/>
  <c r="V94" i="20" s="1"/>
  <c r="I94" i="3"/>
  <c r="I99" i="3"/>
  <c r="V99" i="3" s="1"/>
  <c r="I91" i="20"/>
  <c r="F97" i="20"/>
  <c r="I92" i="20"/>
  <c r="V92" i="20" s="1"/>
  <c r="I95" i="3" l="1"/>
  <c r="V95" i="3" s="1"/>
  <c r="AR95" i="3" s="1"/>
  <c r="AS95" i="3" s="1"/>
  <c r="I98" i="3"/>
  <c r="V98" i="3" s="1"/>
  <c r="AR98" i="3" s="1"/>
  <c r="AS98" i="3" s="1"/>
  <c r="I97" i="3"/>
  <c r="V97" i="3" s="1"/>
  <c r="AG97" i="3" s="1"/>
  <c r="Y97" i="3"/>
  <c r="H100" i="3"/>
  <c r="V94" i="3"/>
  <c r="F100" i="3"/>
  <c r="Y100" i="3" s="1"/>
  <c r="AR96" i="3"/>
  <c r="AS96" i="3" s="1"/>
  <c r="AG96" i="3"/>
  <c r="AR99" i="3"/>
  <c r="AS99" i="3" s="1"/>
  <c r="AG99" i="3"/>
  <c r="I97" i="20"/>
  <c r="V97" i="20" s="1"/>
  <c r="V91" i="20"/>
  <c r="AG95" i="3" l="1"/>
  <c r="I100" i="3"/>
  <c r="V100" i="3" s="1"/>
  <c r="AG100" i="3" s="1"/>
  <c r="AR97" i="3"/>
  <c r="AS97" i="3" s="1"/>
  <c r="AG98" i="3"/>
  <c r="AR94" i="3"/>
  <c r="AG94" i="3"/>
  <c r="AS94" i="3" l="1"/>
  <c r="AS100" i="3" s="1"/>
  <c r="AR100" i="3"/>
  <c r="Y103" i="3"/>
  <c r="I102" i="20"/>
  <c r="V102" i="20" s="1"/>
  <c r="Y102" i="3"/>
  <c r="I104" i="20" l="1"/>
  <c r="V104" i="20" s="1"/>
  <c r="I100" i="20"/>
  <c r="V100" i="20" s="1"/>
  <c r="I105" i="20"/>
  <c r="V105" i="20" s="1"/>
  <c r="I103" i="3"/>
  <c r="V103" i="3" s="1"/>
  <c r="AG103" i="3" s="1"/>
  <c r="I99" i="20"/>
  <c r="V99" i="20" s="1"/>
  <c r="F106" i="20"/>
  <c r="I103" i="20"/>
  <c r="V103" i="20" s="1"/>
  <c r="I101" i="20"/>
  <c r="V101" i="20" s="1"/>
  <c r="H109" i="3" l="1"/>
  <c r="H117" i="3" s="1"/>
  <c r="I105" i="3"/>
  <c r="V105" i="3" s="1"/>
  <c r="AR105" i="3" s="1"/>
  <c r="AS105" i="3" s="1"/>
  <c r="Y105" i="3"/>
  <c r="I106" i="3"/>
  <c r="V106" i="3" s="1"/>
  <c r="AR106" i="3" s="1"/>
  <c r="AS106" i="3" s="1"/>
  <c r="Y106" i="3"/>
  <c r="I108" i="3"/>
  <c r="V108" i="3" s="1"/>
  <c r="AR108" i="3" s="1"/>
  <c r="AS108" i="3" s="1"/>
  <c r="Y108" i="3"/>
  <c r="I107" i="3"/>
  <c r="V107" i="3" s="1"/>
  <c r="AG107" i="3" s="1"/>
  <c r="Y107" i="3"/>
  <c r="I104" i="3"/>
  <c r="V104" i="3" s="1"/>
  <c r="AR104" i="3" s="1"/>
  <c r="AS104" i="3" s="1"/>
  <c r="Y104" i="3"/>
  <c r="AR103" i="3"/>
  <c r="AS103" i="3" s="1"/>
  <c r="I106" i="20"/>
  <c r="V106" i="20" s="1"/>
  <c r="I102" i="3"/>
  <c r="F109" i="3"/>
  <c r="Y109" i="3" s="1"/>
  <c r="AG105" i="3" l="1"/>
  <c r="AG106" i="3"/>
  <c r="AG104" i="3"/>
  <c r="Y118" i="3"/>
  <c r="AG108" i="3"/>
  <c r="AR107" i="3"/>
  <c r="AS107" i="3" s="1"/>
  <c r="AS109" i="3" s="1"/>
  <c r="AR109" i="3"/>
  <c r="I109" i="3"/>
  <c r="V109" i="3" s="1"/>
  <c r="AG109" i="3" s="1"/>
  <c r="V102" i="3"/>
  <c r="Y114" i="3"/>
  <c r="Y113" i="3"/>
  <c r="Y112" i="3"/>
  <c r="H120" i="20"/>
  <c r="G120" i="20"/>
  <c r="G124" i="20" s="1"/>
  <c r="F31" i="39" s="1"/>
  <c r="G125" i="24" l="1"/>
  <c r="G125" i="51"/>
  <c r="F40" i="39"/>
  <c r="F35" i="39"/>
  <c r="F44" i="39" s="1"/>
  <c r="F34" i="39"/>
  <c r="F43" i="39" s="1"/>
  <c r="F33" i="39"/>
  <c r="F42" i="39" s="1"/>
  <c r="F32" i="39"/>
  <c r="F41" i="39" s="1"/>
  <c r="F36" i="39"/>
  <c r="F45" i="39" s="1"/>
  <c r="H124" i="20"/>
  <c r="I108" i="20"/>
  <c r="V108" i="20" s="1"/>
  <c r="I109" i="20"/>
  <c r="V109" i="20" s="1"/>
  <c r="I112" i="20"/>
  <c r="V112" i="20" s="1"/>
  <c r="I113" i="3"/>
  <c r="V113" i="3" s="1"/>
  <c r="AR113" i="3" s="1"/>
  <c r="AS113" i="3" s="1"/>
  <c r="I110" i="20"/>
  <c r="V110" i="20" s="1"/>
  <c r="H113" i="20"/>
  <c r="H114" i="20" s="1"/>
  <c r="H115" i="20" s="1"/>
  <c r="G113" i="20"/>
  <c r="G114" i="20" s="1"/>
  <c r="G115" i="20" s="1"/>
  <c r="G118" i="3"/>
  <c r="G121" i="3" s="1"/>
  <c r="F114" i="20"/>
  <c r="F115" i="20" s="1"/>
  <c r="I114" i="3"/>
  <c r="V114" i="3" s="1"/>
  <c r="H118" i="3"/>
  <c r="I111" i="20"/>
  <c r="V111" i="20" s="1"/>
  <c r="G120" i="3" l="1"/>
  <c r="H125" i="24"/>
  <c r="H126" i="24" s="1"/>
  <c r="H125" i="51"/>
  <c r="H126" i="51" s="1"/>
  <c r="H120" i="3"/>
  <c r="H121" i="3"/>
  <c r="F46" i="39"/>
  <c r="G122" i="3" s="1"/>
  <c r="G36" i="39"/>
  <c r="G45" i="39" s="1"/>
  <c r="G32" i="39"/>
  <c r="G41" i="39" s="1"/>
  <c r="G35" i="39"/>
  <c r="G44" i="39" s="1"/>
  <c r="G31" i="39"/>
  <c r="H31" i="39" s="1"/>
  <c r="G34" i="39"/>
  <c r="G43" i="39" s="1"/>
  <c r="G33" i="39"/>
  <c r="G42" i="39" s="1"/>
  <c r="G125" i="27"/>
  <c r="G125" i="41"/>
  <c r="G126" i="41" s="1"/>
  <c r="G125" i="40"/>
  <c r="H125" i="40"/>
  <c r="H125" i="41"/>
  <c r="H126" i="41" s="1"/>
  <c r="G125" i="33"/>
  <c r="G126" i="33" s="1"/>
  <c r="H125" i="33"/>
  <c r="H126" i="33" s="1"/>
  <c r="H125" i="27"/>
  <c r="H126" i="27" s="1"/>
  <c r="H125" i="4"/>
  <c r="H126" i="4" s="1"/>
  <c r="H125" i="25"/>
  <c r="H126" i="25" s="1"/>
  <c r="G125" i="25"/>
  <c r="G125" i="4"/>
  <c r="I115" i="3"/>
  <c r="V115" i="3" s="1"/>
  <c r="AR115" i="3" s="1"/>
  <c r="AS115" i="3" s="1"/>
  <c r="Y115" i="3"/>
  <c r="Y124" i="3" s="1"/>
  <c r="Y126" i="3" s="1"/>
  <c r="I111" i="3"/>
  <c r="Y111" i="3"/>
  <c r="AG113" i="3"/>
  <c r="I113" i="20"/>
  <c r="I112" i="3"/>
  <c r="I126" i="41" l="1"/>
  <c r="V126" i="41" s="1"/>
  <c r="I125" i="41"/>
  <c r="V125" i="41" s="1"/>
  <c r="G37" i="39"/>
  <c r="G38" i="39" s="1"/>
  <c r="G40" i="39"/>
  <c r="G46" i="39" s="1"/>
  <c r="H122" i="3" s="1"/>
  <c r="D38" i="56"/>
  <c r="U31" i="39"/>
  <c r="G126" i="24"/>
  <c r="I126" i="24" s="1"/>
  <c r="V126" i="24" s="1"/>
  <c r="H43" i="39"/>
  <c r="H34" i="39"/>
  <c r="H44" i="39"/>
  <c r="U44" i="39" s="1"/>
  <c r="H35" i="39"/>
  <c r="U35" i="39" s="1"/>
  <c r="G126" i="51"/>
  <c r="I126" i="51" s="1"/>
  <c r="V126" i="51" s="1"/>
  <c r="H45" i="39"/>
  <c r="U45" i="39" s="1"/>
  <c r="H36" i="39"/>
  <c r="U36" i="39" s="1"/>
  <c r="I125" i="33"/>
  <c r="V125" i="33" s="1"/>
  <c r="I125" i="51"/>
  <c r="V125" i="51" s="1"/>
  <c r="I126" i="33"/>
  <c r="V126" i="33" s="1"/>
  <c r="G126" i="4"/>
  <c r="I125" i="4"/>
  <c r="V125" i="4" s="1"/>
  <c r="G126" i="27"/>
  <c r="I125" i="27"/>
  <c r="V125" i="27" s="1"/>
  <c r="G126" i="25"/>
  <c r="I125" i="25"/>
  <c r="V125" i="25" s="1"/>
  <c r="I125" i="24"/>
  <c r="V125" i="24" s="1"/>
  <c r="V111" i="3"/>
  <c r="AG111" i="3" s="1"/>
  <c r="I116" i="3"/>
  <c r="I117" i="3" s="1"/>
  <c r="H126" i="40"/>
  <c r="H127" i="40" s="1"/>
  <c r="G126" i="40"/>
  <c r="I125" i="40"/>
  <c r="V125" i="40" s="1"/>
  <c r="AG115" i="3"/>
  <c r="F117" i="3"/>
  <c r="F118" i="3" s="1"/>
  <c r="Y116" i="3"/>
  <c r="I114" i="20"/>
  <c r="V113" i="20"/>
  <c r="V112" i="3"/>
  <c r="U43" i="39" l="1"/>
  <c r="F120" i="3"/>
  <c r="X119" i="3" s="1"/>
  <c r="X120" i="3" s="1"/>
  <c r="G127" i="25"/>
  <c r="G127" i="27"/>
  <c r="G47" i="39"/>
  <c r="D45" i="56"/>
  <c r="H38" i="56"/>
  <c r="H45" i="56" s="1"/>
  <c r="U34" i="39"/>
  <c r="D39" i="56"/>
  <c r="H42" i="39"/>
  <c r="U42" i="39" s="1"/>
  <c r="H33" i="39"/>
  <c r="U33" i="39" s="1"/>
  <c r="G127" i="51"/>
  <c r="F37" i="39"/>
  <c r="F38" i="39" s="1"/>
  <c r="H32" i="39"/>
  <c r="G127" i="33"/>
  <c r="H127" i="51"/>
  <c r="H127" i="41"/>
  <c r="H127" i="27"/>
  <c r="H127" i="25"/>
  <c r="I127" i="25" s="1"/>
  <c r="V127" i="25" s="1"/>
  <c r="G127" i="4"/>
  <c r="G127" i="24"/>
  <c r="H127" i="33"/>
  <c r="H127" i="4"/>
  <c r="H127" i="24"/>
  <c r="G127" i="40"/>
  <c r="I127" i="40" s="1"/>
  <c r="V127" i="40" s="1"/>
  <c r="G127" i="41"/>
  <c r="AR111" i="3"/>
  <c r="AS111" i="3" s="1"/>
  <c r="I126" i="25"/>
  <c r="V126" i="25" s="1"/>
  <c r="I126" i="27"/>
  <c r="V126" i="27" s="1"/>
  <c r="I126" i="4"/>
  <c r="V126" i="4" s="1"/>
  <c r="I126" i="40"/>
  <c r="V126" i="40" s="1"/>
  <c r="V116" i="3"/>
  <c r="AG116" i="3" s="1"/>
  <c r="E38" i="39"/>
  <c r="AG112" i="3"/>
  <c r="AR112" i="3"/>
  <c r="V114" i="20"/>
  <c r="I115" i="20"/>
  <c r="V115" i="20" s="1"/>
  <c r="I127" i="27" l="1"/>
  <c r="V127" i="27" s="1"/>
  <c r="I127" i="4"/>
  <c r="V127" i="4" s="1"/>
  <c r="H41" i="39"/>
  <c r="U41" i="39" s="1"/>
  <c r="F47" i="39"/>
  <c r="I127" i="33"/>
  <c r="V127" i="33" s="1"/>
  <c r="I127" i="41"/>
  <c r="V127" i="41" s="1"/>
  <c r="I127" i="51"/>
  <c r="V127" i="51" s="1"/>
  <c r="U32" i="39"/>
  <c r="U37" i="39" s="1"/>
  <c r="U38" i="39" s="1"/>
  <c r="D37" i="56"/>
  <c r="D46" i="56"/>
  <c r="H39" i="56"/>
  <c r="H46" i="56" s="1"/>
  <c r="I127" i="24"/>
  <c r="V127" i="24" s="1"/>
  <c r="H40" i="39"/>
  <c r="E46" i="39"/>
  <c r="F122" i="3" s="1"/>
  <c r="H15" i="43"/>
  <c r="U15" i="43" s="1"/>
  <c r="E25" i="43"/>
  <c r="H25" i="43" s="1"/>
  <c r="U25" i="43" s="1"/>
  <c r="H16" i="43"/>
  <c r="U16" i="43" s="1"/>
  <c r="H14" i="43"/>
  <c r="I118" i="3"/>
  <c r="I121" i="3" s="1"/>
  <c r="V117" i="3"/>
  <c r="AG117" i="3" s="1"/>
  <c r="AS112" i="3"/>
  <c r="AS116" i="3" s="1"/>
  <c r="AS117" i="3" s="1"/>
  <c r="AS118" i="3" s="1"/>
  <c r="AR116" i="3"/>
  <c r="AR117" i="3" s="1"/>
  <c r="AR118" i="3" s="1"/>
  <c r="H37" i="39"/>
  <c r="H38" i="39" s="1"/>
  <c r="E47" i="39" l="1"/>
  <c r="U40" i="39"/>
  <c r="U46" i="39" s="1"/>
  <c r="D44" i="56"/>
  <c r="D47" i="56" s="1"/>
  <c r="H37" i="56"/>
  <c r="D40" i="56"/>
  <c r="D41" i="56" s="1"/>
  <c r="E26" i="43"/>
  <c r="H26" i="43" s="1"/>
  <c r="U26" i="43" s="1"/>
  <c r="U14" i="43"/>
  <c r="H24" i="43"/>
  <c r="U24" i="43" s="1"/>
  <c r="V118" i="3"/>
  <c r="V121" i="3" s="1"/>
  <c r="I120" i="3"/>
  <c r="H46" i="39"/>
  <c r="H47" i="39" s="1"/>
  <c r="U47" i="39" l="1"/>
  <c r="V122" i="3"/>
  <c r="D43" i="56"/>
  <c r="H44" i="56"/>
  <c r="H47" i="56" s="1"/>
  <c r="H40" i="56"/>
  <c r="H41" i="56" s="1"/>
  <c r="AG118" i="3"/>
  <c r="V128" i="3"/>
  <c r="V129" i="3"/>
  <c r="V120" i="3"/>
  <c r="X128" i="3"/>
  <c r="X129" i="3"/>
  <c r="X127" i="3"/>
  <c r="V127" i="3"/>
  <c r="AG119" i="3"/>
  <c r="H43" i="5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JS</author>
  </authors>
  <commentList>
    <comment ref="M15" authorId="0" shapeId="0" xr:uid="{00000000-0006-0000-1500-000001000000}">
      <text>
        <r>
          <rPr>
            <sz val="9"/>
            <color indexed="81"/>
            <rFont val="Tahoma"/>
            <family val="2"/>
          </rPr>
          <t xml:space="preserve">ESD </t>
        </r>
        <r>
          <rPr>
            <sz val="9"/>
            <color indexed="81"/>
            <rFont val="돋움"/>
            <family val="3"/>
            <charset val="129"/>
          </rPr>
          <t>유시스대손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반영</t>
        </r>
        <r>
          <rPr>
            <sz val="9"/>
            <color indexed="81"/>
            <rFont val="Tahoma"/>
            <family val="2"/>
          </rPr>
          <t>12,681,900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tc={7DE800F1-7C36-42B4-8EEE-302D12748164}</author>
    <author>JS</author>
  </authors>
  <commentList>
    <comment ref="F24" authorId="0" shapeId="0" xr:uid="{7DE800F1-7C36-42B4-8EEE-302D1274816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면접비:30,000원+ 김진수GPT:33,000원</t>
      </text>
    </comment>
    <comment ref="D125" authorId="1" shapeId="0" xr:uid="{68216FD1-89EF-47C9-91BA-A5854DC0CF27}">
      <text>
        <r>
          <rPr>
            <sz val="9"/>
            <color indexed="81"/>
            <rFont val="돋움"/>
            <family val="3"/>
            <charset val="129"/>
          </rPr>
          <t>간접비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고정비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팀별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안분</t>
        </r>
      </text>
    </comment>
    <comment ref="D127" authorId="1" shapeId="0" xr:uid="{226E9570-BAED-4A83-A007-DBFE27030239}">
      <text>
        <r>
          <rPr>
            <sz val="9"/>
            <color indexed="81"/>
            <rFont val="Tahoma"/>
            <family val="2"/>
          </rPr>
          <t xml:space="preserve">ESCB </t>
        </r>
        <r>
          <rPr>
            <sz val="9"/>
            <color indexed="81"/>
            <rFont val="돋움"/>
            <family val="3"/>
            <charset val="129"/>
          </rPr>
          <t>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팀별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사용률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김경희</author>
    <author>tc={6240CEF5-CEC8-43C7-B0E5-CFE95C4F8B73}</author>
    <author>tc={DA34215C-F80C-4B50-A2EF-65AAAFB6FB78}</author>
    <author>tc={9F93252A-DBFF-4818-A12D-EFD0AC0CE47E}</author>
    <author>tc={FCDDEB87-0779-4F23-AF7F-490DB5AFABAB}</author>
    <author>tc={CA928F24-53EB-435A-92D4-9C8D3209D487}</author>
    <author>tc={316AE691-B57F-4163-96F1-C069EE4B01FE}</author>
    <author>tc={BEB6B558-E735-4B36-B118-B52FB833685F}</author>
    <author>tc={6D48885D-F9EE-470F-A10A-93729FABFBCE}</author>
    <author>tc={AF6EC0E2-AF57-461E-940F-F77931F640EC}</author>
    <author>tc={1FF46287-4EB9-442D-B20A-FC0B7C4A0945}</author>
    <author>tc={E22995AD-B8FB-4CEE-B8BC-9DFFAF1802F4}</author>
    <author>tc={594AAE12-882B-4850-92A2-71A6BBF1A88E}</author>
    <author>JS</author>
  </authors>
  <commentList>
    <comment ref="F23" authorId="0" shapeId="0" xr:uid="{F6DDB2E7-5C9C-46B9-B2EB-E02C96F43789}">
      <text>
        <r>
          <rPr>
            <sz val="9"/>
            <color indexed="81"/>
            <rFont val="Tahoma"/>
            <family val="2"/>
          </rPr>
          <t xml:space="preserve">IITP </t>
        </r>
        <r>
          <rPr>
            <sz val="9"/>
            <color indexed="81"/>
            <rFont val="돋움"/>
            <family val="3"/>
            <charset val="129"/>
          </rPr>
          <t xml:space="preserve">부담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3" authorId="0" shapeId="0" xr:uid="{CFC6FCF3-830F-48FE-AAD4-8A2C3DBD98E4}">
      <text>
        <r>
          <rPr>
            <sz val="9"/>
            <color indexed="81"/>
            <rFont val="Tahoma"/>
            <family val="2"/>
          </rPr>
          <t xml:space="preserve">IITP </t>
        </r>
        <r>
          <rPr>
            <sz val="9"/>
            <color indexed="81"/>
            <rFont val="돋움"/>
            <family val="3"/>
            <charset val="129"/>
          </rPr>
          <t xml:space="preserve">부담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3" authorId="0" shapeId="0" xr:uid="{59A0EBA5-4576-497D-AC6F-2F8CF40D4D81}">
      <text>
        <r>
          <rPr>
            <sz val="9"/>
            <color indexed="81"/>
            <rFont val="Tahoma"/>
            <family val="2"/>
          </rPr>
          <t xml:space="preserve">IITP </t>
        </r>
        <r>
          <rPr>
            <sz val="9"/>
            <color indexed="81"/>
            <rFont val="돋움"/>
            <family val="3"/>
            <charset val="129"/>
          </rPr>
          <t xml:space="preserve">부담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3" authorId="0" shapeId="0" xr:uid="{631380CF-B291-41D8-84D7-BB3A6CF48406}">
      <text>
        <r>
          <rPr>
            <sz val="9"/>
            <color indexed="81"/>
            <rFont val="Tahoma"/>
            <family val="2"/>
          </rPr>
          <t xml:space="preserve">IITP </t>
        </r>
        <r>
          <rPr>
            <sz val="9"/>
            <color indexed="81"/>
            <rFont val="돋움"/>
            <family val="3"/>
            <charset val="129"/>
          </rPr>
          <t xml:space="preserve">부담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3" authorId="0" shapeId="0" xr:uid="{3ADBE1C6-1A10-41F0-B50F-4F550E4AFA6E}">
      <text>
        <r>
          <rPr>
            <sz val="9"/>
            <color indexed="81"/>
            <rFont val="Tahoma"/>
            <family val="2"/>
          </rPr>
          <t xml:space="preserve">IITP </t>
        </r>
        <r>
          <rPr>
            <sz val="9"/>
            <color indexed="81"/>
            <rFont val="돋움"/>
            <family val="3"/>
            <charset val="129"/>
          </rPr>
          <t xml:space="preserve">부담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3" authorId="0" shapeId="0" xr:uid="{2D787630-8D6B-46D4-A96C-6DB3668138FD}">
      <text>
        <r>
          <rPr>
            <sz val="9"/>
            <color indexed="81"/>
            <rFont val="Tahoma"/>
            <family val="2"/>
          </rPr>
          <t xml:space="preserve">IITP </t>
        </r>
        <r>
          <rPr>
            <sz val="9"/>
            <color indexed="81"/>
            <rFont val="돋움"/>
            <family val="3"/>
            <charset val="129"/>
          </rPr>
          <t xml:space="preserve">부담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3" authorId="0" shapeId="0" xr:uid="{5382118F-15C5-47F5-9356-ABA48C9B3C8E}">
      <text>
        <r>
          <rPr>
            <sz val="9"/>
            <color indexed="81"/>
            <rFont val="Tahoma"/>
            <family val="2"/>
          </rPr>
          <t xml:space="preserve">IITP </t>
        </r>
        <r>
          <rPr>
            <sz val="9"/>
            <color indexed="81"/>
            <rFont val="돋움"/>
            <family val="3"/>
            <charset val="129"/>
          </rPr>
          <t xml:space="preserve">부담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23" authorId="0" shapeId="0" xr:uid="{0F825B66-ABA1-4AB1-AACC-14FAC981151E}">
      <text>
        <r>
          <rPr>
            <sz val="9"/>
            <color indexed="81"/>
            <rFont val="Tahoma"/>
            <family val="2"/>
          </rPr>
          <t xml:space="preserve">IITP </t>
        </r>
        <r>
          <rPr>
            <sz val="9"/>
            <color indexed="81"/>
            <rFont val="돋움"/>
            <family val="3"/>
            <charset val="129"/>
          </rPr>
          <t xml:space="preserve">부담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3" authorId="0" shapeId="0" xr:uid="{6EADC557-7432-426B-8785-C8E5306B638A}">
      <text>
        <r>
          <rPr>
            <sz val="9"/>
            <color indexed="81"/>
            <rFont val="Tahoma"/>
            <family val="2"/>
          </rPr>
          <t xml:space="preserve">IITP </t>
        </r>
        <r>
          <rPr>
            <sz val="9"/>
            <color indexed="81"/>
            <rFont val="돋움"/>
            <family val="3"/>
            <charset val="129"/>
          </rPr>
          <t xml:space="preserve">부담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3" authorId="0" shapeId="0" xr:uid="{1F926859-A61F-4C49-BE49-B675708D3546}">
      <text>
        <r>
          <rPr>
            <sz val="9"/>
            <color indexed="81"/>
            <rFont val="Tahoma"/>
            <family val="2"/>
          </rPr>
          <t xml:space="preserve">IITP </t>
        </r>
        <r>
          <rPr>
            <sz val="9"/>
            <color indexed="81"/>
            <rFont val="돋움"/>
            <family val="3"/>
            <charset val="129"/>
          </rPr>
          <t xml:space="preserve">부담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23" authorId="0" shapeId="0" xr:uid="{EF7B052E-6336-4AEB-BCDA-594F82A4C537}">
      <text>
        <r>
          <rPr>
            <sz val="9"/>
            <color indexed="81"/>
            <rFont val="Tahoma"/>
            <family val="2"/>
          </rPr>
          <t xml:space="preserve">IITP </t>
        </r>
        <r>
          <rPr>
            <sz val="9"/>
            <color indexed="81"/>
            <rFont val="돋움"/>
            <family val="3"/>
            <charset val="129"/>
          </rPr>
          <t xml:space="preserve">부담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23" authorId="0" shapeId="0" xr:uid="{58D409A4-7A0F-4009-B9A1-EF642A8CF4BF}">
      <text>
        <r>
          <rPr>
            <sz val="9"/>
            <color indexed="81"/>
            <rFont val="Tahoma"/>
            <family val="2"/>
          </rPr>
          <t xml:space="preserve">IITP </t>
        </r>
        <r>
          <rPr>
            <sz val="9"/>
            <color indexed="81"/>
            <rFont val="돋움"/>
            <family val="3"/>
            <charset val="129"/>
          </rPr>
          <t xml:space="preserve">부담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4" authorId="1" shapeId="0" xr:uid="{6240CEF5-CEC8-43C7-B0E5-CFE95C4F8B7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먼데이닷컴:938,000원</t>
      </text>
    </comment>
    <comment ref="G24" authorId="2" shapeId="0" xr:uid="{DA34215C-F80C-4B50-A2EF-65AAAFB6FB7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먼데이닷컴:938,000원</t>
      </text>
    </comment>
    <comment ref="H24" authorId="3" shapeId="0" xr:uid="{9F93252A-DBFF-4818-A12D-EFD0AC0CE47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먼데이닷컴:938,000원</t>
      </text>
    </comment>
    <comment ref="J24" authorId="4" shapeId="0" xr:uid="{FCDDEB87-0779-4F23-AF7F-490DB5AFABA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먼데이닷컴:938,000원</t>
      </text>
    </comment>
    <comment ref="K24" authorId="5" shapeId="0" xr:uid="{CA928F24-53EB-435A-92D4-9C8D3209D48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먼데이닷컴:938,000원</t>
      </text>
    </comment>
    <comment ref="L24" authorId="6" shapeId="0" xr:uid="{316AE691-B57F-4163-96F1-C069EE4B01F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먼데이닷컴:938,000원</t>
      </text>
    </comment>
    <comment ref="N24" authorId="7" shapeId="0" xr:uid="{BEB6B558-E735-4B36-B118-B52FB833685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먼데이닷컴:938,000원</t>
      </text>
    </comment>
    <comment ref="O24" authorId="8" shapeId="0" xr:uid="{6D48885D-F9EE-470F-A10A-93729FABFBC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먼데이닷컴:938,000원</t>
      </text>
    </comment>
    <comment ref="P24" authorId="9" shapeId="0" xr:uid="{AF6EC0E2-AF57-461E-940F-F77931F640E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먼데이닷컴:938,000원</t>
      </text>
    </comment>
    <comment ref="R24" authorId="10" shapeId="0" xr:uid="{1FF46287-4EB9-442D-B20A-FC0B7C4A0945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먼데이닷컴:938,000원</t>
      </text>
    </comment>
    <comment ref="S24" authorId="11" shapeId="0" xr:uid="{E22995AD-B8FB-4CEE-B8BC-9DFFAF1802F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먼데이닷컴:938,000원</t>
      </text>
    </comment>
    <comment ref="T24" authorId="12" shapeId="0" xr:uid="{594AAE12-882B-4850-92A2-71A6BBF1A88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먼데이닷컴:938,000원</t>
      </text>
    </comment>
    <comment ref="D123" authorId="13" shapeId="0" xr:uid="{2C50DBE8-B5BD-49AC-B8A7-854B01841910}">
      <text>
        <r>
          <rPr>
            <sz val="9"/>
            <color indexed="81"/>
            <rFont val="Tahoma"/>
            <family val="2"/>
          </rPr>
          <t xml:space="preserve">JGChoi,MKT 50% </t>
        </r>
        <r>
          <rPr>
            <sz val="9"/>
            <color indexed="81"/>
            <rFont val="돋움"/>
            <family val="3"/>
            <charset val="129"/>
          </rPr>
          <t>비용</t>
        </r>
        <r>
          <rPr>
            <sz val="9"/>
            <color indexed="81"/>
            <rFont val="Tahoma"/>
            <family val="2"/>
          </rPr>
          <t xml:space="preserve"> 
</t>
        </r>
      </text>
    </comment>
    <comment ref="D125" authorId="13" shapeId="0" xr:uid="{C15CB10A-30FC-4FC4-85A3-F599F88903BC}">
      <text>
        <r>
          <rPr>
            <sz val="9"/>
            <color indexed="81"/>
            <rFont val="돋움"/>
            <family val="3"/>
            <charset val="129"/>
          </rPr>
          <t>간접비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고정비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팀별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안분</t>
        </r>
      </text>
    </comment>
    <comment ref="D127" authorId="13" shapeId="0" xr:uid="{F9949EB3-F0A1-4B4A-B5BB-74F75D9AC536}">
      <text>
        <r>
          <rPr>
            <sz val="9"/>
            <color indexed="81"/>
            <rFont val="Tahoma"/>
            <family val="2"/>
          </rPr>
          <t xml:space="preserve">ESCB </t>
        </r>
        <r>
          <rPr>
            <sz val="9"/>
            <color indexed="81"/>
            <rFont val="돋움"/>
            <family val="3"/>
            <charset val="129"/>
          </rPr>
          <t>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팀별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사용률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tc={5F3C9EDE-999E-4E16-9C69-95CEA3B63445}</author>
    <author>tc={C89A28A5-D25A-4B2F-AA15-B11F945BD78A}</author>
    <author>tc={F90B9527-4DAC-46A2-BBD6-A8F22DAE298E}</author>
    <author>tc={FFCB7550-9600-4F7D-8523-3DDBB45E9D47}</author>
    <author>tc={582CF969-174F-4673-BD1E-15BE2BE01698}</author>
    <author>tc={53525388-61EA-4A64-AC9A-97E38FD9FCEF}</author>
    <author>tc={D3AEA191-72C4-4C31-847D-8CB0281C63EF}</author>
    <author>tc={7065EC6B-0E1E-477F-A82C-61E62F0CC81D}</author>
    <author>tc={EE73B24F-B7AA-40DC-AF67-87DC4C36F114}</author>
    <author>tc={5D8DD48F-907E-4360-89A1-D87BFEDD067C}</author>
    <author>tc={3B32A6EA-AF53-45B7-840F-6AE51F284748}</author>
    <author>tc={2E349FD2-7FDC-4F9C-81AE-3A8C2F6DBA01}</author>
    <author>JS</author>
  </authors>
  <commentList>
    <comment ref="F24" authorId="0" shapeId="0" xr:uid="{5F3C9EDE-999E-4E16-9C69-95CEA3B63445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Nanjing:29,000원</t>
      </text>
    </comment>
    <comment ref="G24" authorId="1" shapeId="0" xr:uid="{C89A28A5-D25A-4B2F-AA15-B11F945BD78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Nanjing:29,000원</t>
      </text>
    </comment>
    <comment ref="H24" authorId="2" shapeId="0" xr:uid="{F90B9527-4DAC-46A2-BBD6-A8F22DAE298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Nanjing:29,000원</t>
      </text>
    </comment>
    <comment ref="J24" authorId="3" shapeId="0" xr:uid="{FFCB7550-9600-4F7D-8523-3DDBB45E9D4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Nanjing:29,000원</t>
      </text>
    </comment>
    <comment ref="K24" authorId="4" shapeId="0" xr:uid="{582CF969-174F-4673-BD1E-15BE2BE0169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Nanjing:29,000원</t>
      </text>
    </comment>
    <comment ref="L24" authorId="5" shapeId="0" xr:uid="{53525388-61EA-4A64-AC9A-97E38FD9FCE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Nanjing:29,000원</t>
      </text>
    </comment>
    <comment ref="N24" authorId="6" shapeId="0" xr:uid="{D3AEA191-72C4-4C31-847D-8CB0281C63E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Nanjing:29,000원</t>
      </text>
    </comment>
    <comment ref="O24" authorId="7" shapeId="0" xr:uid="{7065EC6B-0E1E-477F-A82C-61E62F0CC81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Nanjing:29,000원</t>
      </text>
    </comment>
    <comment ref="P24" authorId="8" shapeId="0" xr:uid="{EE73B24F-B7AA-40DC-AF67-87DC4C36F11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Nanjing:29,000원</t>
      </text>
    </comment>
    <comment ref="R24" authorId="9" shapeId="0" xr:uid="{5D8DD48F-907E-4360-89A1-D87BFEDD067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Nanjing:29,000원</t>
      </text>
    </comment>
    <comment ref="S24" authorId="10" shapeId="0" xr:uid="{3B32A6EA-AF53-45B7-840F-6AE51F28474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Nanjing:29,000원</t>
      </text>
    </comment>
    <comment ref="T24" authorId="11" shapeId="0" xr:uid="{2E349FD2-7FDC-4F9C-81AE-3A8C2F6DBA0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Nanjing:29,000원</t>
      </text>
    </comment>
    <comment ref="D123" authorId="12" shapeId="0" xr:uid="{158AB801-B500-4E44-89D8-5D5EAA73A7F9}">
      <text>
        <r>
          <rPr>
            <sz val="9"/>
            <color indexed="81"/>
            <rFont val="Tahoma"/>
            <family val="2"/>
          </rPr>
          <t xml:space="preserve">SYShin50%,MKT 50% </t>
        </r>
        <r>
          <rPr>
            <sz val="9"/>
            <color indexed="81"/>
            <rFont val="돋움"/>
            <family val="3"/>
            <charset val="129"/>
          </rPr>
          <t>비용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D125" authorId="12" shapeId="0" xr:uid="{70A99912-3E00-465C-AD56-2BE8A126E5B6}">
      <text>
        <r>
          <rPr>
            <sz val="9"/>
            <color indexed="81"/>
            <rFont val="돋움"/>
            <family val="3"/>
            <charset val="129"/>
          </rPr>
          <t>간접비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고정비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팀별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안분</t>
        </r>
      </text>
    </comment>
    <comment ref="D127" authorId="12" shapeId="0" xr:uid="{0EB57952-955B-4754-93B4-DE83B6C7C5AB}">
      <text>
        <r>
          <rPr>
            <sz val="9"/>
            <color indexed="81"/>
            <rFont val="Tahoma"/>
            <family val="2"/>
          </rPr>
          <t xml:space="preserve">ESCB </t>
        </r>
        <r>
          <rPr>
            <sz val="9"/>
            <color indexed="81"/>
            <rFont val="돋움"/>
            <family val="3"/>
            <charset val="129"/>
          </rPr>
          <t>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팀별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사용률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tc={4A5AC7CB-6071-4E9F-B3E4-77F021506A34}</author>
  </authors>
  <commentList>
    <comment ref="F105" authorId="0" shapeId="0" xr:uid="{4A5AC7CB-6071-4E9F-B3E4-77F021506A3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줌: 258,818원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JS</author>
  </authors>
  <commentList>
    <comment ref="C117" authorId="0" shapeId="0" xr:uid="{00000000-0006-0000-0800-000001000000}">
      <text>
        <r>
          <rPr>
            <sz val="9"/>
            <color indexed="81"/>
            <rFont val="돋움"/>
            <family val="3"/>
            <charset val="129"/>
          </rPr>
          <t>변동비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>고정비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이동내역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김경희</author>
    <author>JS</author>
  </authors>
  <commentList>
    <comment ref="F23" authorId="0" shapeId="0" xr:uid="{5B82300F-CEED-4103-BB1F-A0CF3764B62B}">
      <text>
        <r>
          <rPr>
            <sz val="9"/>
            <color indexed="81"/>
            <rFont val="돋움"/>
            <family val="3"/>
            <charset val="129"/>
          </rPr>
          <t>서버장비</t>
        </r>
        <r>
          <rPr>
            <sz val="9"/>
            <color indexed="81"/>
            <rFont val="Tahoma"/>
            <family val="2"/>
          </rPr>
          <t xml:space="preserve">+SW </t>
        </r>
        <r>
          <rPr>
            <sz val="9"/>
            <color indexed="81"/>
            <rFont val="돋움"/>
            <family val="3"/>
            <charset val="129"/>
          </rPr>
          <t>감가상각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3" authorId="0" shapeId="0" xr:uid="{243CEB87-EFF4-42EC-86D3-93A59E0DF52C}">
      <text>
        <r>
          <rPr>
            <sz val="9"/>
            <color indexed="81"/>
            <rFont val="돋움"/>
            <family val="3"/>
            <charset val="129"/>
          </rPr>
          <t>서버장비</t>
        </r>
        <r>
          <rPr>
            <sz val="9"/>
            <color indexed="81"/>
            <rFont val="Tahoma"/>
            <family val="2"/>
          </rPr>
          <t xml:space="preserve">+SW </t>
        </r>
        <r>
          <rPr>
            <sz val="9"/>
            <color indexed="81"/>
            <rFont val="돋움"/>
            <family val="3"/>
            <charset val="129"/>
          </rPr>
          <t>감가상각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3" authorId="0" shapeId="0" xr:uid="{58D3FF4E-3D33-46DF-963B-B8B1DFB953AD}">
      <text>
        <r>
          <rPr>
            <sz val="9"/>
            <color indexed="81"/>
            <rFont val="돋움"/>
            <family val="3"/>
            <charset val="129"/>
          </rPr>
          <t>서버장비</t>
        </r>
        <r>
          <rPr>
            <sz val="9"/>
            <color indexed="81"/>
            <rFont val="Tahoma"/>
            <family val="2"/>
          </rPr>
          <t xml:space="preserve">+SW </t>
        </r>
        <r>
          <rPr>
            <sz val="9"/>
            <color indexed="81"/>
            <rFont val="돋움"/>
            <family val="3"/>
            <charset val="129"/>
          </rPr>
          <t>감가상각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3" authorId="0" shapeId="0" xr:uid="{0BA8CDF1-5FB2-44BA-BA99-95B66552AA5F}">
      <text>
        <r>
          <rPr>
            <sz val="9"/>
            <color indexed="81"/>
            <rFont val="돋움"/>
            <family val="3"/>
            <charset val="129"/>
          </rPr>
          <t>서버장비</t>
        </r>
        <r>
          <rPr>
            <sz val="9"/>
            <color indexed="81"/>
            <rFont val="Tahoma"/>
            <family val="2"/>
          </rPr>
          <t xml:space="preserve">+SW </t>
        </r>
        <r>
          <rPr>
            <sz val="9"/>
            <color indexed="81"/>
            <rFont val="돋움"/>
            <family val="3"/>
            <charset val="129"/>
          </rPr>
          <t>감가상각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3" authorId="0" shapeId="0" xr:uid="{9B1BE35F-62D2-4177-A855-5E8FDBC953CA}">
      <text>
        <r>
          <rPr>
            <sz val="9"/>
            <color indexed="81"/>
            <rFont val="돋움"/>
            <family val="3"/>
            <charset val="129"/>
          </rPr>
          <t>서버장비</t>
        </r>
        <r>
          <rPr>
            <sz val="9"/>
            <color indexed="81"/>
            <rFont val="Tahoma"/>
            <family val="2"/>
          </rPr>
          <t xml:space="preserve">+SW </t>
        </r>
        <r>
          <rPr>
            <sz val="9"/>
            <color indexed="81"/>
            <rFont val="돋움"/>
            <family val="3"/>
            <charset val="129"/>
          </rPr>
          <t>감가상각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3" authorId="0" shapeId="0" xr:uid="{4A7B3693-0059-4406-A316-EAC2EDB7A6BF}">
      <text>
        <r>
          <rPr>
            <sz val="9"/>
            <color indexed="81"/>
            <rFont val="돋움"/>
            <family val="3"/>
            <charset val="129"/>
          </rPr>
          <t>서버장비</t>
        </r>
        <r>
          <rPr>
            <sz val="9"/>
            <color indexed="81"/>
            <rFont val="Tahoma"/>
            <family val="2"/>
          </rPr>
          <t xml:space="preserve">+SW </t>
        </r>
        <r>
          <rPr>
            <sz val="9"/>
            <color indexed="81"/>
            <rFont val="돋움"/>
            <family val="3"/>
            <charset val="129"/>
          </rPr>
          <t>감가상각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3" authorId="0" shapeId="0" xr:uid="{3ED3B531-09BC-4AD0-BE56-7E3717193CDC}">
      <text>
        <r>
          <rPr>
            <sz val="9"/>
            <color indexed="81"/>
            <rFont val="돋움"/>
            <family val="3"/>
            <charset val="129"/>
          </rPr>
          <t>서버장비</t>
        </r>
        <r>
          <rPr>
            <sz val="9"/>
            <color indexed="81"/>
            <rFont val="Tahoma"/>
            <family val="2"/>
          </rPr>
          <t xml:space="preserve">+SW </t>
        </r>
        <r>
          <rPr>
            <sz val="9"/>
            <color indexed="81"/>
            <rFont val="돋움"/>
            <family val="3"/>
            <charset val="129"/>
          </rPr>
          <t>감가상각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23" authorId="0" shapeId="0" xr:uid="{87FAB1C3-8EC6-40AA-9DA2-489465B07D57}">
      <text>
        <r>
          <rPr>
            <sz val="9"/>
            <color indexed="81"/>
            <rFont val="돋움"/>
            <family val="3"/>
            <charset val="129"/>
          </rPr>
          <t>서버장비</t>
        </r>
        <r>
          <rPr>
            <sz val="9"/>
            <color indexed="81"/>
            <rFont val="Tahoma"/>
            <family val="2"/>
          </rPr>
          <t xml:space="preserve">+SW </t>
        </r>
        <r>
          <rPr>
            <sz val="9"/>
            <color indexed="81"/>
            <rFont val="돋움"/>
            <family val="3"/>
            <charset val="129"/>
          </rPr>
          <t>감가상각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3" authorId="0" shapeId="0" xr:uid="{22C5C37E-B73C-497C-A756-B7B34C27ACD1}">
      <text>
        <r>
          <rPr>
            <sz val="9"/>
            <color indexed="81"/>
            <rFont val="돋움"/>
            <family val="3"/>
            <charset val="129"/>
          </rPr>
          <t>서버장비</t>
        </r>
        <r>
          <rPr>
            <sz val="9"/>
            <color indexed="81"/>
            <rFont val="Tahoma"/>
            <family val="2"/>
          </rPr>
          <t xml:space="preserve">+SW </t>
        </r>
        <r>
          <rPr>
            <sz val="9"/>
            <color indexed="81"/>
            <rFont val="돋움"/>
            <family val="3"/>
            <charset val="129"/>
          </rPr>
          <t>감가상각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3" authorId="0" shapeId="0" xr:uid="{09262ABB-2ED3-4ECB-9B8D-18FA383BF8B5}">
      <text>
        <r>
          <rPr>
            <sz val="9"/>
            <color indexed="81"/>
            <rFont val="돋움"/>
            <family val="3"/>
            <charset val="129"/>
          </rPr>
          <t>서버장비</t>
        </r>
        <r>
          <rPr>
            <sz val="9"/>
            <color indexed="81"/>
            <rFont val="Tahoma"/>
            <family val="2"/>
          </rPr>
          <t xml:space="preserve">+SW </t>
        </r>
        <r>
          <rPr>
            <sz val="9"/>
            <color indexed="81"/>
            <rFont val="돋움"/>
            <family val="3"/>
            <charset val="129"/>
          </rPr>
          <t>감가상각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23" authorId="0" shapeId="0" xr:uid="{5B936204-AF6D-40EA-96F9-23B6F453BF48}">
      <text>
        <r>
          <rPr>
            <sz val="9"/>
            <color indexed="81"/>
            <rFont val="돋움"/>
            <family val="3"/>
            <charset val="129"/>
          </rPr>
          <t>서버장비</t>
        </r>
        <r>
          <rPr>
            <sz val="9"/>
            <color indexed="81"/>
            <rFont val="Tahoma"/>
            <family val="2"/>
          </rPr>
          <t xml:space="preserve">+SW </t>
        </r>
        <r>
          <rPr>
            <sz val="9"/>
            <color indexed="81"/>
            <rFont val="돋움"/>
            <family val="3"/>
            <charset val="129"/>
          </rPr>
          <t>감가상각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23" authorId="0" shapeId="0" xr:uid="{7BE881EB-98BA-4EFF-8A84-DBB9DD237127}">
      <text>
        <r>
          <rPr>
            <sz val="9"/>
            <color indexed="81"/>
            <rFont val="돋움"/>
            <family val="3"/>
            <charset val="129"/>
          </rPr>
          <t>서버장비</t>
        </r>
        <r>
          <rPr>
            <sz val="9"/>
            <color indexed="81"/>
            <rFont val="Tahoma"/>
            <family val="2"/>
          </rPr>
          <t xml:space="preserve">+SW </t>
        </r>
        <r>
          <rPr>
            <sz val="9"/>
            <color indexed="81"/>
            <rFont val="돋움"/>
            <family val="3"/>
            <charset val="129"/>
          </rPr>
          <t>감가상각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5" authorId="0" shapeId="0" xr:uid="{DF30695E-4D7C-41CE-8C82-5DD221B8E2D4}">
      <text>
        <r>
          <rPr>
            <sz val="9"/>
            <color indexed="81"/>
            <rFont val="돋움"/>
            <family val="3"/>
            <charset val="129"/>
          </rPr>
          <t>일진전기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하자이행</t>
        </r>
      </text>
    </comment>
    <comment ref="G25" authorId="0" shapeId="0" xr:uid="{C76D9730-EFDF-468B-883D-24DECA718DC4}">
      <text>
        <r>
          <rPr>
            <sz val="9"/>
            <color indexed="81"/>
            <rFont val="돋움"/>
            <family val="3"/>
            <charset val="129"/>
          </rPr>
          <t>일진전기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하자이행</t>
        </r>
      </text>
    </comment>
    <comment ref="H25" authorId="0" shapeId="0" xr:uid="{F7C99609-64D1-4DFD-869C-04D1C517E11A}">
      <text>
        <r>
          <rPr>
            <sz val="9"/>
            <color indexed="81"/>
            <rFont val="돋움"/>
            <family val="3"/>
            <charset val="129"/>
          </rPr>
          <t>일진전기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하자이행</t>
        </r>
      </text>
    </comment>
    <comment ref="J25" authorId="0" shapeId="0" xr:uid="{DE0A2D7D-35FF-42A1-ADEE-9C4F51F51390}">
      <text>
        <r>
          <rPr>
            <sz val="9"/>
            <color indexed="81"/>
            <rFont val="돋움"/>
            <family val="3"/>
            <charset val="129"/>
          </rPr>
          <t>일진전기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하자이행</t>
        </r>
      </text>
    </comment>
    <comment ref="K25" authorId="0" shapeId="0" xr:uid="{C3FA81F2-F3F7-44AE-BE11-0E75A7D25C95}">
      <text>
        <r>
          <rPr>
            <sz val="9"/>
            <color indexed="81"/>
            <rFont val="돋움"/>
            <family val="3"/>
            <charset val="129"/>
          </rPr>
          <t>일진전기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하자이행</t>
        </r>
      </text>
    </comment>
    <comment ref="L25" authorId="0" shapeId="0" xr:uid="{0B4E02C3-1780-4659-84A5-DFC990327712}">
      <text>
        <r>
          <rPr>
            <sz val="9"/>
            <color indexed="81"/>
            <rFont val="돋움"/>
            <family val="3"/>
            <charset val="129"/>
          </rPr>
          <t>일진전기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하자이행</t>
        </r>
      </text>
    </comment>
    <comment ref="N25" authorId="0" shapeId="0" xr:uid="{8A5CEC0F-77D7-4319-883F-F057DFD00634}">
      <text>
        <r>
          <rPr>
            <sz val="9"/>
            <color indexed="81"/>
            <rFont val="돋움"/>
            <family val="3"/>
            <charset val="129"/>
          </rPr>
          <t>일진전기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하자이행</t>
        </r>
      </text>
    </comment>
    <comment ref="O25" authorId="0" shapeId="0" xr:uid="{B5E0039E-D520-4756-8C77-DF9B60AC2814}">
      <text>
        <r>
          <rPr>
            <sz val="9"/>
            <color indexed="81"/>
            <rFont val="돋움"/>
            <family val="3"/>
            <charset val="129"/>
          </rPr>
          <t>일진전기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하자이행</t>
        </r>
      </text>
    </comment>
    <comment ref="P25" authorId="0" shapeId="0" xr:uid="{7EBE99E7-DC2E-49D6-BCBF-DB304491EE4E}">
      <text>
        <r>
          <rPr>
            <sz val="9"/>
            <color indexed="81"/>
            <rFont val="돋움"/>
            <family val="3"/>
            <charset val="129"/>
          </rPr>
          <t>일진전기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하자이행</t>
        </r>
      </text>
    </comment>
    <comment ref="R25" authorId="0" shapeId="0" xr:uid="{06B5057A-FED7-4899-A267-9F4A839430F1}">
      <text>
        <r>
          <rPr>
            <sz val="9"/>
            <color indexed="81"/>
            <rFont val="돋움"/>
            <family val="3"/>
            <charset val="129"/>
          </rPr>
          <t>일진전기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하자이행</t>
        </r>
      </text>
    </comment>
    <comment ref="S25" authorId="0" shapeId="0" xr:uid="{808C6396-0191-4AD6-9A8B-C300B3790C79}">
      <text>
        <r>
          <rPr>
            <sz val="9"/>
            <color indexed="81"/>
            <rFont val="돋움"/>
            <family val="3"/>
            <charset val="129"/>
          </rPr>
          <t>일진전기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하자이행</t>
        </r>
      </text>
    </comment>
    <comment ref="T25" authorId="0" shapeId="0" xr:uid="{B74EAE40-EFEB-407C-98CA-42BF0D118144}">
      <text>
        <r>
          <rPr>
            <sz val="9"/>
            <color indexed="81"/>
            <rFont val="돋움"/>
            <family val="3"/>
            <charset val="129"/>
          </rPr>
          <t>일진전기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하자이행</t>
        </r>
      </text>
    </comment>
    <comment ref="F102" authorId="1" shapeId="0" xr:uid="{00000000-0006-0000-0A00-000002000000}">
      <text>
        <r>
          <rPr>
            <sz val="9"/>
            <color indexed="81"/>
            <rFont val="Tahoma"/>
            <family val="2"/>
          </rPr>
          <t>SNT</t>
        </r>
        <r>
          <rPr>
            <sz val="9"/>
            <color indexed="81"/>
            <rFont val="돋움"/>
            <family val="3"/>
            <charset val="129"/>
          </rPr>
          <t>선급금보험</t>
        </r>
        <r>
          <rPr>
            <sz val="9"/>
            <color indexed="81"/>
            <rFont val="Tahoma"/>
            <family val="2"/>
          </rPr>
          <t xml:space="preserve"> 101,780</t>
        </r>
      </text>
    </comment>
    <comment ref="D123" authorId="1" shapeId="0" xr:uid="{411A2492-A71D-4270-BFFC-60AF3C029FE6}">
      <text>
        <r>
          <rPr>
            <sz val="9"/>
            <color indexed="81"/>
            <rFont val="Tahoma"/>
            <family val="2"/>
          </rPr>
          <t xml:space="preserve">JHA </t>
        </r>
        <r>
          <rPr>
            <sz val="9"/>
            <color indexed="81"/>
            <rFont val="돋움"/>
            <family val="3"/>
            <charset val="129"/>
          </rPr>
          <t>비용</t>
        </r>
        <r>
          <rPr>
            <sz val="9"/>
            <color indexed="81"/>
            <rFont val="Tahoma"/>
            <family val="2"/>
          </rPr>
          <t xml:space="preserve"> TSG </t>
        </r>
        <r>
          <rPr>
            <sz val="9"/>
            <color indexed="81"/>
            <rFont val="돋움"/>
            <family val="3"/>
            <charset val="129"/>
          </rPr>
          <t>팀별로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안분</t>
        </r>
      </text>
    </comment>
    <comment ref="D125" authorId="1" shapeId="0" xr:uid="{D7AEE315-4BEB-4C47-B28A-CF0942291A2C}">
      <text>
        <r>
          <rPr>
            <sz val="9"/>
            <color indexed="81"/>
            <rFont val="돋움"/>
            <family val="3"/>
            <charset val="129"/>
          </rPr>
          <t>간접비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고정비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팀별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안분</t>
        </r>
      </text>
    </comment>
    <comment ref="D127" authorId="1" shapeId="0" xr:uid="{07BE3F92-D94F-4234-B1F4-DF48E5745A61}">
      <text>
        <r>
          <rPr>
            <sz val="9"/>
            <color indexed="81"/>
            <rFont val="Tahoma"/>
            <family val="2"/>
          </rPr>
          <t xml:space="preserve">ESCB </t>
        </r>
        <r>
          <rPr>
            <sz val="9"/>
            <color indexed="81"/>
            <rFont val="돋움"/>
            <family val="3"/>
            <charset val="129"/>
          </rPr>
          <t>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팀별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사용률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tc={2E0C9EE5-E2FA-413C-976D-47EAC67E6222}</author>
    <author>JS</author>
  </authors>
  <commentList>
    <comment ref="F24" authorId="0" shapeId="0" xr:uid="{2E0C9EE5-E2FA-413C-976D-47EAC67E622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FreshDesk: 1,846,000원+ 노션: 185,000원 +대한조선학회: 50,000원</t>
      </text>
    </comment>
    <comment ref="D123" authorId="1" shapeId="0" xr:uid="{593232E0-0FDC-4F54-988B-7A6AAC7EB6D4}">
      <text>
        <r>
          <rPr>
            <sz val="9"/>
            <color indexed="81"/>
            <rFont val="Tahoma"/>
            <family val="2"/>
          </rPr>
          <t xml:space="preserve">JHA </t>
        </r>
        <r>
          <rPr>
            <sz val="9"/>
            <color indexed="81"/>
            <rFont val="돋움"/>
            <family val="3"/>
            <charset val="129"/>
          </rPr>
          <t>비용</t>
        </r>
        <r>
          <rPr>
            <sz val="9"/>
            <color indexed="81"/>
            <rFont val="Tahoma"/>
            <family val="2"/>
          </rPr>
          <t xml:space="preserve"> TSG </t>
        </r>
        <r>
          <rPr>
            <sz val="9"/>
            <color indexed="81"/>
            <rFont val="돋움"/>
            <family val="3"/>
            <charset val="129"/>
          </rPr>
          <t>팀별로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안분</t>
        </r>
      </text>
    </comment>
    <comment ref="D125" authorId="1" shapeId="0" xr:uid="{BA6BA2CE-C1EA-4E39-8561-0CE0414F56CE}">
      <text>
        <r>
          <rPr>
            <sz val="9"/>
            <color indexed="81"/>
            <rFont val="돋움"/>
            <family val="3"/>
            <charset val="129"/>
          </rPr>
          <t>간접비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고정비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팀별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안분</t>
        </r>
      </text>
    </comment>
    <comment ref="D127" authorId="1" shapeId="0" xr:uid="{5B3546F8-5099-4FEE-AA60-AB81245F2BC8}">
      <text>
        <r>
          <rPr>
            <sz val="9"/>
            <color indexed="81"/>
            <rFont val="Tahoma"/>
            <family val="2"/>
          </rPr>
          <t xml:space="preserve">ESCB </t>
        </r>
        <r>
          <rPr>
            <sz val="9"/>
            <color indexed="81"/>
            <rFont val="돋움"/>
            <family val="3"/>
            <charset val="129"/>
          </rPr>
          <t>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팀별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사용률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JS</author>
  </authors>
  <commentList>
    <comment ref="D123" authorId="0" shapeId="0" xr:uid="{E8B7578E-58C8-437E-823E-F87F6AE048EC}">
      <text>
        <r>
          <rPr>
            <sz val="9"/>
            <color indexed="81"/>
            <rFont val="Tahoma"/>
            <family val="2"/>
          </rPr>
          <t xml:space="preserve">JHA </t>
        </r>
        <r>
          <rPr>
            <sz val="9"/>
            <color indexed="81"/>
            <rFont val="돋움"/>
            <family val="3"/>
            <charset val="129"/>
          </rPr>
          <t>비용</t>
        </r>
        <r>
          <rPr>
            <sz val="9"/>
            <color indexed="81"/>
            <rFont val="Tahoma"/>
            <family val="2"/>
          </rPr>
          <t xml:space="preserve"> TSG </t>
        </r>
        <r>
          <rPr>
            <sz val="9"/>
            <color indexed="81"/>
            <rFont val="돋움"/>
            <family val="3"/>
            <charset val="129"/>
          </rPr>
          <t>팀별로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안분</t>
        </r>
      </text>
    </comment>
    <comment ref="D125" authorId="0" shapeId="0" xr:uid="{4C3BF92E-3713-4220-8449-A1F0C39F4205}">
      <text>
        <r>
          <rPr>
            <sz val="9"/>
            <color indexed="81"/>
            <rFont val="돋움"/>
            <family val="3"/>
            <charset val="129"/>
          </rPr>
          <t>간접비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고정비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팀별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안분</t>
        </r>
      </text>
    </comment>
    <comment ref="D127" authorId="0" shapeId="0" xr:uid="{98D84A16-76D4-46C3-850A-7853DD56E6A2}">
      <text>
        <r>
          <rPr>
            <sz val="9"/>
            <color indexed="81"/>
            <rFont val="Tahoma"/>
            <family val="2"/>
          </rPr>
          <t xml:space="preserve">ESCB </t>
        </r>
        <r>
          <rPr>
            <sz val="9"/>
            <color indexed="81"/>
            <rFont val="돋움"/>
            <family val="3"/>
            <charset val="129"/>
          </rPr>
          <t>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팀별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사용률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JS</author>
  </authors>
  <commentList>
    <comment ref="C117" authorId="0" shapeId="0" xr:uid="{00000000-0006-0000-0900-000003000000}">
      <text>
        <r>
          <rPr>
            <sz val="9"/>
            <color indexed="81"/>
            <rFont val="돋움"/>
            <family val="3"/>
            <charset val="129"/>
          </rPr>
          <t>변동비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>고정비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이동내역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JS</author>
  </authors>
  <commentList>
    <comment ref="C117" authorId="0" shapeId="0" xr:uid="{00000000-0006-0000-0B00-000001000000}">
      <text>
        <r>
          <rPr>
            <sz val="9"/>
            <color indexed="81"/>
            <rFont val="돋움"/>
            <family val="3"/>
            <charset val="129"/>
          </rPr>
          <t>변동비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>고정비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이동내역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JS</author>
    <author>tc={17678C40-718C-455B-96E5-9EF2278DFBA1}</author>
    <author>tc={7215A132-CE71-4CC7-8B7F-E838011552F9}</author>
    <author>tc={B5653D8D-3D58-4241-A46E-C71F89C422C3}</author>
  </authors>
  <commentList>
    <comment ref="C71" authorId="0" shapeId="0" xr:uid="{00000000-0006-0000-0F00-000001000000}">
      <text>
        <r>
          <rPr>
            <b/>
            <sz val="9"/>
            <color indexed="81"/>
            <rFont val="돋움"/>
            <family val="3"/>
            <charset val="129"/>
          </rPr>
          <t>사내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행사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비용
</t>
        </r>
        <r>
          <rPr>
            <sz val="9"/>
            <color indexed="81"/>
            <rFont val="돋움"/>
            <family val="3"/>
            <charset val="129"/>
          </rPr>
          <t>워크샵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라온데이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</text>
    </comment>
    <comment ref="C72" authorId="0" shapeId="0" xr:uid="{00000000-0006-0000-0F00-000002000000}">
      <text>
        <r>
          <rPr>
            <b/>
            <sz val="9"/>
            <color indexed="81"/>
            <rFont val="돋움"/>
            <family val="3"/>
            <charset val="129"/>
          </rPr>
          <t>회사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마케팅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활동</t>
        </r>
        <r>
          <rPr>
            <sz val="9"/>
            <color indexed="81"/>
            <rFont val="돋움"/>
            <family val="3"/>
            <charset val="129"/>
          </rPr>
          <t xml:space="preserve">
브로슈어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소개자료</t>
        </r>
        <r>
          <rPr>
            <sz val="9"/>
            <color indexed="81"/>
            <rFont val="Tahoma"/>
            <family val="2"/>
          </rPr>
          <t xml:space="preserve">,
</t>
        </r>
        <r>
          <rPr>
            <sz val="9"/>
            <color indexed="81"/>
            <rFont val="돋움"/>
            <family val="3"/>
            <charset val="129"/>
          </rPr>
          <t>제품관련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고객증정품</t>
        </r>
        <r>
          <rPr>
            <sz val="9"/>
            <color indexed="81"/>
            <rFont val="Tahoma"/>
            <family val="2"/>
          </rPr>
          <t xml:space="preserve">,
</t>
        </r>
        <r>
          <rPr>
            <sz val="9"/>
            <color indexed="81"/>
            <rFont val="돋움"/>
            <family val="3"/>
            <charset val="129"/>
          </rPr>
          <t>로고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검색광고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</text>
    </comment>
    <comment ref="C77" authorId="0" shapeId="0" xr:uid="{00000000-0006-0000-0F00-000003000000}">
      <text>
        <r>
          <rPr>
            <b/>
            <sz val="9"/>
            <color indexed="81"/>
            <rFont val="돋움"/>
            <family val="3"/>
            <charset val="129"/>
          </rPr>
          <t>행사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관련
</t>
        </r>
        <r>
          <rPr>
            <sz val="9"/>
            <color indexed="81"/>
            <rFont val="돋움"/>
            <family val="3"/>
            <charset val="129"/>
          </rPr>
          <t>부스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운영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전시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
라온컨퍼런스
고객동반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워크샵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세미나</t>
        </r>
      </text>
    </comment>
    <comment ref="C78" authorId="0" shapeId="0" xr:uid="{00000000-0006-0000-0F00-000005000000}">
      <text>
        <r>
          <rPr>
            <sz val="9"/>
            <color indexed="81"/>
            <rFont val="돋움"/>
            <family val="3"/>
            <charset val="129"/>
          </rPr>
          <t>불특정다수 대상
sales와 관련없는 물품 제작 등</t>
        </r>
      </text>
    </comment>
    <comment ref="X90" authorId="1" shapeId="0" xr:uid="{17678C40-718C-455B-96E5-9EF2278DFBA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Microsoft365 Appsforbiz(26.1.1-10.31)</t>
      </text>
    </comment>
    <comment ref="C103" authorId="0" shapeId="0" xr:uid="{00000000-0006-0000-0F00-000008000000}">
      <text>
        <r>
          <rPr>
            <sz val="9"/>
            <color indexed="81"/>
            <rFont val="돋움"/>
            <family val="3"/>
            <charset val="129"/>
          </rPr>
          <t>노무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회계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컨설팅</t>
        </r>
      </text>
    </comment>
    <comment ref="X103" authorId="2" shapeId="0" xr:uid="{7215A132-CE71-4CC7-8B7F-E838011552F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위하고 170,000원+세무자문료200,000원</t>
      </text>
    </comment>
    <comment ref="C108" authorId="0" shapeId="0" xr:uid="{00000000-0006-0000-0F00-000009000000}">
      <text>
        <r>
          <rPr>
            <sz val="9"/>
            <color indexed="81"/>
            <rFont val="돋움"/>
            <family val="3"/>
            <charset val="129"/>
          </rPr>
          <t>지급수수료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법무수수료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X108" authorId="3" shapeId="0" xr:uid="{B5653D8D-3D58-4241-A46E-C71F89C422C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하이웍스:1,744,902원+ Freshdesk:1,846,000원+ 먼데이닷컴: 938,000원 + 줌:258,818원 + 대한조선학회 회비: 50,000원 + 노션: 184,800원 + SDT면접비: 30,000원 + 김진수GPT: 33,090원+ 송금수수료(Nanjing): 28,988원</t>
      </text>
    </comment>
    <comment ref="C113" authorId="0" shapeId="0" xr:uid="{00000000-0006-0000-0F00-00000A000000}">
      <text>
        <r>
          <rPr>
            <sz val="9"/>
            <color indexed="81"/>
            <rFont val="돋움"/>
            <family val="3"/>
            <charset val="129"/>
          </rPr>
          <t>환차손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잡손실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JS</author>
    <author>김경희</author>
  </authors>
  <commentList>
    <comment ref="U6" authorId="0" shapeId="0" xr:uid="{258B8500-7075-4440-AFF5-E0C12A153BC1}">
      <text>
        <r>
          <rPr>
            <sz val="9"/>
            <color indexed="81"/>
            <rFont val="Tahoma"/>
            <family val="2"/>
          </rPr>
          <t xml:space="preserve">CBD&gt;ESD </t>
        </r>
        <r>
          <rPr>
            <sz val="9"/>
            <color indexed="81"/>
            <rFont val="돋움"/>
            <family val="3"/>
            <charset val="129"/>
          </rPr>
          <t xml:space="preserve">매출조정
</t>
        </r>
        <r>
          <rPr>
            <sz val="9"/>
            <color indexed="81"/>
            <rFont val="Tahoma"/>
            <family val="2"/>
          </rPr>
          <t>2,000</t>
        </r>
        <r>
          <rPr>
            <sz val="9"/>
            <color indexed="81"/>
            <rFont val="돋움"/>
            <family val="3"/>
            <charset val="129"/>
          </rPr>
          <t>만원</t>
        </r>
      </text>
    </comment>
    <comment ref="U11" authorId="0" shapeId="0" xr:uid="{0C8FA09F-8C4D-4146-84A0-9D59A41931D0}">
      <text>
        <r>
          <rPr>
            <sz val="9"/>
            <color indexed="81"/>
            <rFont val="Tahoma"/>
            <family val="2"/>
          </rPr>
          <t xml:space="preserve">CBD&gt;ESD </t>
        </r>
        <r>
          <rPr>
            <sz val="9"/>
            <color indexed="81"/>
            <rFont val="돋움"/>
            <family val="3"/>
            <charset val="129"/>
          </rPr>
          <t xml:space="preserve">매출조정
</t>
        </r>
        <r>
          <rPr>
            <sz val="9"/>
            <color indexed="81"/>
            <rFont val="Tahoma"/>
            <family val="2"/>
          </rPr>
          <t>-2,000</t>
        </r>
        <r>
          <rPr>
            <sz val="9"/>
            <color indexed="81"/>
            <rFont val="돋움"/>
            <family val="3"/>
            <charset val="129"/>
          </rPr>
          <t>만원</t>
        </r>
      </text>
    </comment>
    <comment ref="X12" authorId="0" shapeId="0" xr:uid="{94850D8F-F6DD-4253-AEE4-8D26663F9F61}">
      <text>
        <r>
          <rPr>
            <sz val="9"/>
            <color indexed="81"/>
            <rFont val="돋움"/>
            <family val="3"/>
            <charset val="129"/>
          </rPr>
          <t>과제지원금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매출추가반영
</t>
        </r>
        <r>
          <rPr>
            <sz val="9"/>
            <color indexed="81"/>
            <rFont val="Tahoma"/>
            <family val="2"/>
          </rPr>
          <t>252,742,000</t>
        </r>
      </text>
    </comment>
    <comment ref="O13" authorId="1" shapeId="0" xr:uid="{07E4A4CF-8E7D-4531-B89C-82C9DE3BE54E}">
      <text>
        <r>
          <rPr>
            <sz val="9"/>
            <color indexed="81"/>
            <rFont val="돋움"/>
            <family val="3"/>
            <charset val="129"/>
          </rPr>
          <t>로이드매입반영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22" authorId="0" shapeId="0" xr:uid="{2EF649A3-446D-487D-B2BB-EB7E604F4656}">
      <text>
        <r>
          <rPr>
            <sz val="9"/>
            <color indexed="81"/>
            <rFont val="Tahoma"/>
            <family val="2"/>
          </rPr>
          <t>IITP</t>
        </r>
        <r>
          <rPr>
            <sz val="9"/>
            <color indexed="81"/>
            <rFont val="돋움"/>
            <family val="3"/>
            <charset val="129"/>
          </rPr>
          <t>과제매출이익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반영</t>
        </r>
      </text>
    </comment>
    <comment ref="N22" authorId="0" shapeId="0" xr:uid="{55DF378D-8425-4619-A815-5EE736145301}">
      <text>
        <r>
          <rPr>
            <sz val="9"/>
            <color indexed="81"/>
            <rFont val="Tahoma"/>
            <family val="2"/>
          </rPr>
          <t>IITP</t>
        </r>
        <r>
          <rPr>
            <sz val="9"/>
            <color indexed="81"/>
            <rFont val="돋움"/>
            <family val="3"/>
            <charset val="129"/>
          </rPr>
          <t>과제매출이익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반영</t>
        </r>
      </text>
    </comment>
    <comment ref="O22" authorId="0" shapeId="0" xr:uid="{5B96A462-8ACB-4F3A-8CE9-90C05EDA3CC6}">
      <text>
        <r>
          <rPr>
            <sz val="9"/>
            <color indexed="81"/>
            <rFont val="Tahoma"/>
            <family val="2"/>
          </rPr>
          <t>IITP</t>
        </r>
        <r>
          <rPr>
            <sz val="9"/>
            <color indexed="81"/>
            <rFont val="돋움"/>
            <family val="3"/>
            <charset val="129"/>
          </rPr>
          <t>과제매출이익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반영</t>
        </r>
      </text>
    </comment>
    <comment ref="W22" authorId="0" shapeId="0" xr:uid="{9BFB6C85-636E-479C-870A-4A132BB940EE}">
      <text>
        <r>
          <rPr>
            <sz val="9"/>
            <color indexed="81"/>
            <rFont val="돋움"/>
            <family val="3"/>
            <charset val="129"/>
          </rPr>
          <t>부서별 실적조정
CBD -2,996만원
ESD +2,996만원</t>
        </r>
      </text>
    </comment>
    <comment ref="X22" authorId="0" shapeId="0" xr:uid="{84C7D9C0-2A77-45D7-8270-79251ACEDB51}">
      <text>
        <r>
          <rPr>
            <sz val="9"/>
            <color indexed="81"/>
            <rFont val="돋움"/>
            <family val="3"/>
            <charset val="129"/>
          </rPr>
          <t>부서별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실적조정
</t>
        </r>
        <r>
          <rPr>
            <sz val="9"/>
            <color indexed="81"/>
            <rFont val="Tahoma"/>
            <family val="2"/>
          </rPr>
          <t>CBD -2,996</t>
        </r>
        <r>
          <rPr>
            <sz val="9"/>
            <color indexed="81"/>
            <rFont val="돋움"/>
            <family val="3"/>
            <charset val="129"/>
          </rPr>
          <t xml:space="preserve">만원
</t>
        </r>
        <r>
          <rPr>
            <sz val="9"/>
            <color indexed="81"/>
            <rFont val="Tahoma"/>
            <family val="2"/>
          </rPr>
          <t>ESD +2,996</t>
        </r>
        <r>
          <rPr>
            <sz val="9"/>
            <color indexed="81"/>
            <rFont val="돋움"/>
            <family val="3"/>
            <charset val="129"/>
          </rPr>
          <t>만원</t>
        </r>
      </text>
    </comment>
    <comment ref="W25" authorId="0" shapeId="0" xr:uid="{C77963D0-638F-4FAE-B16E-9F016292678A}">
      <text>
        <r>
          <rPr>
            <sz val="9"/>
            <color indexed="81"/>
            <rFont val="돋움"/>
            <family val="3"/>
            <charset val="129"/>
          </rPr>
          <t>부서별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실적조정
</t>
        </r>
        <r>
          <rPr>
            <sz val="9"/>
            <color indexed="81"/>
            <rFont val="Tahoma"/>
            <family val="2"/>
          </rPr>
          <t>CBD -2,996</t>
        </r>
        <r>
          <rPr>
            <sz val="9"/>
            <color indexed="81"/>
            <rFont val="돋움"/>
            <family val="3"/>
            <charset val="129"/>
          </rPr>
          <t xml:space="preserve">만원
</t>
        </r>
        <r>
          <rPr>
            <sz val="9"/>
            <color indexed="81"/>
            <rFont val="Tahoma"/>
            <family val="2"/>
          </rPr>
          <t>ESD +2,996</t>
        </r>
        <r>
          <rPr>
            <sz val="9"/>
            <color indexed="81"/>
            <rFont val="돋움"/>
            <family val="3"/>
            <charset val="129"/>
          </rPr>
          <t>만원</t>
        </r>
      </text>
    </comment>
    <comment ref="X25" authorId="0" shapeId="0" xr:uid="{D1275564-372C-46DD-8914-347EE35DB795}">
      <text>
        <r>
          <rPr>
            <sz val="9"/>
            <color indexed="81"/>
            <rFont val="돋움"/>
            <family val="3"/>
            <charset val="129"/>
          </rPr>
          <t>부서별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실적조정
</t>
        </r>
        <r>
          <rPr>
            <sz val="9"/>
            <color indexed="81"/>
            <rFont val="Tahoma"/>
            <family val="2"/>
          </rPr>
          <t>CBD -2,996</t>
        </r>
        <r>
          <rPr>
            <sz val="9"/>
            <color indexed="81"/>
            <rFont val="돋움"/>
            <family val="3"/>
            <charset val="129"/>
          </rPr>
          <t xml:space="preserve">만원
</t>
        </r>
        <r>
          <rPr>
            <sz val="9"/>
            <color indexed="81"/>
            <rFont val="Tahoma"/>
            <family val="2"/>
          </rPr>
          <t>ESD +2,996</t>
        </r>
        <r>
          <rPr>
            <sz val="9"/>
            <color indexed="81"/>
            <rFont val="돋움"/>
            <family val="3"/>
            <charset val="129"/>
          </rPr>
          <t>만원</t>
        </r>
      </text>
    </comment>
    <comment ref="B37" authorId="0" shapeId="0" xr:uid="{2D316C0B-8B5D-4487-9A39-7E629CE903D3}">
      <text>
        <r>
          <rPr>
            <sz val="9"/>
            <color indexed="81"/>
            <rFont val="돋움"/>
            <family val="3"/>
            <charset val="129"/>
          </rPr>
          <t>간접비</t>
        </r>
        <r>
          <rPr>
            <sz val="9"/>
            <color indexed="81"/>
            <rFont val="Tahoma"/>
            <family val="2"/>
          </rPr>
          <t>(F&amp;A,</t>
        </r>
        <r>
          <rPr>
            <sz val="9"/>
            <color indexed="81"/>
            <rFont val="돋움"/>
            <family val="3"/>
            <charset val="129"/>
          </rPr>
          <t>사장님</t>
        </r>
        <r>
          <rPr>
            <sz val="9"/>
            <color indexed="81"/>
            <rFont val="Tahoma"/>
            <family val="2"/>
          </rPr>
          <t>)+</t>
        </r>
        <r>
          <rPr>
            <sz val="9"/>
            <color indexed="81"/>
            <rFont val="돋움"/>
            <family val="3"/>
            <charset val="129"/>
          </rPr>
          <t>고정비를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해당부서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직접비용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비율로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안분하여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</t>
        </r>
      </text>
    </comment>
    <comment ref="J37" authorId="0" shapeId="0" xr:uid="{E0AA8624-AAA2-46AA-9B3A-C2D7A49EF764}">
      <text>
        <r>
          <rPr>
            <sz val="9"/>
            <color indexed="81"/>
            <rFont val="돋움"/>
            <family val="3"/>
            <charset val="129"/>
          </rPr>
          <t>간접비</t>
        </r>
        <r>
          <rPr>
            <sz val="9"/>
            <color indexed="81"/>
            <rFont val="Tahoma"/>
            <family val="2"/>
          </rPr>
          <t>(F&amp;A,</t>
        </r>
        <r>
          <rPr>
            <sz val="9"/>
            <color indexed="81"/>
            <rFont val="돋움"/>
            <family val="3"/>
            <charset val="129"/>
          </rPr>
          <t>사장님</t>
        </r>
        <r>
          <rPr>
            <sz val="9"/>
            <color indexed="81"/>
            <rFont val="Tahoma"/>
            <family val="2"/>
          </rPr>
          <t>)+</t>
        </r>
        <r>
          <rPr>
            <sz val="9"/>
            <color indexed="81"/>
            <rFont val="돋움"/>
            <family val="3"/>
            <charset val="129"/>
          </rPr>
          <t>고정비를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해당부서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직접비용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비율로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안분하여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</t>
        </r>
      </text>
    </comment>
    <comment ref="R37" authorId="0" shapeId="0" xr:uid="{44E4E54C-6CCB-49B9-B340-EDCCA94E39A2}">
      <text>
        <r>
          <rPr>
            <sz val="9"/>
            <color indexed="81"/>
            <rFont val="돋움"/>
            <family val="3"/>
            <charset val="129"/>
          </rPr>
          <t>간접비</t>
        </r>
        <r>
          <rPr>
            <sz val="9"/>
            <color indexed="81"/>
            <rFont val="Tahoma"/>
            <family val="2"/>
          </rPr>
          <t>(F&amp;A,</t>
        </r>
        <r>
          <rPr>
            <sz val="9"/>
            <color indexed="81"/>
            <rFont val="돋움"/>
            <family val="3"/>
            <charset val="129"/>
          </rPr>
          <t>사장님</t>
        </r>
        <r>
          <rPr>
            <sz val="9"/>
            <color indexed="81"/>
            <rFont val="Tahoma"/>
            <family val="2"/>
          </rPr>
          <t>)+</t>
        </r>
        <r>
          <rPr>
            <sz val="9"/>
            <color indexed="81"/>
            <rFont val="돋움"/>
            <family val="3"/>
            <charset val="129"/>
          </rPr>
          <t>고정비를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해당부서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직접비용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비율로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안분하여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</t>
        </r>
      </text>
    </comment>
    <comment ref="Z37" authorId="0" shapeId="0" xr:uid="{AA5F2A3E-1846-4BFC-8E12-DD114E8F4219}">
      <text>
        <r>
          <rPr>
            <sz val="9"/>
            <color indexed="81"/>
            <rFont val="돋움"/>
            <family val="3"/>
            <charset val="129"/>
          </rPr>
          <t>간접비</t>
        </r>
        <r>
          <rPr>
            <sz val="9"/>
            <color indexed="81"/>
            <rFont val="Tahoma"/>
            <family val="2"/>
          </rPr>
          <t>(F&amp;A,</t>
        </r>
        <r>
          <rPr>
            <sz val="9"/>
            <color indexed="81"/>
            <rFont val="돋움"/>
            <family val="3"/>
            <charset val="129"/>
          </rPr>
          <t>사장님</t>
        </r>
        <r>
          <rPr>
            <sz val="9"/>
            <color indexed="81"/>
            <rFont val="Tahoma"/>
            <family val="2"/>
          </rPr>
          <t>)+</t>
        </r>
        <r>
          <rPr>
            <sz val="9"/>
            <color indexed="81"/>
            <rFont val="돋움"/>
            <family val="3"/>
            <charset val="129"/>
          </rPr>
          <t>고정비를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해당부서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직접비용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비율로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안분하여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</t>
        </r>
      </text>
    </comment>
  </commentList>
</comments>
</file>

<file path=xl/sharedStrings.xml><?xml version="1.0" encoding="utf-8"?>
<sst xmlns="http://schemas.openxmlformats.org/spreadsheetml/2006/main" count="2831" uniqueCount="340">
  <si>
    <t>Total Salary &amp; Wages</t>
  </si>
  <si>
    <t>Total Benefits</t>
  </si>
  <si>
    <t>Total Compensation &amp; Benefits</t>
  </si>
  <si>
    <t>Unfunded Consulting Expenses</t>
  </si>
  <si>
    <t>Total Travel &amp; Entertainment</t>
  </si>
  <si>
    <t>Product Marketing</t>
  </si>
  <si>
    <t>Total Product Marketing</t>
  </si>
  <si>
    <t>Sales Activities</t>
  </si>
  <si>
    <t>Sales Promotions</t>
  </si>
  <si>
    <t>Other Sales Activities</t>
  </si>
  <si>
    <t>Total Sales Activities</t>
  </si>
  <si>
    <t>TOTAL CONTROLLABLE EXP.</t>
  </si>
  <si>
    <t>FIXED EXPENSE</t>
  </si>
  <si>
    <t>Facility &amp; Equipment</t>
  </si>
  <si>
    <t>Total Facility Expense</t>
  </si>
  <si>
    <t>Total Software License for Internal Use</t>
  </si>
  <si>
    <t>Office Expense</t>
  </si>
  <si>
    <t>Total Office Expense</t>
  </si>
  <si>
    <t>Business Expense</t>
  </si>
  <si>
    <t>Total Business Expense</t>
  </si>
  <si>
    <t>Other Operating Expense</t>
  </si>
  <si>
    <t>Total Other Operating Expense</t>
  </si>
  <si>
    <t>TOTAL FIXED EXPENSE</t>
  </si>
  <si>
    <t>Total Expense</t>
  </si>
  <si>
    <t>Actual</t>
    <phoneticPr fontId="9" type="noConversion"/>
  </si>
  <si>
    <t>Total</t>
    <phoneticPr fontId="9" type="noConversion"/>
  </si>
  <si>
    <t>기타</t>
    <phoneticPr fontId="9" type="noConversion"/>
  </si>
  <si>
    <t>직원급여</t>
    <phoneticPr fontId="9" type="noConversion"/>
  </si>
  <si>
    <t>차량유지비</t>
    <phoneticPr fontId="9" type="noConversion"/>
  </si>
  <si>
    <t>은행수수료</t>
    <phoneticPr fontId="9" type="noConversion"/>
  </si>
  <si>
    <t>국민연금</t>
    <phoneticPr fontId="9" type="noConversion"/>
  </si>
  <si>
    <t>건강보험</t>
    <phoneticPr fontId="9" type="noConversion"/>
  </si>
  <si>
    <t>고용보험</t>
    <phoneticPr fontId="9" type="noConversion"/>
  </si>
  <si>
    <t>세금과공과</t>
    <phoneticPr fontId="9" type="noConversion"/>
  </si>
  <si>
    <t>교육지원비</t>
    <phoneticPr fontId="9" type="noConversion"/>
  </si>
  <si>
    <t>해외출장비</t>
    <phoneticPr fontId="9" type="noConversion"/>
  </si>
  <si>
    <t>접대비</t>
    <phoneticPr fontId="9" type="noConversion"/>
  </si>
  <si>
    <t>Salary &amp; Wages</t>
    <phoneticPr fontId="9" type="noConversion"/>
  </si>
  <si>
    <t>Benefits</t>
    <phoneticPr fontId="9" type="noConversion"/>
  </si>
  <si>
    <t>Travel &amp; Entertainment</t>
    <phoneticPr fontId="9" type="noConversion"/>
  </si>
  <si>
    <t>고객교육훈련비</t>
    <phoneticPr fontId="9" type="noConversion"/>
  </si>
  <si>
    <t>전화요금</t>
    <phoneticPr fontId="9" type="noConversion"/>
  </si>
  <si>
    <t>도서인쇄비</t>
    <phoneticPr fontId="9" type="noConversion"/>
  </si>
  <si>
    <t>사무용품비</t>
    <phoneticPr fontId="9" type="noConversion"/>
  </si>
  <si>
    <t>우편료</t>
    <phoneticPr fontId="9" type="noConversion"/>
  </si>
  <si>
    <t>세무감사료</t>
    <phoneticPr fontId="9" type="noConversion"/>
  </si>
  <si>
    <t>보증보험</t>
    <phoneticPr fontId="9" type="noConversion"/>
  </si>
  <si>
    <t>행사비</t>
    <phoneticPr fontId="9" type="noConversion"/>
  </si>
  <si>
    <t>마케팅</t>
    <phoneticPr fontId="9" type="noConversion"/>
  </si>
  <si>
    <t xml:space="preserve">CONTROLLABLE EXPENSE </t>
    <phoneticPr fontId="9" type="noConversion"/>
  </si>
  <si>
    <t>수선비</t>
    <phoneticPr fontId="9" type="noConversion"/>
  </si>
  <si>
    <t>운반비</t>
    <phoneticPr fontId="9" type="noConversion"/>
  </si>
  <si>
    <t>회의비</t>
    <phoneticPr fontId="9" type="noConversion"/>
  </si>
  <si>
    <t>소모품비</t>
    <phoneticPr fontId="9" type="noConversion"/>
  </si>
  <si>
    <t>경조사</t>
    <phoneticPr fontId="9" type="noConversion"/>
  </si>
  <si>
    <t>기타-연차</t>
    <phoneticPr fontId="9" type="noConversion"/>
  </si>
  <si>
    <t>야근식대</t>
    <phoneticPr fontId="9" type="noConversion"/>
  </si>
  <si>
    <t>회식대</t>
    <phoneticPr fontId="9" type="noConversion"/>
  </si>
  <si>
    <t>여비교통비(출장일비)</t>
    <phoneticPr fontId="9" type="noConversion"/>
  </si>
  <si>
    <t>여비교통비(출장식대)</t>
    <phoneticPr fontId="9" type="noConversion"/>
  </si>
  <si>
    <t>여비교통비(통행,주차)</t>
    <phoneticPr fontId="9" type="noConversion"/>
  </si>
  <si>
    <t>여비교통비(항공,고속버스등)</t>
    <phoneticPr fontId="9" type="noConversion"/>
  </si>
  <si>
    <t>여비교통비(숙박)</t>
    <phoneticPr fontId="9" type="noConversion"/>
  </si>
  <si>
    <t>이자비용</t>
    <phoneticPr fontId="9" type="noConversion"/>
  </si>
  <si>
    <t>건강검진</t>
    <phoneticPr fontId="9" type="noConversion"/>
  </si>
  <si>
    <t>직원상해보험</t>
    <phoneticPr fontId="9" type="noConversion"/>
  </si>
  <si>
    <t>사무실-임차료</t>
    <phoneticPr fontId="9" type="noConversion"/>
  </si>
  <si>
    <t>사무실-관리비</t>
    <phoneticPr fontId="9" type="noConversion"/>
  </si>
  <si>
    <t>기술고문료</t>
    <phoneticPr fontId="9" type="noConversion"/>
  </si>
  <si>
    <r>
      <t>1</t>
    </r>
    <r>
      <rPr>
        <b/>
        <sz val="10"/>
        <color indexed="9"/>
        <rFont val="돋움"/>
        <family val="3"/>
        <charset val="129"/>
      </rPr>
      <t>월</t>
    </r>
    <phoneticPr fontId="9" type="noConversion"/>
  </si>
  <si>
    <r>
      <t>2</t>
    </r>
    <r>
      <rPr>
        <b/>
        <sz val="10"/>
        <color indexed="9"/>
        <rFont val="돋움"/>
        <family val="3"/>
        <charset val="129"/>
      </rPr>
      <t>월</t>
    </r>
    <phoneticPr fontId="9" type="noConversion"/>
  </si>
  <si>
    <r>
      <t>3</t>
    </r>
    <r>
      <rPr>
        <b/>
        <sz val="10"/>
        <color indexed="9"/>
        <rFont val="돋움"/>
        <family val="3"/>
        <charset val="129"/>
      </rPr>
      <t>월</t>
    </r>
    <phoneticPr fontId="9" type="noConversion"/>
  </si>
  <si>
    <t>Q1</t>
    <phoneticPr fontId="9" type="noConversion"/>
  </si>
  <si>
    <t>특별상여</t>
    <phoneticPr fontId="9" type="noConversion"/>
  </si>
  <si>
    <r>
      <t>4</t>
    </r>
    <r>
      <rPr>
        <b/>
        <sz val="10"/>
        <color indexed="9"/>
        <rFont val="돋움"/>
        <family val="3"/>
        <charset val="129"/>
      </rPr>
      <t>월</t>
    </r>
    <phoneticPr fontId="9" type="noConversion"/>
  </si>
  <si>
    <r>
      <t>5</t>
    </r>
    <r>
      <rPr>
        <b/>
        <sz val="10"/>
        <color indexed="9"/>
        <rFont val="돋움"/>
        <family val="3"/>
        <charset val="129"/>
      </rPr>
      <t>월</t>
    </r>
    <phoneticPr fontId="9" type="noConversion"/>
  </si>
  <si>
    <r>
      <t>6</t>
    </r>
    <r>
      <rPr>
        <b/>
        <sz val="10"/>
        <color indexed="9"/>
        <rFont val="돋움"/>
        <family val="3"/>
        <charset val="129"/>
      </rPr>
      <t>월</t>
    </r>
    <phoneticPr fontId="9" type="noConversion"/>
  </si>
  <si>
    <t>Q2</t>
    <phoneticPr fontId="9" type="noConversion"/>
  </si>
  <si>
    <t>여비교통비(잡비)</t>
    <phoneticPr fontId="9" type="noConversion"/>
  </si>
  <si>
    <r>
      <t>6</t>
    </r>
    <r>
      <rPr>
        <b/>
        <sz val="10"/>
        <color indexed="9"/>
        <rFont val="돋움"/>
        <family val="3"/>
        <charset val="129"/>
      </rPr>
      <t>월</t>
    </r>
    <phoneticPr fontId="9" type="noConversion"/>
  </si>
  <si>
    <r>
      <t>7</t>
    </r>
    <r>
      <rPr>
        <b/>
        <sz val="10"/>
        <color indexed="9"/>
        <rFont val="돋움"/>
        <family val="3"/>
        <charset val="129"/>
      </rPr>
      <t>월</t>
    </r>
    <phoneticPr fontId="9" type="noConversion"/>
  </si>
  <si>
    <r>
      <t>8</t>
    </r>
    <r>
      <rPr>
        <b/>
        <sz val="10"/>
        <color indexed="9"/>
        <rFont val="돋움"/>
        <family val="3"/>
        <charset val="129"/>
      </rPr>
      <t>월</t>
    </r>
    <phoneticPr fontId="9" type="noConversion"/>
  </si>
  <si>
    <r>
      <t>9</t>
    </r>
    <r>
      <rPr>
        <b/>
        <sz val="10"/>
        <color indexed="9"/>
        <rFont val="돋움"/>
        <family val="3"/>
        <charset val="129"/>
      </rPr>
      <t>월</t>
    </r>
    <phoneticPr fontId="9" type="noConversion"/>
  </si>
  <si>
    <t>Q3</t>
    <phoneticPr fontId="9" type="noConversion"/>
  </si>
  <si>
    <r>
      <t>8</t>
    </r>
    <r>
      <rPr>
        <b/>
        <sz val="10"/>
        <color indexed="9"/>
        <rFont val="돋움"/>
        <family val="3"/>
        <charset val="129"/>
      </rPr>
      <t>월</t>
    </r>
    <phoneticPr fontId="9" type="noConversion"/>
  </si>
  <si>
    <r>
      <t>9</t>
    </r>
    <r>
      <rPr>
        <b/>
        <sz val="10"/>
        <color indexed="9"/>
        <rFont val="돋움"/>
        <family val="3"/>
        <charset val="129"/>
      </rPr>
      <t>월</t>
    </r>
    <phoneticPr fontId="9" type="noConversion"/>
  </si>
  <si>
    <t xml:space="preserve"> </t>
    <phoneticPr fontId="9" type="noConversion"/>
  </si>
  <si>
    <t xml:space="preserve"> </t>
    <phoneticPr fontId="8" type="noConversion"/>
  </si>
  <si>
    <r>
      <t>10</t>
    </r>
    <r>
      <rPr>
        <b/>
        <sz val="10"/>
        <color indexed="9"/>
        <rFont val="돋움"/>
        <family val="3"/>
        <charset val="129"/>
      </rPr>
      <t>월</t>
    </r>
    <phoneticPr fontId="9" type="noConversion"/>
  </si>
  <si>
    <t>Q4</t>
    <phoneticPr fontId="9" type="noConversion"/>
  </si>
  <si>
    <r>
      <t>10</t>
    </r>
    <r>
      <rPr>
        <b/>
        <sz val="10"/>
        <color indexed="9"/>
        <rFont val="돋움"/>
        <family val="3"/>
        <charset val="129"/>
      </rPr>
      <t>월</t>
    </r>
    <phoneticPr fontId="9" type="noConversion"/>
  </si>
  <si>
    <r>
      <t>11</t>
    </r>
    <r>
      <rPr>
        <b/>
        <sz val="10"/>
        <color indexed="9"/>
        <rFont val="돋움"/>
        <family val="3"/>
        <charset val="129"/>
      </rPr>
      <t>월</t>
    </r>
    <phoneticPr fontId="9" type="noConversion"/>
  </si>
  <si>
    <r>
      <t>12</t>
    </r>
    <r>
      <rPr>
        <b/>
        <sz val="10"/>
        <color indexed="9"/>
        <rFont val="돋움"/>
        <family val="3"/>
        <charset val="129"/>
      </rPr>
      <t>월</t>
    </r>
    <phoneticPr fontId="9" type="noConversion"/>
  </si>
  <si>
    <t>Q4</t>
    <phoneticPr fontId="9" type="noConversion"/>
  </si>
  <si>
    <t>홈페이지관리외</t>
    <phoneticPr fontId="9" type="noConversion"/>
  </si>
  <si>
    <t>환차손</t>
    <phoneticPr fontId="9" type="noConversion"/>
  </si>
  <si>
    <t>퇴직급여</t>
    <phoneticPr fontId="9" type="noConversion"/>
  </si>
  <si>
    <t>balance</t>
  </si>
  <si>
    <t>산재보험</t>
    <phoneticPr fontId="9" type="noConversion"/>
  </si>
  <si>
    <t>시설물 감가상각</t>
    <phoneticPr fontId="9" type="noConversion"/>
  </si>
  <si>
    <t>비품 감가상각</t>
    <phoneticPr fontId="9" type="noConversion"/>
  </si>
  <si>
    <t>기계설비 임차료</t>
    <phoneticPr fontId="9" type="noConversion"/>
  </si>
  <si>
    <r>
      <t>직접비는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부산사무소와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분당사무소를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구분하여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해당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비용을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반영한다</t>
    </r>
    <r>
      <rPr>
        <sz val="10"/>
        <rFont val="Arial"/>
        <family val="2"/>
      </rPr>
      <t>. (</t>
    </r>
    <r>
      <rPr>
        <sz val="10"/>
        <rFont val="돋움"/>
        <family val="3"/>
        <charset val="129"/>
      </rPr>
      <t>비품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등</t>
    </r>
    <r>
      <rPr>
        <sz val="10"/>
        <rFont val="Arial"/>
        <family val="2"/>
      </rPr>
      <t xml:space="preserve">) </t>
    </r>
    <phoneticPr fontId="8" type="noConversion"/>
  </si>
  <si>
    <r>
      <t>분당사무실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전체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소요경비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중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해당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팀별로</t>
    </r>
    <r>
      <rPr>
        <sz val="10"/>
        <rFont val="Arial"/>
        <family val="2"/>
      </rPr>
      <t xml:space="preserve"> Salary </t>
    </r>
    <r>
      <rPr>
        <sz val="10"/>
        <rFont val="돋움"/>
        <family val="3"/>
        <charset val="129"/>
      </rPr>
      <t>기준으로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비용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할당한다</t>
    </r>
    <r>
      <rPr>
        <sz val="10"/>
        <rFont val="Arial"/>
        <family val="2"/>
      </rPr>
      <t xml:space="preserve"> </t>
    </r>
    <phoneticPr fontId="8" type="noConversion"/>
  </si>
  <si>
    <t xml:space="preserve">간접비는 팀별 Salary 기준으로 나뉘어진 비율로 배분한다. </t>
    <phoneticPr fontId="8" type="noConversion"/>
  </si>
  <si>
    <t>기타_프로그램임차</t>
    <phoneticPr fontId="9" type="noConversion"/>
  </si>
  <si>
    <t>잡이익</t>
    <phoneticPr fontId="8" type="noConversion"/>
  </si>
  <si>
    <t>연금보험료</t>
    <phoneticPr fontId="8" type="noConversion"/>
  </si>
  <si>
    <t>건강보험료</t>
    <phoneticPr fontId="8" type="noConversion"/>
  </si>
  <si>
    <t>고용보험료</t>
    <phoneticPr fontId="8" type="noConversion"/>
  </si>
  <si>
    <t>산재보험료</t>
    <phoneticPr fontId="8" type="noConversion"/>
  </si>
  <si>
    <t>보험료-차량+여행자</t>
    <phoneticPr fontId="9" type="noConversion"/>
  </si>
  <si>
    <t>통신비(핸드폰)</t>
    <phoneticPr fontId="9" type="noConversion"/>
  </si>
  <si>
    <t>기타</t>
    <phoneticPr fontId="9" type="noConversion"/>
  </si>
  <si>
    <t>사무실관리비</t>
    <phoneticPr fontId="9" type="noConversion"/>
  </si>
  <si>
    <t>계약직근로 시급</t>
    <phoneticPr fontId="9" type="noConversion"/>
  </si>
  <si>
    <t>통신비(휴대폰)</t>
    <phoneticPr fontId="8" type="noConversion"/>
  </si>
  <si>
    <t>계약직근로 시급</t>
    <phoneticPr fontId="8" type="noConversion"/>
  </si>
  <si>
    <t>여비교통비(차량지원)</t>
    <phoneticPr fontId="9" type="noConversion"/>
  </si>
  <si>
    <t>체력단련비</t>
    <phoneticPr fontId="9" type="noConversion"/>
  </si>
  <si>
    <t>체력단련비</t>
    <phoneticPr fontId="8" type="noConversion"/>
  </si>
  <si>
    <t xml:space="preserve"> </t>
    <phoneticPr fontId="9" type="noConversion"/>
  </si>
  <si>
    <t>2019 fcst</t>
    <phoneticPr fontId="8" type="noConversion"/>
  </si>
  <si>
    <t>차액</t>
    <phoneticPr fontId="8" type="noConversion"/>
  </si>
  <si>
    <t>Q4 fcst</t>
    <phoneticPr fontId="8" type="noConversion"/>
  </si>
  <si>
    <t>비품감가상각</t>
    <phoneticPr fontId="8" type="noConversion"/>
  </si>
  <si>
    <t>고객교육훈련</t>
    <phoneticPr fontId="8" type="noConversion"/>
  </si>
  <si>
    <t>광고선전비</t>
    <phoneticPr fontId="8" type="noConversion"/>
  </si>
  <si>
    <t>세금과공과</t>
    <phoneticPr fontId="8" type="noConversion"/>
  </si>
  <si>
    <t>접대비</t>
    <phoneticPr fontId="8" type="noConversion"/>
  </si>
  <si>
    <t>국내출장비</t>
    <phoneticPr fontId="8" type="noConversion"/>
  </si>
  <si>
    <t>해외출장비</t>
    <phoneticPr fontId="8" type="noConversion"/>
  </si>
  <si>
    <t>회식비</t>
    <phoneticPr fontId="8" type="noConversion"/>
  </si>
  <si>
    <t>체력단련비</t>
    <phoneticPr fontId="8" type="noConversion"/>
  </si>
  <si>
    <t>퇴직충당금</t>
    <phoneticPr fontId="8" type="noConversion"/>
  </si>
  <si>
    <t>고용보험료</t>
    <phoneticPr fontId="8" type="noConversion"/>
  </si>
  <si>
    <t>산재보험료</t>
    <phoneticPr fontId="8" type="noConversion"/>
  </si>
  <si>
    <t>야식비</t>
    <phoneticPr fontId="8" type="noConversion"/>
  </si>
  <si>
    <t>경조사비</t>
    <phoneticPr fontId="8" type="noConversion"/>
  </si>
  <si>
    <t>교육훈련비</t>
    <phoneticPr fontId="8" type="noConversion"/>
  </si>
  <si>
    <r>
      <t>Q4</t>
    </r>
    <r>
      <rPr>
        <b/>
        <sz val="10"/>
        <rFont val="맑은 고딕"/>
        <family val="3"/>
        <charset val="129"/>
      </rPr>
      <t>예산</t>
    </r>
    <phoneticPr fontId="8" type="noConversion"/>
  </si>
  <si>
    <t xml:space="preserve"> </t>
    <phoneticPr fontId="8" type="noConversion"/>
  </si>
  <si>
    <t>12월예산</t>
    <phoneticPr fontId="8" type="noConversion"/>
  </si>
  <si>
    <t>2019.12.30</t>
    <phoneticPr fontId="8" type="noConversion"/>
  </si>
  <si>
    <t>12월fcst-12.30</t>
    <phoneticPr fontId="8" type="noConversion"/>
  </si>
  <si>
    <t>Q4예산-12.30</t>
    <phoneticPr fontId="8" type="noConversion"/>
  </si>
  <si>
    <t xml:space="preserve"> </t>
    <phoneticPr fontId="8" type="noConversion"/>
  </si>
  <si>
    <r>
      <t>12</t>
    </r>
    <r>
      <rPr>
        <sz val="10"/>
        <rFont val="맑은 고딕"/>
        <family val="3"/>
        <charset val="129"/>
      </rPr>
      <t>월</t>
    </r>
    <r>
      <rPr>
        <sz val="10"/>
        <rFont val="돋움"/>
        <family val="2"/>
        <charset val="129"/>
      </rPr>
      <t xml:space="preserve"> 경비</t>
    </r>
    <phoneticPr fontId="8" type="noConversion"/>
  </si>
  <si>
    <t>예산-경비</t>
    <phoneticPr fontId="8" type="noConversion"/>
  </si>
  <si>
    <t>FY2019예산</t>
    <phoneticPr fontId="8" type="noConversion"/>
  </si>
  <si>
    <t>FY2019비용</t>
    <phoneticPr fontId="8" type="noConversion"/>
  </si>
  <si>
    <t>예산-비용</t>
    <phoneticPr fontId="8" type="noConversion"/>
  </si>
  <si>
    <t>이자비용</t>
    <phoneticPr fontId="8" type="noConversion"/>
  </si>
  <si>
    <t>법인세등</t>
    <phoneticPr fontId="9" type="noConversion"/>
  </si>
  <si>
    <t>이자비용</t>
    <phoneticPr fontId="9" type="noConversion"/>
  </si>
  <si>
    <t>이자비용</t>
    <phoneticPr fontId="8" type="noConversion"/>
  </si>
  <si>
    <t>FNA</t>
    <phoneticPr fontId="8" type="noConversion"/>
  </si>
  <si>
    <t>여비교통비(국책과제_연구활동비)</t>
    <phoneticPr fontId="9" type="noConversion"/>
  </si>
  <si>
    <t xml:space="preserve"> </t>
    <phoneticPr fontId="8" type="noConversion"/>
  </si>
  <si>
    <r>
      <t>매</t>
    </r>
    <r>
      <rPr>
        <b/>
        <sz val="10"/>
        <rFont val="Arial"/>
        <family val="2"/>
      </rPr>
      <t xml:space="preserve">               </t>
    </r>
    <r>
      <rPr>
        <b/>
        <sz val="10"/>
        <rFont val="돋움"/>
        <family val="3"/>
        <charset val="129"/>
      </rPr>
      <t>출</t>
    </r>
  </si>
  <si>
    <t>Solution Business</t>
    <phoneticPr fontId="41" type="noConversion"/>
  </si>
  <si>
    <t>Lease</t>
  </si>
  <si>
    <t>E&amp;S</t>
  </si>
  <si>
    <t>Paid-up</t>
  </si>
  <si>
    <t>기타_HW Transfer</t>
    <phoneticPr fontId="41" type="noConversion"/>
  </si>
  <si>
    <t>Seminar/Training</t>
    <phoneticPr fontId="41" type="noConversion"/>
  </si>
  <si>
    <t>Service</t>
    <phoneticPr fontId="41" type="noConversion"/>
  </si>
  <si>
    <r>
      <t>매</t>
    </r>
    <r>
      <rPr>
        <b/>
        <sz val="10"/>
        <rFont val="Arial"/>
        <family val="2"/>
      </rPr>
      <t xml:space="preserve">  </t>
    </r>
    <r>
      <rPr>
        <b/>
        <sz val="10"/>
        <rFont val="돋움"/>
        <family val="3"/>
        <charset val="129"/>
      </rPr>
      <t>출</t>
    </r>
    <r>
      <rPr>
        <b/>
        <sz val="10"/>
        <rFont val="Arial"/>
        <family val="2"/>
      </rPr>
      <t xml:space="preserve">  </t>
    </r>
    <r>
      <rPr>
        <b/>
        <sz val="10"/>
        <rFont val="돋움"/>
        <family val="3"/>
        <charset val="129"/>
      </rPr>
      <t>합</t>
    </r>
    <r>
      <rPr>
        <b/>
        <sz val="10"/>
        <rFont val="Arial"/>
        <family val="2"/>
      </rPr>
      <t xml:space="preserve">  </t>
    </r>
    <r>
      <rPr>
        <b/>
        <sz val="10"/>
        <rFont val="돋움"/>
        <family val="3"/>
        <charset val="129"/>
      </rPr>
      <t>계</t>
    </r>
  </si>
  <si>
    <t>매 출 원 가</t>
  </si>
  <si>
    <t>Royalty</t>
  </si>
  <si>
    <t>MSC Software</t>
  </si>
  <si>
    <t>Altair Software</t>
    <phoneticPr fontId="41" type="noConversion"/>
  </si>
  <si>
    <t>SVD Software</t>
    <phoneticPr fontId="41" type="noConversion"/>
  </si>
  <si>
    <r>
      <t>TSV+KTM+</t>
    </r>
    <r>
      <rPr>
        <sz val="10"/>
        <rFont val="돋움"/>
        <family val="3"/>
        <charset val="129"/>
      </rPr>
      <t>그외</t>
    </r>
    <phoneticPr fontId="41" type="noConversion"/>
  </si>
  <si>
    <t>기타_System</t>
    <phoneticPr fontId="41" type="noConversion"/>
  </si>
  <si>
    <t>Outside Consultant</t>
  </si>
  <si>
    <t>Finder commission</t>
  </si>
  <si>
    <t>매 출 원 가 합 계</t>
  </si>
  <si>
    <t>매 출 이 익 (%)</t>
  </si>
  <si>
    <r>
      <t>총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매출이익</t>
    </r>
  </si>
  <si>
    <t>총매출이익률</t>
  </si>
  <si>
    <t>경 상 이 익</t>
    <phoneticPr fontId="9" type="noConversion"/>
  </si>
  <si>
    <t>팀별 경상이익</t>
    <phoneticPr fontId="9" type="noConversion"/>
  </si>
  <si>
    <t>보증보험+세금과공과</t>
    <phoneticPr fontId="41" type="noConversion"/>
  </si>
  <si>
    <t>지급수수료_기타+임차료</t>
    <phoneticPr fontId="41" type="noConversion"/>
  </si>
  <si>
    <t>1월</t>
    <phoneticPr fontId="41" type="noConversion"/>
  </si>
  <si>
    <t xml:space="preserve"> </t>
    <phoneticPr fontId="41" type="noConversion"/>
  </si>
  <si>
    <t>Q1</t>
    <phoneticPr fontId="41" type="noConversion"/>
  </si>
  <si>
    <t>4월</t>
    <phoneticPr fontId="41" type="noConversion"/>
  </si>
  <si>
    <t>5월</t>
    <phoneticPr fontId="41" type="noConversion"/>
  </si>
  <si>
    <t>6월</t>
    <phoneticPr fontId="41" type="noConversion"/>
  </si>
  <si>
    <t>Q2</t>
    <phoneticPr fontId="41" type="noConversion"/>
  </si>
  <si>
    <t>7월</t>
    <phoneticPr fontId="41" type="noConversion"/>
  </si>
  <si>
    <t>8월</t>
    <phoneticPr fontId="41" type="noConversion"/>
  </si>
  <si>
    <t>9월</t>
    <phoneticPr fontId="41" type="noConversion"/>
  </si>
  <si>
    <t>Q3</t>
    <phoneticPr fontId="41" type="noConversion"/>
  </si>
  <si>
    <t>10월</t>
    <phoneticPr fontId="41" type="noConversion"/>
  </si>
  <si>
    <t>11월</t>
    <phoneticPr fontId="41" type="noConversion"/>
  </si>
  <si>
    <t>12월</t>
    <phoneticPr fontId="41" type="noConversion"/>
  </si>
  <si>
    <t>Q4</t>
    <phoneticPr fontId="41" type="noConversion"/>
  </si>
  <si>
    <t>TOTAL</t>
    <phoneticPr fontId="41" type="noConversion"/>
  </si>
  <si>
    <t>2월</t>
    <phoneticPr fontId="41" type="noConversion"/>
  </si>
  <si>
    <t>3월</t>
    <phoneticPr fontId="41" type="noConversion"/>
  </si>
  <si>
    <t>S/W+H/W 감가상각</t>
    <phoneticPr fontId="41" type="noConversion"/>
  </si>
  <si>
    <t>직접 고정비</t>
    <phoneticPr fontId="8" type="noConversion"/>
  </si>
  <si>
    <t>SBLEE</t>
    <phoneticPr fontId="8" type="noConversion"/>
  </si>
  <si>
    <t>JHAHN</t>
    <phoneticPr fontId="8" type="noConversion"/>
  </si>
  <si>
    <t>간접비+고정비</t>
    <phoneticPr fontId="9" type="noConversion"/>
  </si>
  <si>
    <t>합계</t>
    <phoneticPr fontId="9" type="noConversion"/>
  </si>
  <si>
    <t>%</t>
    <phoneticPr fontId="9" type="noConversion"/>
  </si>
  <si>
    <t>직접 변동비</t>
    <phoneticPr fontId="8" type="noConversion"/>
  </si>
  <si>
    <t>원가 반영</t>
    <phoneticPr fontId="8" type="noConversion"/>
  </si>
  <si>
    <t>구분</t>
    <phoneticPr fontId="8" type="noConversion"/>
  </si>
  <si>
    <t>팀명</t>
    <phoneticPr fontId="8" type="noConversion"/>
  </si>
  <si>
    <t>매출</t>
    <phoneticPr fontId="8" type="noConversion"/>
  </si>
  <si>
    <t>소계</t>
    <phoneticPr fontId="8" type="noConversion"/>
  </si>
  <si>
    <t>계</t>
    <phoneticPr fontId="8" type="noConversion"/>
  </si>
  <si>
    <t>매입</t>
    <phoneticPr fontId="8" type="noConversion"/>
  </si>
  <si>
    <t>매출이익</t>
    <phoneticPr fontId="8" type="noConversion"/>
  </si>
  <si>
    <t>영업이익</t>
    <phoneticPr fontId="8" type="noConversion"/>
  </si>
  <si>
    <t>1월</t>
    <phoneticPr fontId="9" type="noConversion"/>
  </si>
  <si>
    <t>2월</t>
    <phoneticPr fontId="9" type="noConversion"/>
  </si>
  <si>
    <t>3월</t>
    <phoneticPr fontId="9" type="noConversion"/>
  </si>
  <si>
    <t>4월</t>
    <phoneticPr fontId="9" type="noConversion"/>
  </si>
  <si>
    <t>5월</t>
    <phoneticPr fontId="9" type="noConversion"/>
  </si>
  <si>
    <t>6월</t>
    <phoneticPr fontId="9" type="noConversion"/>
  </si>
  <si>
    <t>7월</t>
    <phoneticPr fontId="9" type="noConversion"/>
  </si>
  <si>
    <t>8월</t>
    <phoneticPr fontId="9" type="noConversion"/>
  </si>
  <si>
    <t>9월</t>
    <phoneticPr fontId="9" type="noConversion"/>
  </si>
  <si>
    <t>10월</t>
    <phoneticPr fontId="9" type="noConversion"/>
  </si>
  <si>
    <t>11월</t>
    <phoneticPr fontId="9" type="noConversion"/>
  </si>
  <si>
    <t>12월</t>
    <phoneticPr fontId="9" type="noConversion"/>
  </si>
  <si>
    <t>변동비 중 전체 비용</t>
    <phoneticPr fontId="8" type="noConversion"/>
  </si>
  <si>
    <t>고정비 중 원가 반영</t>
    <phoneticPr fontId="8" type="noConversion"/>
  </si>
  <si>
    <t>직접 비용</t>
    <phoneticPr fontId="8" type="noConversion"/>
  </si>
  <si>
    <t>간접 비용</t>
    <phoneticPr fontId="8" type="noConversion"/>
  </si>
  <si>
    <t>부서별 변동비 이동</t>
    <phoneticPr fontId="8" type="noConversion"/>
  </si>
  <si>
    <t>판매수수료(0)</t>
    <phoneticPr fontId="41" type="noConversion"/>
  </si>
  <si>
    <t>SDT</t>
    <phoneticPr fontId="8" type="noConversion"/>
  </si>
  <si>
    <t>SDT변동비</t>
    <phoneticPr fontId="9" type="noConversion"/>
  </si>
  <si>
    <t>법인세,배당금</t>
    <phoneticPr fontId="8" type="noConversion"/>
  </si>
  <si>
    <t>급여</t>
    <phoneticPr fontId="8" type="noConversion"/>
  </si>
  <si>
    <t>급여+추급&amp;추상</t>
    <phoneticPr fontId="8" type="noConversion"/>
  </si>
  <si>
    <t>급여+추급&amp;추상+보험</t>
    <phoneticPr fontId="8" type="noConversion"/>
  </si>
  <si>
    <t>ESD감가상각(655,000)+CBD감가상각(13,845,000)</t>
    <phoneticPr fontId="41" type="noConversion"/>
  </si>
  <si>
    <t>지급수수료(13,782,000)+지급임차료(0)+ESBD면접(30,000)</t>
    <phoneticPr fontId="41" type="noConversion"/>
  </si>
  <si>
    <t>ESD보증보험(737,000)+세금과공과(60,000)+CBD보증보험(0)</t>
    <phoneticPr fontId="41" type="noConversion"/>
  </si>
  <si>
    <t>(단위: 천원)</t>
    <phoneticPr fontId="41" type="noConversion"/>
  </si>
  <si>
    <t xml:space="preserve">매출  </t>
    <phoneticPr fontId="41" type="noConversion"/>
  </si>
  <si>
    <t>차액</t>
    <phoneticPr fontId="41" type="noConversion"/>
  </si>
  <si>
    <t>내역</t>
    <phoneticPr fontId="41" type="noConversion"/>
  </si>
  <si>
    <t>매입</t>
    <phoneticPr fontId="41" type="noConversion"/>
  </si>
  <si>
    <t>매출이익</t>
    <phoneticPr fontId="41" type="noConversion"/>
  </si>
  <si>
    <t>경비</t>
    <phoneticPr fontId="41" type="noConversion"/>
  </si>
  <si>
    <t>경상이익</t>
    <phoneticPr fontId="41" type="noConversion"/>
  </si>
  <si>
    <t>과제_인건비</t>
    <phoneticPr fontId="41" type="noConversion"/>
  </si>
  <si>
    <t>과제_판관비</t>
    <phoneticPr fontId="41" type="noConversion"/>
  </si>
  <si>
    <t>이익공유</t>
    <phoneticPr fontId="41" type="noConversion"/>
  </si>
  <si>
    <t>컨퍼런스</t>
    <phoneticPr fontId="41" type="noConversion"/>
  </si>
  <si>
    <t>신규직원관련</t>
    <phoneticPr fontId="41" type="noConversion"/>
  </si>
  <si>
    <t>SW개발비</t>
    <phoneticPr fontId="41" type="noConversion"/>
  </si>
  <si>
    <t>법인세,유형자산 처분손실</t>
    <phoneticPr fontId="8" type="noConversion"/>
  </si>
  <si>
    <r>
      <rPr>
        <sz val="10"/>
        <rFont val="돋움"/>
        <family val="3"/>
        <charset val="129"/>
      </rPr>
      <t>1월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일계표</t>
    </r>
    <phoneticPr fontId="8" type="noConversion"/>
  </si>
  <si>
    <t>JGChoi</t>
    <phoneticPr fontId="8" type="noConversion"/>
  </si>
  <si>
    <t>SYShin</t>
    <phoneticPr fontId="8" type="noConversion"/>
  </si>
  <si>
    <t>EST3</t>
    <phoneticPr fontId="8" type="noConversion"/>
  </si>
  <si>
    <t>EST3변동비</t>
    <phoneticPr fontId="9" type="noConversion"/>
  </si>
  <si>
    <t>EST2</t>
    <phoneticPr fontId="8" type="noConversion"/>
  </si>
  <si>
    <t>EST2변동비</t>
    <phoneticPr fontId="9" type="noConversion"/>
  </si>
  <si>
    <t>TSG고정비</t>
    <phoneticPr fontId="8" type="noConversion"/>
  </si>
  <si>
    <t>SDT고정비</t>
    <phoneticPr fontId="8" type="noConversion"/>
  </si>
  <si>
    <t>SBD변동비</t>
    <phoneticPr fontId="9" type="noConversion"/>
  </si>
  <si>
    <t>TST2변동비</t>
    <phoneticPr fontId="9" type="noConversion"/>
  </si>
  <si>
    <t>MKT</t>
    <phoneticPr fontId="8" type="noConversion"/>
  </si>
  <si>
    <t>EST1</t>
    <phoneticPr fontId="8" type="noConversion"/>
  </si>
  <si>
    <t>EST1변동비</t>
    <phoneticPr fontId="9" type="noConversion"/>
  </si>
  <si>
    <t>JHAHN</t>
    <phoneticPr fontId="9" type="noConversion"/>
  </si>
  <si>
    <t>TSG변동비</t>
    <phoneticPr fontId="9" type="noConversion"/>
  </si>
  <si>
    <t>TST1</t>
    <phoneticPr fontId="8" type="noConversion"/>
  </si>
  <si>
    <t>TST2</t>
    <phoneticPr fontId="8" type="noConversion"/>
  </si>
  <si>
    <t>간접매출안분</t>
    <phoneticPr fontId="9" type="noConversion"/>
  </si>
  <si>
    <t>변동비 합계</t>
    <phoneticPr fontId="8" type="noConversion"/>
  </si>
  <si>
    <t>비용 합계</t>
    <phoneticPr fontId="9" type="noConversion"/>
  </si>
  <si>
    <t>TST1변동비</t>
    <phoneticPr fontId="9" type="noConversion"/>
  </si>
  <si>
    <t>SYS50%+MKT50%</t>
    <phoneticPr fontId="9" type="noConversion"/>
  </si>
  <si>
    <t>SYSHIN50%</t>
    <phoneticPr fontId="8" type="noConversion"/>
  </si>
  <si>
    <t>TST2 반영(50%)</t>
    <phoneticPr fontId="8" type="noConversion"/>
  </si>
  <si>
    <t>TST1 반영(50%)</t>
    <phoneticPr fontId="8" type="noConversion"/>
  </si>
  <si>
    <t>SDT 반영(50%)</t>
    <phoneticPr fontId="8" type="noConversion"/>
  </si>
  <si>
    <t>부서별 경상이익</t>
    <phoneticPr fontId="9" type="noConversion"/>
  </si>
  <si>
    <t>JGCHOI+MKT50%</t>
    <phoneticPr fontId="9" type="noConversion"/>
  </si>
  <si>
    <t>올림처리 수식으로 인한 차액발생은 특정팀에 +- 수기처리함(TST1/TST2)</t>
    <phoneticPr fontId="8" type="noConversion"/>
  </si>
  <si>
    <t>전체경비</t>
    <phoneticPr fontId="8" type="noConversion"/>
  </si>
  <si>
    <t>경상이익</t>
    <phoneticPr fontId="8" type="noConversion"/>
  </si>
  <si>
    <t>TechSoft3D</t>
    <phoneticPr fontId="41" type="noConversion"/>
  </si>
  <si>
    <t>근곤,예린</t>
    <phoneticPr fontId="8" type="noConversion"/>
  </si>
  <si>
    <t xml:space="preserve"> - 비용조정 포함 사항</t>
    <phoneticPr fontId="8" type="noConversion"/>
  </si>
  <si>
    <t xml:space="preserve">   공유이익, 신규직원인건비(채연,근곤), 과제지원금 매출이익 반영, 과제지원금 충당액 비용 추가,</t>
    <phoneticPr fontId="8" type="noConversion"/>
  </si>
  <si>
    <t xml:space="preserve">   과제 매출 및 비용, 인테리어, 공유이익, 신규직원인건비(주연,준기,채웅,채연), SW개발비(인하대)</t>
    <phoneticPr fontId="8" type="noConversion"/>
  </si>
  <si>
    <t xml:space="preserve">   과제 매출 및 비용, 공유이익, 신규직원인건비(주연,준기), 전체워크샵</t>
    <phoneticPr fontId="8" type="noConversion"/>
  </si>
  <si>
    <t xml:space="preserve">   임대료 매출 제외, 임대 관련 이자비용 경비 제외, LR 매입원가 추가</t>
    <phoneticPr fontId="8" type="noConversion"/>
  </si>
  <si>
    <t>부서명</t>
    <phoneticPr fontId="8" type="noConversion"/>
  </si>
  <si>
    <t>ESBD</t>
    <phoneticPr fontId="8" type="noConversion"/>
  </si>
  <si>
    <t>ESD</t>
    <phoneticPr fontId="8" type="noConversion"/>
  </si>
  <si>
    <t>CBT1</t>
    <phoneticPr fontId="8" type="noConversion"/>
  </si>
  <si>
    <t>CBD</t>
    <phoneticPr fontId="8" type="noConversion"/>
  </si>
  <si>
    <t>ESBD(목표)</t>
    <phoneticPr fontId="9" type="noConversion"/>
  </si>
  <si>
    <t>ESD(목표)</t>
    <phoneticPr fontId="9" type="noConversion"/>
  </si>
  <si>
    <t>달성률</t>
    <phoneticPr fontId="9" type="noConversion"/>
  </si>
  <si>
    <t>CBT1(목표)</t>
    <phoneticPr fontId="9" type="noConversion"/>
  </si>
  <si>
    <t>CBT(목표)</t>
    <phoneticPr fontId="9" type="noConversion"/>
  </si>
  <si>
    <t>경비</t>
    <phoneticPr fontId="8" type="noConversion"/>
  </si>
  <si>
    <t>경비 예산</t>
    <phoneticPr fontId="8" type="noConversion"/>
  </si>
  <si>
    <t>%</t>
    <phoneticPr fontId="8" type="noConversion"/>
  </si>
  <si>
    <t>TST(목표)</t>
    <phoneticPr fontId="9" type="noConversion"/>
  </si>
  <si>
    <t>TSG(목표)</t>
    <phoneticPr fontId="9" type="noConversion"/>
  </si>
  <si>
    <t>TSG</t>
    <phoneticPr fontId="8" type="noConversion"/>
  </si>
  <si>
    <t>TST</t>
    <phoneticPr fontId="8" type="noConversion"/>
  </si>
  <si>
    <t>SDT(목표)</t>
    <phoneticPr fontId="9" type="noConversion"/>
  </si>
  <si>
    <t xml:space="preserve">SDT </t>
    <phoneticPr fontId="8" type="noConversion"/>
  </si>
  <si>
    <t>Q1</t>
    <phoneticPr fontId="8" type="noConversion"/>
  </si>
  <si>
    <t>Q2</t>
    <phoneticPr fontId="8" type="noConversion"/>
  </si>
  <si>
    <t>Q3</t>
    <phoneticPr fontId="8" type="noConversion"/>
  </si>
  <si>
    <t>Q4</t>
    <phoneticPr fontId="8" type="noConversion"/>
  </si>
  <si>
    <t>Total</t>
    <phoneticPr fontId="8" type="noConversion"/>
  </si>
  <si>
    <t xml:space="preserve">경영현황 </t>
    <phoneticPr fontId="41" type="noConversion"/>
  </si>
  <si>
    <t xml:space="preserve">경영지표 </t>
    <phoneticPr fontId="41" type="noConversion"/>
  </si>
  <si>
    <t>신규직원</t>
    <phoneticPr fontId="8" type="noConversion"/>
  </si>
  <si>
    <t>2026 매출매입</t>
    <phoneticPr fontId="8" type="noConversion"/>
  </si>
  <si>
    <t>목표 TST</t>
    <phoneticPr fontId="8" type="noConversion"/>
  </si>
  <si>
    <t>목표 SDT</t>
    <phoneticPr fontId="8" type="noConversion"/>
  </si>
  <si>
    <t>기준 (1) 임대료 수입 및 대출이자는 수익과 비용에 반영하지 않는다.
       (2) 신입직원 1년 인건비 공제는 그대로 적용한다.</t>
    <phoneticPr fontId="8" type="noConversion"/>
  </si>
  <si>
    <t>임대료수입</t>
    <phoneticPr fontId="8" type="noConversion"/>
  </si>
  <si>
    <t>대출이자</t>
    <phoneticPr fontId="8" type="noConversion"/>
  </si>
  <si>
    <t>TST고정비</t>
    <phoneticPr fontId="8" type="noConversion"/>
  </si>
  <si>
    <t>팀별실적시트</t>
    <phoneticPr fontId="8" type="noConversion"/>
  </si>
  <si>
    <t>목표 EST1</t>
    <phoneticPr fontId="8" type="noConversion"/>
  </si>
  <si>
    <t>목표 EST2+EST3</t>
    <phoneticPr fontId="8" type="noConversion"/>
  </si>
  <si>
    <t>`</t>
    <phoneticPr fontId="8" type="noConversion"/>
  </si>
  <si>
    <t>예산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</si>
</sst>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-* #,##0_-;\-* #,##0_-;_-* &quot;-&quot;_-;_-@_-"/>
    <numFmt numFmtId="43" formatCode="_-* #,##0.00_-;\-* #,##0.00_-;_-* &quot;-&quot;??_-;_-@_-"/>
    <numFmt numFmtId="176" formatCode="&quot;$&quot;#,##0_);\(&quot;$&quot;#,##0\)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#,##0.0_);\(#,##0.0\)"/>
    <numFmt numFmtId="181" formatCode="_(* #,##0.0000_);_(* \(#,##0.0000\);_(* &quot;-&quot;??_);_(@_)"/>
    <numFmt numFmtId="182" formatCode="_-&quot;$&quot;* #,##0.00_-;\-&quot;$&quot;* #,##0.00_-;_-&quot;$&quot;* &quot;-&quot;??_-;_-@_-"/>
    <numFmt numFmtId="183" formatCode="0_);[Red]\(0\)"/>
    <numFmt numFmtId="184" formatCode="0%;\(0%\)"/>
    <numFmt numFmtId="185" formatCode="0.0%;[Red]\(0.0%\)"/>
    <numFmt numFmtId="186" formatCode="0%;[Red]\(0%\)"/>
    <numFmt numFmtId="187" formatCode="0.0%;\(0.0%\)"/>
    <numFmt numFmtId="188" formatCode="&quot;   &quot;@"/>
    <numFmt numFmtId="189" formatCode="_(* #,##0_);_(* \(#,##0\);_(* &quot;-&quot;_)"/>
    <numFmt numFmtId="190" formatCode="_-* #,##0.0_-;\-* #,##0.0_-;_-* &quot;-&quot;??_-;_-@_-"/>
    <numFmt numFmtId="191" formatCode="_-* #,##0.00[$€]_-;\-* #,##0.00[$€]_-;_-* &quot;-&quot;??[$€]_-;_-@_-"/>
    <numFmt numFmtId="192" formatCode="_-* #,##0.00_-;\-* #,##0.00_-;_-* &quot;-&quot;_-;_-@_-"/>
    <numFmt numFmtId="193" formatCode="0.0%"/>
  </numFmts>
  <fonts count="84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0"/>
      <name val="Times New Roman"/>
      <family val="1"/>
    </font>
    <font>
      <sz val="10"/>
      <name val="Helv"/>
      <family val="2"/>
    </font>
    <font>
      <sz val="10"/>
      <color indexed="8"/>
      <name val="Arial"/>
      <family val="2"/>
    </font>
    <font>
      <sz val="10"/>
      <name val="Geneva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MS Sans Serif"/>
      <family val="2"/>
    </font>
    <font>
      <b/>
      <sz val="10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b/>
      <sz val="11"/>
      <name val="Arial"/>
      <family val="2"/>
    </font>
    <font>
      <b/>
      <sz val="11"/>
      <color indexed="9"/>
      <name val="Arial"/>
      <family val="2"/>
    </font>
    <font>
      <i/>
      <sz val="10"/>
      <name val="Arial"/>
      <family val="2"/>
    </font>
    <font>
      <b/>
      <sz val="10"/>
      <name val="돋움"/>
      <family val="3"/>
      <charset val="129"/>
    </font>
    <font>
      <sz val="10"/>
      <name val="돋움"/>
      <family val="3"/>
      <charset val="129"/>
    </font>
    <font>
      <i/>
      <sz val="10"/>
      <name val="돋움"/>
      <family val="3"/>
      <charset val="129"/>
    </font>
    <font>
      <b/>
      <sz val="10"/>
      <color indexed="9"/>
      <name val="돋움"/>
      <family val="3"/>
      <charset val="129"/>
    </font>
    <font>
      <sz val="10"/>
      <name val="맑은 고딕"/>
      <family val="3"/>
      <charset val="129"/>
    </font>
    <font>
      <sz val="10"/>
      <name val="돋움"/>
      <family val="2"/>
      <charset val="129"/>
    </font>
    <font>
      <sz val="10"/>
      <name val="맑은 고딕"/>
      <family val="2"/>
      <charset val="129"/>
    </font>
    <font>
      <sz val="9"/>
      <name val="Arial"/>
      <family val="2"/>
    </font>
    <font>
      <sz val="9"/>
      <name val="돋움"/>
      <family val="2"/>
      <charset val="129"/>
    </font>
    <font>
      <b/>
      <sz val="10"/>
      <name val="Arial"/>
      <family val="3"/>
    </font>
    <font>
      <b/>
      <sz val="10"/>
      <name val="맑은 고딕"/>
      <family val="3"/>
      <charset val="129"/>
    </font>
    <font>
      <sz val="10"/>
      <name val="Arial"/>
      <family val="3"/>
      <charset val="129"/>
    </font>
    <font>
      <sz val="10"/>
      <color rgb="FFFFFFFF"/>
      <name val="맑은 고딕"/>
      <family val="2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0"/>
      <name val="Arial Unicode MS"/>
      <family val="2"/>
      <charset val="129"/>
    </font>
    <font>
      <sz val="10"/>
      <name val="굴림"/>
      <family val="2"/>
      <charset val="129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7.5"/>
      <name val="Arial Unicode MS"/>
      <charset val="129"/>
    </font>
    <font>
      <sz val="7.5"/>
      <name val="Arial Unicode MS"/>
      <family val="3"/>
      <charset val="129"/>
    </font>
    <font>
      <sz val="8"/>
      <color rgb="FFFF0000"/>
      <name val="Arial Unicode MS"/>
      <family val="2"/>
      <charset val="129"/>
    </font>
    <font>
      <sz val="9"/>
      <name val="맑은 고딕"/>
      <family val="3"/>
      <charset val="129"/>
      <scheme val="minor"/>
    </font>
    <font>
      <b/>
      <sz val="9"/>
      <color indexed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8"/>
      <name val="Arial Unicode MS"/>
      <family val="2"/>
      <charset val="129"/>
    </font>
    <font>
      <sz val="9"/>
      <name val="Arial Unicode MS"/>
      <family val="2"/>
    </font>
    <font>
      <sz val="8"/>
      <name val="Arial Unicode MS"/>
      <family val="2"/>
    </font>
    <font>
      <sz val="8"/>
      <color theme="4"/>
      <name val="Arial Unicode MS"/>
      <family val="2"/>
      <charset val="129"/>
    </font>
    <font>
      <sz val="10"/>
      <color rgb="FFFF0000"/>
      <name val="돋움"/>
      <family val="3"/>
      <charset val="129"/>
    </font>
    <font>
      <sz val="9"/>
      <color rgb="FFFF0000"/>
      <name val="돋움"/>
      <family val="3"/>
      <charset val="129"/>
    </font>
    <font>
      <sz val="9"/>
      <color rgb="FFFF0000"/>
      <name val="맑은 고딕"/>
      <family val="3"/>
      <charset val="129"/>
      <scheme val="minor"/>
    </font>
    <font>
      <sz val="8"/>
      <color rgb="FFFF0000"/>
      <name val="Arial Unicode MS"/>
      <family val="3"/>
      <charset val="129"/>
    </font>
    <font>
      <sz val="8"/>
      <color rgb="FF0070C0"/>
      <name val="Arial Unicode MS"/>
      <family val="2"/>
      <charset val="129"/>
    </font>
    <font>
      <sz val="7"/>
      <name val="Arial"/>
      <family val="2"/>
    </font>
    <font>
      <sz val="7"/>
      <name val="Arial Unicode MS"/>
      <family val="2"/>
      <charset val="129"/>
    </font>
    <font>
      <sz val="8"/>
      <color theme="4"/>
      <name val="Arial"/>
      <family val="2"/>
    </font>
    <font>
      <sz val="7"/>
      <name val="굴림"/>
      <family val="2"/>
      <charset val="129"/>
    </font>
    <font>
      <sz val="7"/>
      <name val="Arial Unicode MS"/>
      <charset val="129"/>
    </font>
    <font>
      <sz val="7"/>
      <name val="Arial Unicode MS"/>
      <family val="3"/>
      <charset val="129"/>
    </font>
    <font>
      <sz val="6"/>
      <name val="맑은 고딕"/>
      <family val="2"/>
      <charset val="129"/>
    </font>
    <font>
      <sz val="7"/>
      <name val="Arial Unicode MS"/>
      <family val="2"/>
    </font>
    <font>
      <sz val="8"/>
      <color theme="9"/>
      <name val="Arial Unicode MS"/>
      <family val="2"/>
    </font>
    <font>
      <sz val="10"/>
      <color rgb="FF0070C0"/>
      <name val="맑은 고딕"/>
      <family val="3"/>
      <charset val="129"/>
      <scheme val="minor"/>
    </font>
    <font>
      <sz val="8"/>
      <color rgb="FF0070C0"/>
      <name val="맑은 고딕"/>
      <family val="3"/>
      <charset val="129"/>
      <scheme val="minor"/>
    </font>
    <font>
      <b/>
      <sz val="10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sz val="10"/>
      <color rgb="FF0070C0"/>
      <name val="돋움"/>
      <family val="3"/>
      <charset val="129"/>
    </font>
    <font>
      <sz val="6"/>
      <name val="Arial Unicode MS"/>
      <family val="2"/>
    </font>
    <font>
      <sz val="6"/>
      <name val="Arial Unicode MS"/>
      <family val="2"/>
      <charset val="129"/>
    </font>
    <font>
      <sz val="8"/>
      <color rgb="FFC00000"/>
      <name val="맑은 고딕"/>
      <family val="3"/>
      <charset val="129"/>
      <scheme val="minor"/>
    </font>
    <font>
      <sz val="10"/>
      <color rgb="FFC00000"/>
      <name val="돋움"/>
      <family val="3"/>
      <charset val="129"/>
    </font>
    <font>
      <sz val="9"/>
      <name val="돋움"/>
      <family val="3"/>
      <charset val="129"/>
    </font>
    <font>
      <sz val="9"/>
      <color theme="4" tint="-0.249977111117893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9"/>
      <color rgb="FFC0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7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FF0000"/>
      </left>
      <right style="thin">
        <color indexed="64"/>
      </right>
      <top style="medium">
        <color rgb="FFFF0000"/>
      </top>
      <bottom/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medium">
        <color indexed="64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/>
      <top style="thin">
        <color indexed="64"/>
      </top>
      <bottom style="medium">
        <color rgb="FFFF0000"/>
      </bottom>
      <diagonal/>
    </border>
    <border>
      <left/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/>
      <top style="thin">
        <color indexed="64"/>
      </top>
      <bottom style="medium">
        <color rgb="FFFF0000"/>
      </bottom>
      <diagonal/>
    </border>
    <border>
      <left style="medium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medium">
        <color rgb="FFFF0000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rgb="FFFF0000"/>
      </right>
      <top/>
      <bottom style="thin">
        <color indexed="64"/>
      </bottom>
      <diagonal/>
    </border>
    <border>
      <left style="thin">
        <color indexed="64"/>
      </left>
      <right/>
      <top style="medium">
        <color rgb="FFFF0000"/>
      </top>
      <bottom style="thin">
        <color indexed="64"/>
      </bottom>
      <diagonal/>
    </border>
    <border>
      <left style="medium">
        <color theme="1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theme="1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rgb="FFFF0000"/>
      </right>
      <top/>
      <bottom style="thin">
        <color indexed="64"/>
      </bottom>
      <diagonal/>
    </border>
    <border>
      <left style="medium">
        <color theme="1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93">
    <xf numFmtId="0" fontId="0" fillId="0" borderId="0">
      <alignment vertical="center"/>
    </xf>
    <xf numFmtId="190" fontId="9" fillId="0" borderId="0" applyFill="0" applyBorder="0" applyAlignment="0"/>
    <xf numFmtId="190" fontId="9" fillId="0" borderId="0" applyFill="0" applyBorder="0" applyAlignment="0"/>
    <xf numFmtId="190" fontId="9" fillId="0" borderId="0" applyFill="0" applyBorder="0" applyAlignment="0"/>
    <xf numFmtId="190" fontId="9" fillId="0" borderId="0" applyFill="0" applyBorder="0" applyAlignment="0"/>
    <xf numFmtId="190" fontId="9" fillId="0" borderId="0" applyFill="0" applyBorder="0" applyAlignment="0"/>
    <xf numFmtId="190" fontId="9" fillId="0" borderId="0" applyFill="0" applyBorder="0" applyAlignment="0"/>
    <xf numFmtId="190" fontId="9" fillId="0" borderId="0" applyFill="0" applyBorder="0" applyAlignment="0"/>
    <xf numFmtId="190" fontId="9" fillId="0" borderId="0" applyFill="0" applyBorder="0" applyAlignment="0"/>
    <xf numFmtId="190" fontId="9" fillId="0" borderId="0" applyFill="0" applyBorder="0" applyAlignment="0"/>
    <xf numFmtId="190" fontId="9" fillId="0" borderId="0" applyFill="0" applyBorder="0" applyAlignment="0"/>
    <xf numFmtId="190" fontId="9" fillId="0" borderId="0" applyFill="0" applyBorder="0" applyAlignment="0"/>
    <xf numFmtId="190" fontId="9" fillId="0" borderId="0" applyFill="0" applyBorder="0" applyAlignment="0"/>
    <xf numFmtId="190" fontId="9" fillId="0" borderId="0" applyFill="0" applyBorder="0" applyAlignment="0"/>
    <xf numFmtId="190" fontId="9" fillId="0" borderId="0" applyFill="0" applyBorder="0" applyAlignment="0"/>
    <xf numFmtId="190" fontId="9" fillId="0" borderId="0" applyFill="0" applyBorder="0" applyAlignment="0"/>
    <xf numFmtId="190" fontId="9" fillId="0" borderId="0" applyFill="0" applyBorder="0" applyAlignment="0"/>
    <xf numFmtId="190" fontId="9" fillId="0" borderId="0" applyFill="0" applyBorder="0" applyAlignment="0"/>
    <xf numFmtId="190" fontId="9" fillId="0" borderId="0" applyFill="0" applyBorder="0" applyAlignment="0"/>
    <xf numFmtId="190" fontId="9" fillId="0" borderId="0" applyFill="0" applyBorder="0" applyAlignment="0"/>
    <xf numFmtId="41" fontId="7" fillId="0" borderId="0" applyFont="0" applyFill="0" applyBorder="0" applyAlignment="0" applyProtection="0">
      <alignment vertical="center"/>
    </xf>
    <xf numFmtId="190" fontId="9" fillId="0" borderId="0" applyFill="0" applyBorder="0" applyAlignment="0"/>
    <xf numFmtId="0" fontId="9" fillId="0" borderId="0"/>
    <xf numFmtId="0" fontId="10" fillId="0" borderId="0" applyFill="0" applyBorder="0" applyAlignment="0"/>
    <xf numFmtId="180" fontId="11" fillId="0" borderId="0" applyFill="0" applyBorder="0" applyAlignment="0"/>
    <xf numFmtId="181" fontId="11" fillId="0" borderId="0" applyFill="0" applyBorder="0" applyAlignment="0"/>
    <xf numFmtId="185" fontId="11" fillId="0" borderId="0" applyFill="0" applyBorder="0" applyAlignment="0"/>
    <xf numFmtId="186" fontId="11" fillId="0" borderId="0" applyFill="0" applyBorder="0" applyAlignment="0"/>
    <xf numFmtId="182" fontId="11" fillId="0" borderId="0" applyFill="0" applyBorder="0" applyAlignment="0"/>
    <xf numFmtId="187" fontId="11" fillId="0" borderId="0" applyFill="0" applyBorder="0" applyAlignment="0"/>
    <xf numFmtId="180" fontId="11" fillId="0" borderId="0" applyFill="0" applyBorder="0" applyAlignment="0"/>
    <xf numFmtId="182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4" fontId="12" fillId="0" borderId="0" applyFill="0" applyBorder="0" applyAlignment="0"/>
    <xf numFmtId="179" fontId="9" fillId="0" borderId="0" applyFont="0" applyFill="0" applyBorder="0" applyAlignment="0" applyProtection="0"/>
    <xf numFmtId="182" fontId="11" fillId="0" borderId="0" applyFill="0" applyBorder="0" applyAlignment="0"/>
    <xf numFmtId="180" fontId="11" fillId="0" borderId="0" applyFill="0" applyBorder="0" applyAlignment="0"/>
    <xf numFmtId="182" fontId="11" fillId="0" borderId="0" applyFill="0" applyBorder="0" applyAlignment="0"/>
    <xf numFmtId="187" fontId="11" fillId="0" borderId="0" applyFill="0" applyBorder="0" applyAlignment="0"/>
    <xf numFmtId="180" fontId="11" fillId="0" borderId="0" applyFill="0" applyBorder="0" applyAlignment="0"/>
    <xf numFmtId="191" fontId="13" fillId="0" borderId="0" applyFont="0" applyFill="0" applyBorder="0" applyAlignment="0" applyProtection="0"/>
    <xf numFmtId="2" fontId="13" fillId="0" borderId="0">
      <alignment horizontal="left"/>
    </xf>
    <xf numFmtId="38" fontId="14" fillId="2" borderId="0" applyNumberFormat="0" applyBorder="0" applyAlignment="0" applyProtection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0" fontId="14" fillId="3" borderId="3" applyNumberFormat="0" applyBorder="0" applyAlignment="0" applyProtection="0"/>
    <xf numFmtId="0" fontId="16" fillId="0" borderId="0"/>
    <xf numFmtId="182" fontId="11" fillId="0" borderId="0" applyFill="0" applyBorder="0" applyAlignment="0"/>
    <xf numFmtId="180" fontId="11" fillId="0" borderId="0" applyFill="0" applyBorder="0" applyAlignment="0"/>
    <xf numFmtId="182" fontId="11" fillId="0" borderId="0" applyFill="0" applyBorder="0" applyAlignment="0"/>
    <xf numFmtId="187" fontId="11" fillId="0" borderId="0" applyFill="0" applyBorder="0" applyAlignment="0"/>
    <xf numFmtId="180" fontId="11" fillId="0" borderId="0" applyFill="0" applyBorder="0" applyAlignment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3" fontId="9" fillId="0" borderId="0"/>
    <xf numFmtId="0" fontId="9" fillId="0" borderId="0"/>
    <xf numFmtId="0" fontId="9" fillId="0" borderId="0"/>
    <xf numFmtId="0" fontId="10" fillId="0" borderId="0"/>
    <xf numFmtId="186" fontId="11" fillId="0" borderId="0" applyFont="0" applyFill="0" applyBorder="0" applyAlignment="0" applyProtection="0"/>
    <xf numFmtId="184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182" fontId="11" fillId="0" borderId="0" applyFill="0" applyBorder="0" applyAlignment="0"/>
    <xf numFmtId="180" fontId="11" fillId="0" borderId="0" applyFill="0" applyBorder="0" applyAlignment="0"/>
    <xf numFmtId="182" fontId="11" fillId="0" borderId="0" applyFill="0" applyBorder="0" applyAlignment="0"/>
    <xf numFmtId="187" fontId="11" fillId="0" borderId="0" applyFill="0" applyBorder="0" applyAlignment="0"/>
    <xf numFmtId="180" fontId="11" fillId="0" borderId="0" applyFill="0" applyBorder="0" applyAlignment="0"/>
    <xf numFmtId="0" fontId="9" fillId="0" borderId="0"/>
    <xf numFmtId="49" fontId="12" fillId="0" borderId="0" applyFill="0" applyBorder="0" applyAlignment="0"/>
    <xf numFmtId="188" fontId="11" fillId="0" borderId="0" applyFill="0" applyBorder="0" applyAlignment="0"/>
    <xf numFmtId="189" fontId="11" fillId="0" borderId="0" applyFill="0" applyBorder="0" applyAlignment="0"/>
    <xf numFmtId="177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9" fillId="0" borderId="0" applyFill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550">
    <xf numFmtId="0" fontId="0" fillId="0" borderId="0" xfId="0">
      <alignment vertical="center"/>
    </xf>
    <xf numFmtId="0" fontId="9" fillId="0" borderId="1" xfId="22" applyBorder="1"/>
    <xf numFmtId="0" fontId="18" fillId="0" borderId="0" xfId="22" applyFont="1" applyAlignment="1">
      <alignment horizontal="center"/>
    </xf>
    <xf numFmtId="0" fontId="9" fillId="0" borderId="0" xfId="22"/>
    <xf numFmtId="0" fontId="17" fillId="0" borderId="0" xfId="22" applyFont="1"/>
    <xf numFmtId="0" fontId="17" fillId="0" borderId="0" xfId="22" applyFont="1" applyAlignment="1">
      <alignment horizontal="center"/>
    </xf>
    <xf numFmtId="30" fontId="17" fillId="0" borderId="0" xfId="22" applyNumberFormat="1" applyFont="1" applyAlignment="1">
      <alignment horizontal="center"/>
    </xf>
    <xf numFmtId="0" fontId="19" fillId="0" borderId="0" xfId="22" applyFont="1"/>
    <xf numFmtId="0" fontId="18" fillId="0" borderId="0" xfId="22" applyFont="1"/>
    <xf numFmtId="0" fontId="19" fillId="0" borderId="0" xfId="22" applyFont="1" applyAlignment="1">
      <alignment vertical="center"/>
    </xf>
    <xf numFmtId="0" fontId="18" fillId="0" borderId="0" xfId="22" applyFont="1" applyAlignment="1">
      <alignment vertical="center"/>
    </xf>
    <xf numFmtId="0" fontId="20" fillId="0" borderId="0" xfId="22" applyFont="1" applyAlignment="1">
      <alignment vertical="center"/>
    </xf>
    <xf numFmtId="0" fontId="21" fillId="0" borderId="0" xfId="22" applyFont="1" applyAlignment="1">
      <alignment vertical="center"/>
    </xf>
    <xf numFmtId="176" fontId="9" fillId="0" borderId="0" xfId="22" applyNumberFormat="1" applyAlignment="1">
      <alignment horizontal="center"/>
    </xf>
    <xf numFmtId="0" fontId="9" fillId="0" borderId="4" xfId="22" applyBorder="1" applyAlignment="1">
      <alignment vertical="center"/>
    </xf>
    <xf numFmtId="0" fontId="19" fillId="0" borderId="4" xfId="22" applyFont="1" applyBorder="1" applyAlignment="1">
      <alignment vertical="center"/>
    </xf>
    <xf numFmtId="0" fontId="18" fillId="4" borderId="5" xfId="22" applyFont="1" applyFill="1" applyBorder="1" applyAlignment="1">
      <alignment horizontal="center"/>
    </xf>
    <xf numFmtId="0" fontId="18" fillId="4" borderId="6" xfId="22" applyFont="1" applyFill="1" applyBorder="1" applyAlignment="1">
      <alignment horizontal="center"/>
    </xf>
    <xf numFmtId="0" fontId="18" fillId="4" borderId="7" xfId="22" applyFont="1" applyFill="1" applyBorder="1" applyAlignment="1">
      <alignment horizontal="center"/>
    </xf>
    <xf numFmtId="17" fontId="18" fillId="4" borderId="8" xfId="22" applyNumberFormat="1" applyFont="1" applyFill="1" applyBorder="1" applyAlignment="1">
      <alignment horizontal="center"/>
    </xf>
    <xf numFmtId="0" fontId="18" fillId="4" borderId="8" xfId="22" applyFont="1" applyFill="1" applyBorder="1" applyAlignment="1">
      <alignment horizontal="center"/>
    </xf>
    <xf numFmtId="0" fontId="23" fillId="5" borderId="0" xfId="56" applyFont="1" applyFill="1"/>
    <xf numFmtId="0" fontId="9" fillId="5" borderId="0" xfId="22" applyFill="1"/>
    <xf numFmtId="0" fontId="25" fillId="5" borderId="0" xfId="22" applyFont="1" applyFill="1"/>
    <xf numFmtId="0" fontId="17" fillId="5" borderId="0" xfId="22" applyFont="1" applyFill="1"/>
    <xf numFmtId="0" fontId="24" fillId="5" borderId="0" xfId="22" applyFont="1" applyFill="1"/>
    <xf numFmtId="0" fontId="22" fillId="5" borderId="0" xfId="22" applyFont="1" applyFill="1" applyAlignment="1">
      <alignment vertical="center"/>
    </xf>
    <xf numFmtId="0" fontId="9" fillId="5" borderId="0" xfId="22" applyFill="1" applyAlignment="1">
      <alignment vertical="center"/>
    </xf>
    <xf numFmtId="0" fontId="24" fillId="5" borderId="0" xfId="22" applyFont="1" applyFill="1" applyAlignment="1">
      <alignment vertical="center"/>
    </xf>
    <xf numFmtId="0" fontId="17" fillId="5" borderId="0" xfId="22" applyFont="1" applyFill="1" applyAlignment="1">
      <alignment horizontal="left" vertical="center"/>
    </xf>
    <xf numFmtId="0" fontId="17" fillId="5" borderId="0" xfId="22" applyFont="1" applyFill="1" applyAlignment="1">
      <alignment vertical="center"/>
    </xf>
    <xf numFmtId="0" fontId="17" fillId="5" borderId="0" xfId="56" applyFont="1" applyFill="1"/>
    <xf numFmtId="0" fontId="17" fillId="5" borderId="0" xfId="56" applyFont="1" applyFill="1" applyAlignment="1">
      <alignment vertical="center"/>
    </xf>
    <xf numFmtId="0" fontId="9" fillId="5" borderId="0" xfId="56" applyFill="1" applyAlignment="1">
      <alignment vertical="center"/>
    </xf>
    <xf numFmtId="37" fontId="9" fillId="5" borderId="9" xfId="22" applyNumberFormat="1" applyFill="1" applyBorder="1"/>
    <xf numFmtId="37" fontId="17" fillId="5" borderId="9" xfId="22" applyNumberFormat="1" applyFont="1" applyFill="1" applyBorder="1"/>
    <xf numFmtId="37" fontId="9" fillId="5" borderId="9" xfId="22" applyNumberFormat="1" applyFill="1" applyBorder="1" applyAlignment="1">
      <alignment vertical="center"/>
    </xf>
    <xf numFmtId="37" fontId="9" fillId="5" borderId="10" xfId="22" applyNumberFormat="1" applyFill="1" applyBorder="1"/>
    <xf numFmtId="0" fontId="17" fillId="7" borderId="11" xfId="22" applyFont="1" applyFill="1" applyBorder="1" applyAlignment="1">
      <alignment horizontal="center"/>
    </xf>
    <xf numFmtId="41" fontId="9" fillId="0" borderId="0" xfId="20" applyFont="1" applyAlignment="1"/>
    <xf numFmtId="37" fontId="20" fillId="5" borderId="9" xfId="22" applyNumberFormat="1" applyFont="1" applyFill="1" applyBorder="1"/>
    <xf numFmtId="41" fontId="17" fillId="0" borderId="0" xfId="20" applyFont="1" applyAlignment="1"/>
    <xf numFmtId="41" fontId="9" fillId="0" borderId="0" xfId="22" applyNumberFormat="1"/>
    <xf numFmtId="37" fontId="9" fillId="6" borderId="9" xfId="22" applyNumberFormat="1" applyFill="1" applyBorder="1"/>
    <xf numFmtId="37" fontId="17" fillId="6" borderId="9" xfId="22" applyNumberFormat="1" applyFont="1" applyFill="1" applyBorder="1"/>
    <xf numFmtId="37" fontId="17" fillId="6" borderId="9" xfId="22" applyNumberFormat="1" applyFont="1" applyFill="1" applyBorder="1" applyAlignment="1">
      <alignment vertical="center"/>
    </xf>
    <xf numFmtId="37" fontId="20" fillId="6" borderId="9" xfId="22" applyNumberFormat="1" applyFont="1" applyFill="1" applyBorder="1" applyAlignment="1">
      <alignment vertical="center"/>
    </xf>
    <xf numFmtId="37" fontId="9" fillId="6" borderId="10" xfId="22" applyNumberFormat="1" applyFill="1" applyBorder="1" applyAlignment="1">
      <alignment vertical="center"/>
    </xf>
    <xf numFmtId="41" fontId="17" fillId="0" borderId="0" xfId="0" applyNumberFormat="1" applyFont="1">
      <alignment vertical="center"/>
    </xf>
    <xf numFmtId="41" fontId="20" fillId="0" borderId="0" xfId="20" applyFont="1" applyAlignment="1"/>
    <xf numFmtId="0" fontId="24" fillId="0" borderId="0" xfId="22" applyFont="1"/>
    <xf numFmtId="41" fontId="24" fillId="0" borderId="0" xfId="20" applyFont="1" applyAlignment="1"/>
    <xf numFmtId="37" fontId="9" fillId="0" borderId="0" xfId="22" applyNumberFormat="1"/>
    <xf numFmtId="37" fontId="9" fillId="9" borderId="9" xfId="22" applyNumberFormat="1" applyFill="1" applyBorder="1" applyAlignment="1">
      <alignment vertical="center"/>
    </xf>
    <xf numFmtId="37" fontId="9" fillId="9" borderId="9" xfId="22" applyNumberFormat="1" applyFill="1" applyBorder="1"/>
    <xf numFmtId="41" fontId="9" fillId="8" borderId="0" xfId="20" applyFont="1" applyFill="1" applyAlignment="1"/>
    <xf numFmtId="0" fontId="24" fillId="8" borderId="0" xfId="22" applyFont="1" applyFill="1"/>
    <xf numFmtId="41" fontId="9" fillId="0" borderId="0" xfId="20" applyFont="1" applyAlignment="1">
      <alignment horizontal="center" vertical="center"/>
    </xf>
    <xf numFmtId="41" fontId="9" fillId="0" borderId="0" xfId="22" applyNumberFormat="1" applyAlignment="1">
      <alignment horizontal="center" vertical="center"/>
    </xf>
    <xf numFmtId="0" fontId="9" fillId="0" borderId="0" xfId="22" applyAlignment="1">
      <alignment horizontal="center" vertical="center"/>
    </xf>
    <xf numFmtId="41" fontId="9" fillId="0" borderId="0" xfId="20" applyFont="1" applyAlignment="1">
      <alignment horizontal="center"/>
    </xf>
    <xf numFmtId="0" fontId="29" fillId="0" borderId="0" xfId="22" applyFont="1" applyAlignment="1">
      <alignment horizontal="center"/>
    </xf>
    <xf numFmtId="41" fontId="17" fillId="10" borderId="0" xfId="20" applyFont="1" applyFill="1" applyAlignment="1"/>
    <xf numFmtId="41" fontId="17" fillId="10" borderId="0" xfId="0" applyNumberFormat="1" applyFont="1" applyFill="1">
      <alignment vertical="center"/>
    </xf>
    <xf numFmtId="41" fontId="20" fillId="10" borderId="0" xfId="20" applyFont="1" applyFill="1" applyAlignment="1"/>
    <xf numFmtId="41" fontId="9" fillId="10" borderId="0" xfId="22" applyNumberFormat="1" applyFill="1"/>
    <xf numFmtId="0" fontId="30" fillId="10" borderId="0" xfId="22" applyFont="1" applyFill="1"/>
    <xf numFmtId="0" fontId="31" fillId="10" borderId="0" xfId="22" applyFont="1" applyFill="1"/>
    <xf numFmtId="0" fontId="28" fillId="10" borderId="0" xfId="22" applyFont="1" applyFill="1"/>
    <xf numFmtId="41" fontId="32" fillId="10" borderId="0" xfId="20" applyFont="1" applyFill="1" applyAlignment="1">
      <alignment horizontal="center" vertical="center"/>
    </xf>
    <xf numFmtId="41" fontId="28" fillId="0" borderId="0" xfId="20" applyFont="1" applyAlignment="1"/>
    <xf numFmtId="41" fontId="9" fillId="11" borderId="0" xfId="20" applyFont="1" applyFill="1" applyAlignment="1">
      <alignment horizontal="center"/>
    </xf>
    <xf numFmtId="41" fontId="9" fillId="0" borderId="0" xfId="20" applyFont="1" applyFill="1" applyAlignment="1"/>
    <xf numFmtId="41" fontId="9" fillId="0" borderId="0" xfId="20" applyFont="1" applyFill="1" applyAlignment="1">
      <alignment horizontal="center" vertical="center"/>
    </xf>
    <xf numFmtId="41" fontId="17" fillId="0" borderId="0" xfId="20" applyFont="1" applyFill="1" applyAlignment="1"/>
    <xf numFmtId="41" fontId="29" fillId="0" borderId="0" xfId="20" applyFont="1" applyAlignment="1">
      <alignment horizontal="right"/>
    </xf>
    <xf numFmtId="41" fontId="9" fillId="12" borderId="0" xfId="20" applyFont="1" applyFill="1" applyAlignment="1"/>
    <xf numFmtId="0" fontId="31" fillId="0" borderId="0" xfId="22" applyFont="1"/>
    <xf numFmtId="0" fontId="30" fillId="0" borderId="0" xfId="22" applyFont="1" applyAlignment="1">
      <alignment horizontal="center" vertical="center"/>
    </xf>
    <xf numFmtId="0" fontId="30" fillId="0" borderId="0" xfId="22" applyFont="1"/>
    <xf numFmtId="0" fontId="28" fillId="0" borderId="0" xfId="22" applyFont="1"/>
    <xf numFmtId="0" fontId="27" fillId="0" borderId="0" xfId="22" applyFont="1" applyAlignment="1">
      <alignment horizontal="center" vertical="center"/>
    </xf>
    <xf numFmtId="41" fontId="28" fillId="0" borderId="0" xfId="20" applyFont="1" applyFill="1" applyAlignment="1">
      <alignment horizontal="center"/>
    </xf>
    <xf numFmtId="41" fontId="29" fillId="0" borderId="0" xfId="20" applyFont="1" applyFill="1" applyAlignment="1">
      <alignment horizontal="right"/>
    </xf>
    <xf numFmtId="41" fontId="17" fillId="0" borderId="0" xfId="20" applyFont="1">
      <alignment vertical="center"/>
    </xf>
    <xf numFmtId="41" fontId="24" fillId="8" borderId="0" xfId="20" applyFont="1" applyFill="1" applyAlignment="1"/>
    <xf numFmtId="41" fontId="9" fillId="0" borderId="0" xfId="20" applyFont="1" applyFill="1" applyAlignment="1">
      <alignment vertical="center"/>
    </xf>
    <xf numFmtId="41" fontId="9" fillId="13" borderId="0" xfId="20" applyFont="1" applyFill="1" applyAlignment="1"/>
    <xf numFmtId="41" fontId="34" fillId="0" borderId="0" xfId="20" applyFont="1" applyAlignment="1"/>
    <xf numFmtId="37" fontId="17" fillId="0" borderId="0" xfId="22" applyNumberFormat="1" applyFont="1"/>
    <xf numFmtId="0" fontId="35" fillId="0" borderId="0" xfId="22" applyFont="1"/>
    <xf numFmtId="0" fontId="29" fillId="0" borderId="0" xfId="22" applyFont="1"/>
    <xf numFmtId="0" fontId="29" fillId="0" borderId="0" xfId="22" applyFont="1" applyAlignment="1">
      <alignment horizontal="right"/>
    </xf>
    <xf numFmtId="0" fontId="23" fillId="0" borderId="0" xfId="22" applyFont="1"/>
    <xf numFmtId="0" fontId="9" fillId="0" borderId="0" xfId="22" applyAlignment="1">
      <alignment horizontal="right"/>
    </xf>
    <xf numFmtId="41" fontId="17" fillId="0" borderId="0" xfId="22" applyNumberFormat="1" applyFont="1"/>
    <xf numFmtId="37" fontId="9" fillId="14" borderId="9" xfId="22" applyNumberFormat="1" applyFill="1" applyBorder="1"/>
    <xf numFmtId="37" fontId="17" fillId="14" borderId="9" xfId="22" applyNumberFormat="1" applyFont="1" applyFill="1" applyBorder="1"/>
    <xf numFmtId="37" fontId="9" fillId="14" borderId="9" xfId="22" applyNumberFormat="1" applyFill="1" applyBorder="1" applyAlignment="1">
      <alignment vertical="center"/>
    </xf>
    <xf numFmtId="37" fontId="17" fillId="14" borderId="9" xfId="22" applyNumberFormat="1" applyFont="1" applyFill="1" applyBorder="1" applyAlignment="1">
      <alignment vertical="center"/>
    </xf>
    <xf numFmtId="0" fontId="18" fillId="4" borderId="14" xfId="22" applyFont="1" applyFill="1" applyBorder="1" applyAlignment="1">
      <alignment horizontal="center"/>
    </xf>
    <xf numFmtId="41" fontId="9" fillId="0" borderId="0" xfId="20" applyFont="1" applyFill="1" applyAlignment="1">
      <alignment horizontal="right" vertical="center"/>
    </xf>
    <xf numFmtId="41" fontId="9" fillId="0" borderId="0" xfId="77" applyFont="1" applyFill="1" applyAlignment="1"/>
    <xf numFmtId="0" fontId="9" fillId="0" borderId="0" xfId="22" applyAlignment="1">
      <alignment vertical="center"/>
    </xf>
    <xf numFmtId="0" fontId="38" fillId="0" borderId="0" xfId="22" applyFont="1" applyAlignment="1">
      <alignment horizontal="right"/>
    </xf>
    <xf numFmtId="0" fontId="39" fillId="0" borderId="0" xfId="22" applyFont="1" applyAlignment="1">
      <alignment horizontal="right"/>
    </xf>
    <xf numFmtId="0" fontId="38" fillId="0" borderId="0" xfId="22" applyFont="1" applyAlignment="1">
      <alignment horizontal="right" vertical="center"/>
    </xf>
    <xf numFmtId="17" fontId="18" fillId="4" borderId="9" xfId="22" applyNumberFormat="1" applyFont="1" applyFill="1" applyBorder="1" applyAlignment="1">
      <alignment horizontal="center"/>
    </xf>
    <xf numFmtId="0" fontId="18" fillId="4" borderId="12" xfId="22" applyFont="1" applyFill="1" applyBorder="1" applyAlignment="1">
      <alignment horizontal="center"/>
    </xf>
    <xf numFmtId="37" fontId="20" fillId="5" borderId="9" xfId="22" applyNumberFormat="1" applyFont="1" applyFill="1" applyBorder="1" applyAlignment="1">
      <alignment vertical="center"/>
    </xf>
    <xf numFmtId="17" fontId="18" fillId="4" borderId="10" xfId="22" applyNumberFormat="1" applyFont="1" applyFill="1" applyBorder="1" applyAlignment="1">
      <alignment horizontal="center"/>
    </xf>
    <xf numFmtId="0" fontId="40" fillId="0" borderId="0" xfId="0" applyFont="1">
      <alignment vertical="center"/>
    </xf>
    <xf numFmtId="0" fontId="17" fillId="0" borderId="0" xfId="22" applyFont="1" applyAlignment="1">
      <alignment horizontal="left"/>
    </xf>
    <xf numFmtId="0" fontId="17" fillId="0" borderId="13" xfId="22" applyFont="1" applyBorder="1" applyAlignment="1">
      <alignment horizontal="left"/>
    </xf>
    <xf numFmtId="0" fontId="9" fillId="0" borderId="15" xfId="22" applyBorder="1"/>
    <xf numFmtId="0" fontId="9" fillId="0" borderId="16" xfId="22" applyBorder="1"/>
    <xf numFmtId="0" fontId="9" fillId="0" borderId="17" xfId="22" applyBorder="1"/>
    <xf numFmtId="0" fontId="9" fillId="0" borderId="13" xfId="22" applyBorder="1"/>
    <xf numFmtId="0" fontId="24" fillId="0" borderId="13" xfId="22" applyFont="1" applyBorder="1"/>
    <xf numFmtId="0" fontId="17" fillId="0" borderId="13" xfId="22" applyFont="1" applyBorder="1" applyAlignment="1">
      <alignment horizontal="center"/>
    </xf>
    <xf numFmtId="9" fontId="17" fillId="0" borderId="0" xfId="80" applyFont="1" applyAlignment="1"/>
    <xf numFmtId="0" fontId="9" fillId="0" borderId="12" xfId="22" applyBorder="1"/>
    <xf numFmtId="0" fontId="23" fillId="0" borderId="12" xfId="22" applyFont="1" applyBorder="1" applyAlignment="1">
      <alignment horizontal="center"/>
    </xf>
    <xf numFmtId="0" fontId="23" fillId="0" borderId="0" xfId="22" applyFont="1" applyAlignment="1">
      <alignment horizontal="center"/>
    </xf>
    <xf numFmtId="0" fontId="23" fillId="0" borderId="13" xfId="22" applyFont="1" applyBorder="1" applyAlignment="1">
      <alignment horizontal="center"/>
    </xf>
    <xf numFmtId="0" fontId="17" fillId="0" borderId="12" xfId="22" applyFont="1" applyBorder="1"/>
    <xf numFmtId="9" fontId="9" fillId="6" borderId="9" xfId="81" applyFont="1" applyFill="1" applyBorder="1" applyAlignment="1"/>
    <xf numFmtId="9" fontId="9" fillId="5" borderId="9" xfId="81" applyFont="1" applyFill="1" applyBorder="1" applyAlignment="1"/>
    <xf numFmtId="9" fontId="40" fillId="0" borderId="0" xfId="81" applyFont="1">
      <alignment vertical="center"/>
    </xf>
    <xf numFmtId="37" fontId="9" fillId="6" borderId="9" xfId="22" applyNumberFormat="1" applyFill="1" applyBorder="1" applyAlignment="1">
      <alignment vertical="center"/>
    </xf>
    <xf numFmtId="17" fontId="18" fillId="4" borderId="5" xfId="22" applyNumberFormat="1" applyFont="1" applyFill="1" applyBorder="1" applyAlignment="1">
      <alignment horizontal="center"/>
    </xf>
    <xf numFmtId="17" fontId="18" fillId="4" borderId="6" xfId="22" applyNumberFormat="1" applyFont="1" applyFill="1" applyBorder="1" applyAlignment="1">
      <alignment horizontal="center"/>
    </xf>
    <xf numFmtId="0" fontId="18" fillId="4" borderId="9" xfId="22" applyFont="1" applyFill="1" applyBorder="1" applyAlignment="1">
      <alignment horizontal="center"/>
    </xf>
    <xf numFmtId="37" fontId="9" fillId="6" borderId="7" xfId="22" applyNumberFormat="1" applyFill="1" applyBorder="1"/>
    <xf numFmtId="37" fontId="9" fillId="5" borderId="7" xfId="22" applyNumberFormat="1" applyFill="1" applyBorder="1"/>
    <xf numFmtId="0" fontId="18" fillId="4" borderId="0" xfId="22" applyFont="1" applyFill="1" applyAlignment="1">
      <alignment horizontal="center"/>
    </xf>
    <xf numFmtId="17" fontId="18" fillId="4" borderId="0" xfId="22" applyNumberFormat="1" applyFont="1" applyFill="1" applyAlignment="1">
      <alignment horizontal="center"/>
    </xf>
    <xf numFmtId="0" fontId="18" fillId="4" borderId="10" xfId="22" applyFont="1" applyFill="1" applyBorder="1" applyAlignment="1">
      <alignment horizontal="center"/>
    </xf>
    <xf numFmtId="37" fontId="17" fillId="0" borderId="9" xfId="22" applyNumberFormat="1" applyFont="1" applyBorder="1"/>
    <xf numFmtId="37" fontId="17" fillId="22" borderId="9" xfId="22" applyNumberFormat="1" applyFont="1" applyFill="1" applyBorder="1"/>
    <xf numFmtId="41" fontId="9" fillId="0" borderId="3" xfId="22" applyNumberFormat="1" applyBorder="1"/>
    <xf numFmtId="41" fontId="9" fillId="0" borderId="3" xfId="20" applyFont="1" applyBorder="1" applyAlignment="1"/>
    <xf numFmtId="9" fontId="17" fillId="0" borderId="3" xfId="81" applyFont="1" applyBorder="1" applyAlignment="1">
      <alignment horizontal="center"/>
    </xf>
    <xf numFmtId="0" fontId="45" fillId="0" borderId="0" xfId="22" applyFont="1" applyAlignment="1">
      <alignment horizontal="left" vertical="center" wrapText="1"/>
    </xf>
    <xf numFmtId="0" fontId="46" fillId="0" borderId="0" xfId="22" quotePrefix="1" applyFont="1" applyAlignment="1">
      <alignment horizontal="left" vertical="top" wrapText="1"/>
    </xf>
    <xf numFmtId="0" fontId="47" fillId="0" borderId="0" xfId="22" applyFont="1"/>
    <xf numFmtId="0" fontId="48" fillId="0" borderId="0" xfId="22" applyFont="1"/>
    <xf numFmtId="0" fontId="50" fillId="0" borderId="0" xfId="22" applyFont="1"/>
    <xf numFmtId="0" fontId="48" fillId="0" borderId="0" xfId="0" applyFont="1">
      <alignment vertical="center"/>
    </xf>
    <xf numFmtId="0" fontId="48" fillId="18" borderId="37" xfId="22" applyFont="1" applyFill="1" applyBorder="1" applyAlignment="1">
      <alignment horizontal="center" vertical="center"/>
    </xf>
    <xf numFmtId="0" fontId="49" fillId="19" borderId="37" xfId="22" applyFont="1" applyFill="1" applyBorder="1" applyAlignment="1">
      <alignment horizontal="center" vertical="center"/>
    </xf>
    <xf numFmtId="0" fontId="49" fillId="18" borderId="37" xfId="22" applyFont="1" applyFill="1" applyBorder="1" applyAlignment="1">
      <alignment horizontal="center" vertical="center"/>
    </xf>
    <xf numFmtId="0" fontId="49" fillId="18" borderId="38" xfId="22" applyFont="1" applyFill="1" applyBorder="1" applyAlignment="1">
      <alignment horizontal="center" vertical="center"/>
    </xf>
    <xf numFmtId="41" fontId="9" fillId="0" borderId="0" xfId="20" applyFont="1" applyBorder="1" applyAlignment="1"/>
    <xf numFmtId="9" fontId="17" fillId="0" borderId="0" xfId="81" applyFont="1" applyBorder="1" applyAlignment="1">
      <alignment horizontal="center"/>
    </xf>
    <xf numFmtId="0" fontId="38" fillId="0" borderId="0" xfId="22" applyFont="1"/>
    <xf numFmtId="0" fontId="39" fillId="0" borderId="0" xfId="22" applyFont="1"/>
    <xf numFmtId="37" fontId="9" fillId="19" borderId="3" xfId="22" applyNumberFormat="1" applyFill="1" applyBorder="1"/>
    <xf numFmtId="9" fontId="17" fillId="19" borderId="3" xfId="81" applyFont="1" applyFill="1" applyBorder="1" applyAlignment="1">
      <alignment horizontal="center"/>
    </xf>
    <xf numFmtId="37" fontId="17" fillId="19" borderId="3" xfId="22" applyNumberFormat="1" applyFont="1" applyFill="1" applyBorder="1"/>
    <xf numFmtId="41" fontId="24" fillId="0" borderId="0" xfId="20" applyFont="1" applyFill="1" applyAlignment="1"/>
    <xf numFmtId="37" fontId="48" fillId="0" borderId="0" xfId="0" applyNumberFormat="1" applyFont="1">
      <alignment vertical="center"/>
    </xf>
    <xf numFmtId="0" fontId="51" fillId="0" borderId="0" xfId="22" applyFont="1" applyAlignment="1">
      <alignment horizontal="center" vertical="top" wrapText="1"/>
    </xf>
    <xf numFmtId="0" fontId="51" fillId="0" borderId="0" xfId="22" applyFont="1" applyAlignment="1">
      <alignment horizontal="center" vertical="center" wrapText="1"/>
    </xf>
    <xf numFmtId="0" fontId="14" fillId="0" borderId="0" xfId="22" applyFont="1"/>
    <xf numFmtId="41" fontId="48" fillId="0" borderId="27" xfId="20" applyFont="1" applyBorder="1">
      <alignment vertical="center"/>
    </xf>
    <xf numFmtId="41" fontId="48" fillId="0" borderId="3" xfId="20" applyFont="1" applyBorder="1">
      <alignment vertical="center"/>
    </xf>
    <xf numFmtId="0" fontId="52" fillId="0" borderId="0" xfId="22" applyFont="1" applyAlignment="1">
      <alignment horizontal="center" vertical="top" wrapText="1"/>
    </xf>
    <xf numFmtId="0" fontId="53" fillId="0" borderId="0" xfId="22" applyFont="1" applyAlignment="1">
      <alignment horizontal="left" vertical="center" wrapText="1"/>
    </xf>
    <xf numFmtId="0" fontId="54" fillId="0" borderId="0" xfId="22" applyFont="1"/>
    <xf numFmtId="41" fontId="55" fillId="0" borderId="0" xfId="87" applyFont="1" applyAlignment="1"/>
    <xf numFmtId="41" fontId="56" fillId="0" borderId="0" xfId="87" applyFont="1" applyAlignment="1"/>
    <xf numFmtId="9" fontId="9" fillId="0" borderId="0" xfId="81" applyFont="1" applyAlignment="1"/>
    <xf numFmtId="0" fontId="53" fillId="0" borderId="0" xfId="22" applyFont="1" applyAlignment="1">
      <alignment horizontal="center" vertical="center" wrapText="1"/>
    </xf>
    <xf numFmtId="41" fontId="48" fillId="22" borderId="3" xfId="20" applyFont="1" applyFill="1" applyBorder="1">
      <alignment vertical="center"/>
    </xf>
    <xf numFmtId="41" fontId="48" fillId="19" borderId="34" xfId="20" applyFont="1" applyFill="1" applyBorder="1">
      <alignment vertical="center"/>
    </xf>
    <xf numFmtId="41" fontId="48" fillId="21" borderId="34" xfId="20" applyFont="1" applyFill="1" applyBorder="1">
      <alignment vertical="center"/>
    </xf>
    <xf numFmtId="41" fontId="48" fillId="23" borderId="34" xfId="20" applyFont="1" applyFill="1" applyBorder="1">
      <alignment vertical="center"/>
    </xf>
    <xf numFmtId="41" fontId="48" fillId="20" borderId="34" xfId="20" applyFont="1" applyFill="1" applyBorder="1">
      <alignment vertical="center"/>
    </xf>
    <xf numFmtId="41" fontId="48" fillId="24" borderId="34" xfId="20" applyFont="1" applyFill="1" applyBorder="1">
      <alignment vertical="center"/>
    </xf>
    <xf numFmtId="41" fontId="57" fillId="0" borderId="0" xfId="20" applyFont="1" applyFill="1">
      <alignment vertical="center"/>
    </xf>
    <xf numFmtId="41" fontId="48" fillId="0" borderId="0" xfId="20" applyFont="1" applyFill="1">
      <alignment vertical="center"/>
    </xf>
    <xf numFmtId="43" fontId="48" fillId="0" borderId="0" xfId="0" applyNumberFormat="1" applyFont="1">
      <alignment vertical="center"/>
    </xf>
    <xf numFmtId="0" fontId="48" fillId="0" borderId="27" xfId="0" applyFont="1" applyBorder="1" applyAlignment="1">
      <alignment horizontal="center" vertical="center"/>
    </xf>
    <xf numFmtId="0" fontId="48" fillId="0" borderId="3" xfId="0" applyFont="1" applyBorder="1" applyAlignment="1">
      <alignment horizontal="center" vertical="center"/>
    </xf>
    <xf numFmtId="0" fontId="48" fillId="0" borderId="23" xfId="0" applyFont="1" applyBorder="1" applyAlignment="1">
      <alignment horizontal="center" vertical="center"/>
    </xf>
    <xf numFmtId="0" fontId="58" fillId="0" borderId="0" xfId="22" applyFont="1"/>
    <xf numFmtId="0" fontId="59" fillId="0" borderId="0" xfId="22" applyFont="1"/>
    <xf numFmtId="0" fontId="62" fillId="0" borderId="0" xfId="22" applyFont="1"/>
    <xf numFmtId="41" fontId="60" fillId="0" borderId="0" xfId="20" applyFont="1" applyAlignment="1">
      <alignment horizontal="left"/>
    </xf>
    <xf numFmtId="41" fontId="63" fillId="0" borderId="0" xfId="20" applyFont="1" applyAlignment="1">
      <alignment wrapText="1"/>
    </xf>
    <xf numFmtId="0" fontId="64" fillId="0" borderId="0" xfId="22" applyFont="1" applyAlignment="1">
      <alignment horizontal="left" vertical="center" wrapText="1"/>
    </xf>
    <xf numFmtId="0" fontId="63" fillId="0" borderId="0" xfId="22" applyFont="1"/>
    <xf numFmtId="0" fontId="60" fillId="0" borderId="0" xfId="22" applyFont="1"/>
    <xf numFmtId="41" fontId="63" fillId="0" borderId="0" xfId="20" applyFont="1" applyAlignment="1">
      <alignment vertical="center"/>
    </xf>
    <xf numFmtId="0" fontId="61" fillId="0" borderId="0" xfId="22" applyFont="1" applyAlignment="1">
      <alignment horizontal="left" vertical="center" wrapText="1"/>
    </xf>
    <xf numFmtId="0" fontId="61" fillId="0" borderId="0" xfId="22" applyFont="1" applyAlignment="1">
      <alignment horizontal="center" vertical="top" wrapText="1"/>
    </xf>
    <xf numFmtId="0" fontId="61" fillId="0" borderId="0" xfId="22" applyFont="1" applyAlignment="1">
      <alignment horizontal="left" vertical="top" wrapText="1"/>
    </xf>
    <xf numFmtId="0" fontId="65" fillId="0" borderId="0" xfId="22" applyFont="1" applyAlignment="1">
      <alignment horizontal="center" vertical="center" wrapText="1"/>
    </xf>
    <xf numFmtId="41" fontId="60" fillId="0" borderId="0" xfId="20" applyFont="1" applyAlignment="1"/>
    <xf numFmtId="0" fontId="61" fillId="0" borderId="0" xfId="22" applyFont="1" applyAlignment="1">
      <alignment horizontal="center" vertical="center" wrapText="1"/>
    </xf>
    <xf numFmtId="0" fontId="65" fillId="0" borderId="0" xfId="22" applyFont="1" applyAlignment="1">
      <alignment horizontal="left" vertical="center" wrapText="1"/>
    </xf>
    <xf numFmtId="0" fontId="65" fillId="0" borderId="0" xfId="22" applyFont="1" applyAlignment="1">
      <alignment horizontal="center" vertical="top" wrapText="1"/>
    </xf>
    <xf numFmtId="41" fontId="14" fillId="0" borderId="0" xfId="20" applyFont="1" applyAlignment="1"/>
    <xf numFmtId="192" fontId="9" fillId="0" borderId="0" xfId="20" applyNumberFormat="1" applyFont="1" applyAlignment="1"/>
    <xf numFmtId="0" fontId="67" fillId="0" borderId="0" xfId="22" applyFont="1" applyAlignment="1">
      <alignment horizontal="left" vertical="center" wrapText="1"/>
    </xf>
    <xf numFmtId="0" fontId="68" fillId="0" borderId="0" xfId="22" applyFont="1"/>
    <xf numFmtId="0" fontId="40" fillId="12" borderId="36" xfId="88" applyFill="1" applyBorder="1" applyAlignment="1">
      <alignment horizontal="center" vertical="center"/>
    </xf>
    <xf numFmtId="0" fontId="40" fillId="12" borderId="37" xfId="88" applyFill="1" applyBorder="1" applyAlignment="1">
      <alignment horizontal="center" vertical="center"/>
    </xf>
    <xf numFmtId="0" fontId="40" fillId="13" borderId="37" xfId="88" applyFill="1" applyBorder="1" applyAlignment="1">
      <alignment horizontal="center" vertical="center"/>
    </xf>
    <xf numFmtId="0" fontId="42" fillId="25" borderId="38" xfId="88" applyFont="1" applyFill="1" applyBorder="1" applyAlignment="1">
      <alignment horizontal="center" vertical="center"/>
    </xf>
    <xf numFmtId="0" fontId="40" fillId="0" borderId="0" xfId="88">
      <alignment vertical="center"/>
    </xf>
    <xf numFmtId="0" fontId="42" fillId="0" borderId="0" xfId="88" applyFont="1" applyAlignment="1">
      <alignment horizontal="center" vertical="center"/>
    </xf>
    <xf numFmtId="41" fontId="0" fillId="0" borderId="0" xfId="89" applyFont="1">
      <alignment vertical="center"/>
    </xf>
    <xf numFmtId="41" fontId="0" fillId="0" borderId="0" xfId="89" applyFont="1" applyFill="1" applyBorder="1">
      <alignment vertical="center"/>
    </xf>
    <xf numFmtId="0" fontId="40" fillId="0" borderId="0" xfId="88" applyAlignment="1">
      <alignment horizontal="center" vertical="center"/>
    </xf>
    <xf numFmtId="41" fontId="70" fillId="0" borderId="3" xfId="89" applyFont="1" applyBorder="1" applyAlignment="1">
      <alignment horizontal="center" vertical="center"/>
    </xf>
    <xf numFmtId="41" fontId="70" fillId="0" borderId="34" xfId="89" applyFont="1" applyBorder="1" applyAlignment="1">
      <alignment horizontal="center" vertical="center"/>
    </xf>
    <xf numFmtId="41" fontId="0" fillId="0" borderId="0" xfId="89" applyFont="1" applyAlignment="1">
      <alignment horizontal="center" vertical="center"/>
    </xf>
    <xf numFmtId="41" fontId="42" fillId="0" borderId="0" xfId="89" applyFont="1" applyAlignment="1">
      <alignment horizontal="center" vertical="center"/>
    </xf>
    <xf numFmtId="41" fontId="24" fillId="0" borderId="3" xfId="89" applyFont="1" applyBorder="1" applyAlignment="1">
      <alignment horizontal="center" vertical="center"/>
    </xf>
    <xf numFmtId="41" fontId="24" fillId="13" borderId="3" xfId="89" applyFont="1" applyFill="1" applyBorder="1" applyAlignment="1">
      <alignment horizontal="center" vertical="center"/>
    </xf>
    <xf numFmtId="41" fontId="24" fillId="0" borderId="23" xfId="89" applyFont="1" applyBorder="1" applyAlignment="1">
      <alignment horizontal="center" vertical="center"/>
    </xf>
    <xf numFmtId="41" fontId="24" fillId="13" borderId="23" xfId="89" applyFont="1" applyFill="1" applyBorder="1" applyAlignment="1">
      <alignment horizontal="center" vertical="center"/>
    </xf>
    <xf numFmtId="41" fontId="24" fillId="0" borderId="34" xfId="89" applyFont="1" applyBorder="1" applyAlignment="1">
      <alignment horizontal="center" vertical="center"/>
    </xf>
    <xf numFmtId="41" fontId="24" fillId="0" borderId="27" xfId="89" applyFont="1" applyBorder="1" applyAlignment="1">
      <alignment horizontal="center" vertical="center"/>
    </xf>
    <xf numFmtId="41" fontId="24" fillId="13" borderId="27" xfId="89" applyFont="1" applyFill="1" applyBorder="1" applyAlignment="1">
      <alignment horizontal="center" vertical="center"/>
    </xf>
    <xf numFmtId="41" fontId="24" fillId="0" borderId="21" xfId="89" applyFont="1" applyBorder="1" applyAlignment="1">
      <alignment horizontal="center" vertical="center"/>
    </xf>
    <xf numFmtId="41" fontId="24" fillId="13" borderId="20" xfId="89" applyFont="1" applyFill="1" applyBorder="1" applyAlignment="1">
      <alignment horizontal="center" vertical="center"/>
    </xf>
    <xf numFmtId="41" fontId="71" fillId="25" borderId="31" xfId="89" applyFont="1" applyFill="1" applyBorder="1" applyAlignment="1">
      <alignment horizontal="center" vertical="center"/>
    </xf>
    <xf numFmtId="41" fontId="71" fillId="25" borderId="42" xfId="89" applyFont="1" applyFill="1" applyBorder="1" applyAlignment="1">
      <alignment horizontal="center" vertical="center"/>
    </xf>
    <xf numFmtId="41" fontId="72" fillId="0" borderId="34" xfId="89" applyFont="1" applyBorder="1" applyAlignment="1">
      <alignment horizontal="center" vertical="center"/>
    </xf>
    <xf numFmtId="41" fontId="72" fillId="13" borderId="34" xfId="89" applyFont="1" applyFill="1" applyBorder="1" applyAlignment="1">
      <alignment horizontal="center" vertical="center"/>
    </xf>
    <xf numFmtId="41" fontId="72" fillId="25" borderId="35" xfId="89" applyFont="1" applyFill="1" applyBorder="1" applyAlignment="1">
      <alignment horizontal="center" vertical="center"/>
    </xf>
    <xf numFmtId="41" fontId="71" fillId="25" borderId="28" xfId="89" applyFont="1" applyFill="1" applyBorder="1" applyAlignment="1">
      <alignment horizontal="center" vertical="center"/>
    </xf>
    <xf numFmtId="41" fontId="71" fillId="25" borderId="35" xfId="89" applyFont="1" applyFill="1" applyBorder="1" applyAlignment="1">
      <alignment horizontal="center" vertical="center"/>
    </xf>
    <xf numFmtId="41" fontId="71" fillId="25" borderId="32" xfId="89" applyFont="1" applyFill="1" applyBorder="1" applyAlignment="1">
      <alignment horizontal="center" vertical="center"/>
    </xf>
    <xf numFmtId="41" fontId="72" fillId="25" borderId="28" xfId="89" applyFont="1" applyFill="1" applyBorder="1" applyAlignment="1">
      <alignment horizontal="center" vertical="center"/>
    </xf>
    <xf numFmtId="41" fontId="73" fillId="0" borderId="23" xfId="89" applyFont="1" applyBorder="1" applyAlignment="1">
      <alignment horizontal="center" vertical="center"/>
    </xf>
    <xf numFmtId="41" fontId="72" fillId="25" borderId="31" xfId="89" applyFont="1" applyFill="1" applyBorder="1" applyAlignment="1">
      <alignment horizontal="center" vertical="center"/>
    </xf>
    <xf numFmtId="41" fontId="73" fillId="0" borderId="3" xfId="89" applyFont="1" applyBorder="1" applyAlignment="1">
      <alignment horizontal="center" vertical="center"/>
    </xf>
    <xf numFmtId="41" fontId="73" fillId="0" borderId="34" xfId="89" applyFont="1" applyBorder="1" applyAlignment="1">
      <alignment horizontal="center" vertical="center"/>
    </xf>
    <xf numFmtId="41" fontId="72" fillId="13" borderId="34" xfId="90" applyFont="1" applyFill="1" applyBorder="1" applyAlignment="1">
      <alignment horizontal="center" vertical="center"/>
    </xf>
    <xf numFmtId="41" fontId="71" fillId="25" borderId="35" xfId="90" applyFont="1" applyFill="1" applyBorder="1" applyAlignment="1">
      <alignment horizontal="center" vertical="center"/>
    </xf>
    <xf numFmtId="3" fontId="0" fillId="0" borderId="0" xfId="89" applyNumberFormat="1" applyFont="1" applyFill="1" applyBorder="1">
      <alignment vertical="center"/>
    </xf>
    <xf numFmtId="3" fontId="40" fillId="0" borderId="0" xfId="88" applyNumberFormat="1">
      <alignment vertical="center"/>
    </xf>
    <xf numFmtId="0" fontId="66" fillId="0" borderId="0" xfId="22" applyFont="1" applyAlignment="1">
      <alignment horizontal="right"/>
    </xf>
    <xf numFmtId="0" fontId="74" fillId="0" borderId="0" xfId="22" applyFont="1" applyAlignment="1">
      <alignment horizontal="left" vertical="center" wrapText="1"/>
    </xf>
    <xf numFmtId="0" fontId="75" fillId="0" borderId="0" xfId="22" applyFont="1" applyAlignment="1">
      <alignment horizontal="left" vertical="center" wrapText="1"/>
    </xf>
    <xf numFmtId="41" fontId="76" fillId="0" borderId="27" xfId="89" applyFont="1" applyBorder="1" applyAlignment="1">
      <alignment horizontal="center" vertical="center"/>
    </xf>
    <xf numFmtId="41" fontId="77" fillId="0" borderId="27" xfId="89" applyFont="1" applyBorder="1" applyAlignment="1">
      <alignment horizontal="center" vertical="center"/>
    </xf>
    <xf numFmtId="41" fontId="76" fillId="0" borderId="23" xfId="89" applyFont="1" applyBorder="1" applyAlignment="1">
      <alignment horizontal="center" vertical="center"/>
    </xf>
    <xf numFmtId="41" fontId="77" fillId="0" borderId="23" xfId="89" applyFont="1" applyBorder="1" applyAlignment="1">
      <alignment horizontal="center" vertical="center"/>
    </xf>
    <xf numFmtId="41" fontId="77" fillId="0" borderId="3" xfId="89" applyFont="1" applyBorder="1" applyAlignment="1">
      <alignment horizontal="center" vertical="center"/>
    </xf>
    <xf numFmtId="41" fontId="70" fillId="0" borderId="21" xfId="89" applyFont="1" applyBorder="1" applyAlignment="1">
      <alignment horizontal="center" vertical="center"/>
    </xf>
    <xf numFmtId="41" fontId="24" fillId="13" borderId="21" xfId="89" applyFont="1" applyFill="1" applyBorder="1" applyAlignment="1">
      <alignment horizontal="center" vertical="center"/>
    </xf>
    <xf numFmtId="41" fontId="24" fillId="0" borderId="34" xfId="89" applyFont="1" applyBorder="1" applyAlignment="1">
      <alignment horizontal="left" vertical="center"/>
    </xf>
    <xf numFmtId="41" fontId="24" fillId="0" borderId="34" xfId="90" applyFont="1" applyBorder="1" applyAlignment="1">
      <alignment horizontal="left" vertical="center"/>
    </xf>
    <xf numFmtId="41" fontId="72" fillId="0" borderId="34" xfId="90" applyFont="1" applyBorder="1" applyAlignment="1">
      <alignment horizontal="left" vertical="center"/>
    </xf>
    <xf numFmtId="41" fontId="72" fillId="13" borderId="34" xfId="90" applyFont="1" applyFill="1" applyBorder="1" applyAlignment="1">
      <alignment horizontal="left" vertical="center"/>
    </xf>
    <xf numFmtId="41" fontId="40" fillId="0" borderId="0" xfId="88" applyNumberFormat="1" applyAlignment="1">
      <alignment horizontal="center" vertical="center"/>
    </xf>
    <xf numFmtId="41" fontId="24" fillId="0" borderId="0" xfId="89" applyFont="1" applyAlignment="1">
      <alignment horizontal="center" vertical="center"/>
    </xf>
    <xf numFmtId="41" fontId="72" fillId="0" borderId="34" xfId="89" applyFont="1" applyBorder="1" applyAlignment="1">
      <alignment horizontal="left" vertical="center"/>
    </xf>
    <xf numFmtId="41" fontId="39" fillId="0" borderId="0" xfId="20" applyFont="1" applyAlignment="1">
      <alignment vertical="center"/>
    </xf>
    <xf numFmtId="193" fontId="9" fillId="0" borderId="0" xfId="81" applyNumberFormat="1" applyFont="1" applyAlignment="1"/>
    <xf numFmtId="41" fontId="48" fillId="22" borderId="34" xfId="20" applyFont="1" applyFill="1" applyBorder="1">
      <alignment vertical="center"/>
    </xf>
    <xf numFmtId="9" fontId="17" fillId="0" borderId="0" xfId="81" applyFont="1" applyFill="1" applyBorder="1" applyAlignment="1">
      <alignment horizontal="center"/>
    </xf>
    <xf numFmtId="41" fontId="48" fillId="0" borderId="31" xfId="20" applyFont="1" applyBorder="1">
      <alignment vertical="center"/>
    </xf>
    <xf numFmtId="41" fontId="48" fillId="0" borderId="28" xfId="20" applyFont="1" applyBorder="1">
      <alignment vertical="center"/>
    </xf>
    <xf numFmtId="41" fontId="48" fillId="19" borderId="35" xfId="20" applyFont="1" applyFill="1" applyBorder="1">
      <alignment vertical="center"/>
    </xf>
    <xf numFmtId="41" fontId="48" fillId="21" borderId="35" xfId="20" applyFont="1" applyFill="1" applyBorder="1">
      <alignment vertical="center"/>
    </xf>
    <xf numFmtId="41" fontId="48" fillId="23" borderId="35" xfId="20" applyFont="1" applyFill="1" applyBorder="1">
      <alignment vertical="center"/>
    </xf>
    <xf numFmtId="41" fontId="48" fillId="22" borderId="31" xfId="20" applyFont="1" applyFill="1" applyBorder="1">
      <alignment vertical="center"/>
    </xf>
    <xf numFmtId="41" fontId="48" fillId="20" borderId="35" xfId="20" applyFont="1" applyFill="1" applyBorder="1">
      <alignment vertical="center"/>
    </xf>
    <xf numFmtId="41" fontId="48" fillId="24" borderId="35" xfId="20" applyFont="1" applyFill="1" applyBorder="1">
      <alignment vertical="center"/>
    </xf>
    <xf numFmtId="41" fontId="39" fillId="0" borderId="0" xfId="20" applyFont="1" applyAlignment="1">
      <alignment wrapText="1"/>
    </xf>
    <xf numFmtId="41" fontId="9" fillId="0" borderId="0" xfId="20" applyFont="1" applyAlignment="1">
      <alignment horizontal="left"/>
    </xf>
    <xf numFmtId="0" fontId="29" fillId="0" borderId="0" xfId="22" applyFont="1" applyAlignment="1">
      <alignment horizontal="right" vertical="center"/>
    </xf>
    <xf numFmtId="0" fontId="48" fillId="18" borderId="36" xfId="22" applyFont="1" applyFill="1" applyBorder="1" applyAlignment="1">
      <alignment horizontal="center" vertical="center"/>
    </xf>
    <xf numFmtId="41" fontId="9" fillId="6" borderId="9" xfId="20" applyFont="1" applyFill="1" applyBorder="1" applyAlignment="1"/>
    <xf numFmtId="41" fontId="57" fillId="0" borderId="23" xfId="20" applyFont="1" applyBorder="1">
      <alignment vertical="center"/>
    </xf>
    <xf numFmtId="0" fontId="24" fillId="0" borderId="0" xfId="0" applyFont="1">
      <alignment vertical="center"/>
    </xf>
    <xf numFmtId="0" fontId="24" fillId="0" borderId="0" xfId="0" quotePrefix="1" applyFont="1">
      <alignment vertical="center"/>
    </xf>
    <xf numFmtId="0" fontId="49" fillId="18" borderId="53" xfId="22" applyFont="1" applyFill="1" applyBorder="1" applyAlignment="1">
      <alignment horizontal="center" vertical="center"/>
    </xf>
    <xf numFmtId="0" fontId="49" fillId="18" borderId="52" xfId="22" applyFont="1" applyFill="1" applyBorder="1" applyAlignment="1">
      <alignment horizontal="center" vertical="center"/>
    </xf>
    <xf numFmtId="0" fontId="49" fillId="0" borderId="0" xfId="22" applyFont="1" applyAlignment="1">
      <alignment horizontal="center" vertical="center"/>
    </xf>
    <xf numFmtId="0" fontId="48" fillId="19" borderId="46" xfId="0" applyFont="1" applyFill="1" applyBorder="1" applyAlignment="1">
      <alignment horizontal="center" vertical="center"/>
    </xf>
    <xf numFmtId="37" fontId="48" fillId="0" borderId="23" xfId="0" applyNumberFormat="1" applyFont="1" applyBorder="1">
      <alignment vertical="center"/>
    </xf>
    <xf numFmtId="37" fontId="48" fillId="0" borderId="3" xfId="0" applyNumberFormat="1" applyFont="1" applyBorder="1">
      <alignment vertical="center"/>
    </xf>
    <xf numFmtId="37" fontId="48" fillId="0" borderId="18" xfId="0" applyNumberFormat="1" applyFont="1" applyBorder="1">
      <alignment vertical="center"/>
    </xf>
    <xf numFmtId="37" fontId="50" fillId="0" borderId="41" xfId="0" applyNumberFormat="1" applyFont="1" applyBorder="1">
      <alignment vertical="center"/>
    </xf>
    <xf numFmtId="37" fontId="50" fillId="0" borderId="0" xfId="0" applyNumberFormat="1" applyFont="1">
      <alignment vertical="center"/>
    </xf>
    <xf numFmtId="0" fontId="48" fillId="19" borderId="54" xfId="0" applyFont="1" applyFill="1" applyBorder="1" applyAlignment="1">
      <alignment horizontal="center" vertical="center"/>
    </xf>
    <xf numFmtId="37" fontId="48" fillId="19" borderId="34" xfId="0" applyNumberFormat="1" applyFont="1" applyFill="1" applyBorder="1">
      <alignment vertical="center"/>
    </xf>
    <xf numFmtId="37" fontId="48" fillId="19" borderId="55" xfId="0" applyNumberFormat="1" applyFont="1" applyFill="1" applyBorder="1">
      <alignment vertical="center"/>
    </xf>
    <xf numFmtId="37" fontId="50" fillId="19" borderId="43" xfId="0" applyNumberFormat="1" applyFont="1" applyFill="1" applyBorder="1">
      <alignment vertical="center"/>
    </xf>
    <xf numFmtId="0" fontId="48" fillId="26" borderId="46" xfId="0" applyFont="1" applyFill="1" applyBorder="1" applyAlignment="1">
      <alignment horizontal="center" vertical="center"/>
    </xf>
    <xf numFmtId="0" fontId="48" fillId="26" borderId="54" xfId="0" applyFont="1" applyFill="1" applyBorder="1" applyAlignment="1">
      <alignment horizontal="center" vertical="center"/>
    </xf>
    <xf numFmtId="41" fontId="48" fillId="26" borderId="34" xfId="20" applyFont="1" applyFill="1" applyBorder="1" applyAlignment="1">
      <alignment horizontal="center" vertical="center"/>
    </xf>
    <xf numFmtId="41" fontId="48" fillId="26" borderId="55" xfId="20" applyFont="1" applyFill="1" applyBorder="1" applyAlignment="1">
      <alignment horizontal="center" vertical="center"/>
    </xf>
    <xf numFmtId="41" fontId="50" fillId="26" borderId="43" xfId="20" applyFont="1" applyFill="1" applyBorder="1" applyAlignment="1">
      <alignment horizontal="center" vertical="center"/>
    </xf>
    <xf numFmtId="41" fontId="50" fillId="0" borderId="0" xfId="20" applyFont="1" applyFill="1" applyBorder="1" applyAlignment="1">
      <alignment horizontal="center" vertical="center"/>
    </xf>
    <xf numFmtId="41" fontId="79" fillId="27" borderId="23" xfId="20" applyFont="1" applyFill="1" applyBorder="1" applyAlignment="1">
      <alignment horizontal="center" vertical="center"/>
    </xf>
    <xf numFmtId="41" fontId="79" fillId="27" borderId="22" xfId="20" applyFont="1" applyFill="1" applyBorder="1" applyAlignment="1">
      <alignment horizontal="center" vertical="center"/>
    </xf>
    <xf numFmtId="37" fontId="79" fillId="12" borderId="41" xfId="0" applyNumberFormat="1" applyFont="1" applyFill="1" applyBorder="1">
      <alignment vertical="center"/>
    </xf>
    <xf numFmtId="41" fontId="79" fillId="27" borderId="8" xfId="20" applyFont="1" applyFill="1" applyBorder="1" applyAlignment="1">
      <alignment horizontal="center" vertical="center"/>
    </xf>
    <xf numFmtId="41" fontId="79" fillId="0" borderId="0" xfId="20" applyFont="1" applyFill="1" applyBorder="1" applyAlignment="1">
      <alignment horizontal="center" vertical="center"/>
    </xf>
    <xf numFmtId="0" fontId="48" fillId="0" borderId="3" xfId="22" applyFont="1" applyBorder="1" applyAlignment="1">
      <alignment horizontal="center" vertical="center"/>
    </xf>
    <xf numFmtId="9" fontId="80" fillId="0" borderId="3" xfId="81" applyFont="1" applyFill="1" applyBorder="1" applyAlignment="1">
      <alignment horizontal="right" vertical="center"/>
    </xf>
    <xf numFmtId="9" fontId="80" fillId="0" borderId="18" xfId="81" applyFont="1" applyFill="1" applyBorder="1" applyAlignment="1">
      <alignment horizontal="right" vertical="center"/>
    </xf>
    <xf numFmtId="9" fontId="80" fillId="0" borderId="8" xfId="81" applyFont="1" applyFill="1" applyBorder="1" applyAlignment="1">
      <alignment horizontal="right" vertical="center"/>
    </xf>
    <xf numFmtId="9" fontId="80" fillId="0" borderId="0" xfId="81" applyFont="1" applyFill="1" applyBorder="1" applyAlignment="1">
      <alignment horizontal="right" vertical="center"/>
    </xf>
    <xf numFmtId="41" fontId="79" fillId="12" borderId="3" xfId="20" applyFont="1" applyFill="1" applyBorder="1" applyAlignment="1">
      <alignment horizontal="center" vertical="center"/>
    </xf>
    <xf numFmtId="37" fontId="79" fillId="12" borderId="3" xfId="0" applyNumberFormat="1" applyFont="1" applyFill="1" applyBorder="1">
      <alignment vertical="center"/>
    </xf>
    <xf numFmtId="37" fontId="79" fillId="12" borderId="18" xfId="0" applyNumberFormat="1" applyFont="1" applyFill="1" applyBorder="1">
      <alignment vertical="center"/>
    </xf>
    <xf numFmtId="37" fontId="79" fillId="0" borderId="0" xfId="0" applyNumberFormat="1" applyFont="1">
      <alignment vertical="center"/>
    </xf>
    <xf numFmtId="9" fontId="80" fillId="0" borderId="3" xfId="81" applyFont="1" applyFill="1" applyBorder="1">
      <alignment vertical="center"/>
    </xf>
    <xf numFmtId="9" fontId="80" fillId="0" borderId="18" xfId="81" applyFont="1" applyFill="1" applyBorder="1">
      <alignment vertical="center"/>
    </xf>
    <xf numFmtId="9" fontId="80" fillId="0" borderId="8" xfId="81" applyFont="1" applyFill="1" applyBorder="1">
      <alignment vertical="center"/>
    </xf>
    <xf numFmtId="9" fontId="80" fillId="0" borderId="0" xfId="81" applyFont="1" applyFill="1" applyBorder="1">
      <alignment vertical="center"/>
    </xf>
    <xf numFmtId="37" fontId="48" fillId="17" borderId="34" xfId="0" applyNumberFormat="1" applyFont="1" applyFill="1" applyBorder="1">
      <alignment vertical="center"/>
    </xf>
    <xf numFmtId="37" fontId="48" fillId="17" borderId="55" xfId="0" applyNumberFormat="1" applyFont="1" applyFill="1" applyBorder="1">
      <alignment vertical="center"/>
    </xf>
    <xf numFmtId="37" fontId="50" fillId="17" borderId="43" xfId="0" applyNumberFormat="1" applyFont="1" applyFill="1" applyBorder="1">
      <alignment vertical="center"/>
    </xf>
    <xf numFmtId="37" fontId="48" fillId="0" borderId="22" xfId="0" applyNumberFormat="1" applyFont="1" applyBorder="1">
      <alignment vertical="center"/>
    </xf>
    <xf numFmtId="37" fontId="48" fillId="0" borderId="8" xfId="0" applyNumberFormat="1" applyFont="1" applyBorder="1">
      <alignment vertical="center"/>
    </xf>
    <xf numFmtId="37" fontId="48" fillId="0" borderId="41" xfId="0" applyNumberFormat="1" applyFont="1" applyBorder="1">
      <alignment vertical="center"/>
    </xf>
    <xf numFmtId="37" fontId="48" fillId="28" borderId="3" xfId="0" applyNumberFormat="1" applyFont="1" applyFill="1" applyBorder="1">
      <alignment vertical="center"/>
    </xf>
    <xf numFmtId="37" fontId="48" fillId="28" borderId="41" xfId="0" applyNumberFormat="1" applyFont="1" applyFill="1" applyBorder="1">
      <alignment vertical="center"/>
    </xf>
    <xf numFmtId="37" fontId="48" fillId="28" borderId="18" xfId="0" applyNumberFormat="1" applyFont="1" applyFill="1" applyBorder="1">
      <alignment vertical="center"/>
    </xf>
    <xf numFmtId="37" fontId="48" fillId="29" borderId="34" xfId="0" applyNumberFormat="1" applyFont="1" applyFill="1" applyBorder="1">
      <alignment vertical="center"/>
    </xf>
    <xf numFmtId="37" fontId="50" fillId="29" borderId="43" xfId="0" applyNumberFormat="1" applyFont="1" applyFill="1" applyBorder="1">
      <alignment vertical="center"/>
    </xf>
    <xf numFmtId="37" fontId="81" fillId="28" borderId="21" xfId="0" applyNumberFormat="1" applyFont="1" applyFill="1" applyBorder="1">
      <alignment vertical="center"/>
    </xf>
    <xf numFmtId="37" fontId="81" fillId="28" borderId="15" xfId="0" applyNumberFormat="1" applyFont="1" applyFill="1" applyBorder="1">
      <alignment vertical="center"/>
    </xf>
    <xf numFmtId="37" fontId="81" fillId="28" borderId="58" xfId="0" applyNumberFormat="1" applyFont="1" applyFill="1" applyBorder="1">
      <alignment vertical="center"/>
    </xf>
    <xf numFmtId="37" fontId="81" fillId="0" borderId="0" xfId="0" applyNumberFormat="1" applyFont="1">
      <alignment vertical="center"/>
    </xf>
    <xf numFmtId="0" fontId="48" fillId="29" borderId="57" xfId="0" applyFont="1" applyFill="1" applyBorder="1">
      <alignment vertical="center"/>
    </xf>
    <xf numFmtId="0" fontId="48" fillId="29" borderId="26" xfId="0" applyFont="1" applyFill="1" applyBorder="1">
      <alignment vertical="center"/>
    </xf>
    <xf numFmtId="9" fontId="48" fillId="29" borderId="21" xfId="81" applyFont="1" applyFill="1" applyBorder="1">
      <alignment vertical="center"/>
    </xf>
    <xf numFmtId="9" fontId="48" fillId="29" borderId="15" xfId="81" applyFont="1" applyFill="1" applyBorder="1">
      <alignment vertical="center"/>
    </xf>
    <xf numFmtId="9" fontId="48" fillId="29" borderId="58" xfId="81" applyFont="1" applyFill="1" applyBorder="1">
      <alignment vertical="center"/>
    </xf>
    <xf numFmtId="9" fontId="48" fillId="0" borderId="0" xfId="81" applyFont="1" applyFill="1" applyBorder="1">
      <alignment vertical="center"/>
    </xf>
    <xf numFmtId="0" fontId="48" fillId="29" borderId="51" xfId="0" applyFont="1" applyFill="1" applyBorder="1">
      <alignment vertical="center"/>
    </xf>
    <xf numFmtId="0" fontId="48" fillId="29" borderId="44" xfId="0" applyFont="1" applyFill="1" applyBorder="1">
      <alignment vertical="center"/>
    </xf>
    <xf numFmtId="9" fontId="48" fillId="29" borderId="34" xfId="81" applyFont="1" applyFill="1" applyBorder="1">
      <alignment vertical="center"/>
    </xf>
    <xf numFmtId="9" fontId="48" fillId="29" borderId="55" xfId="81" applyFont="1" applyFill="1" applyBorder="1">
      <alignment vertical="center"/>
    </xf>
    <xf numFmtId="9" fontId="48" fillId="29" borderId="43" xfId="81" applyFont="1" applyFill="1" applyBorder="1">
      <alignment vertical="center"/>
    </xf>
    <xf numFmtId="9" fontId="48" fillId="29" borderId="35" xfId="81" applyFont="1" applyFill="1" applyBorder="1">
      <alignment vertical="center"/>
    </xf>
    <xf numFmtId="0" fontId="82" fillId="0" borderId="60" xfId="0" applyFont="1" applyBorder="1" applyAlignment="1">
      <alignment horizontal="center" vertical="center"/>
    </xf>
    <xf numFmtId="37" fontId="82" fillId="0" borderId="60" xfId="0" applyNumberFormat="1" applyFont="1" applyBorder="1">
      <alignment vertical="center"/>
    </xf>
    <xf numFmtId="37" fontId="83" fillId="0" borderId="61" xfId="0" applyNumberFormat="1" applyFont="1" applyBorder="1">
      <alignment vertical="center"/>
    </xf>
    <xf numFmtId="37" fontId="83" fillId="0" borderId="0" xfId="0" applyNumberFormat="1" applyFont="1">
      <alignment vertical="center"/>
    </xf>
    <xf numFmtId="0" fontId="82" fillId="0" borderId="3" xfId="0" applyFont="1" applyBorder="1" applyAlignment="1">
      <alignment horizontal="center" vertical="center"/>
    </xf>
    <xf numFmtId="37" fontId="82" fillId="0" borderId="3" xfId="0" applyNumberFormat="1" applyFont="1" applyBorder="1">
      <alignment vertical="center"/>
    </xf>
    <xf numFmtId="37" fontId="83" fillId="0" borderId="41" xfId="0" applyNumberFormat="1" applyFont="1" applyBorder="1">
      <alignment vertical="center"/>
    </xf>
    <xf numFmtId="37" fontId="82" fillId="0" borderId="23" xfId="0" applyNumberFormat="1" applyFont="1" applyBorder="1">
      <alignment vertical="center"/>
    </xf>
    <xf numFmtId="37" fontId="83" fillId="0" borderId="63" xfId="0" applyNumberFormat="1" applyFont="1" applyBorder="1">
      <alignment vertical="center"/>
    </xf>
    <xf numFmtId="37" fontId="82" fillId="27" borderId="66" xfId="0" applyNumberFormat="1" applyFont="1" applyFill="1" applyBorder="1">
      <alignment vertical="center"/>
    </xf>
    <xf numFmtId="37" fontId="82" fillId="27" borderId="67" xfId="0" applyNumberFormat="1" applyFont="1" applyFill="1" applyBorder="1">
      <alignment vertical="center"/>
    </xf>
    <xf numFmtId="37" fontId="83" fillId="8" borderId="68" xfId="0" applyNumberFormat="1" applyFont="1" applyFill="1" applyBorder="1">
      <alignment vertical="center"/>
    </xf>
    <xf numFmtId="37" fontId="82" fillId="27" borderId="34" xfId="0" applyNumberFormat="1" applyFont="1" applyFill="1" applyBorder="1">
      <alignment vertical="center"/>
    </xf>
    <xf numFmtId="37" fontId="82" fillId="27" borderId="55" xfId="0" applyNumberFormat="1" applyFont="1" applyFill="1" applyBorder="1">
      <alignment vertical="center"/>
    </xf>
    <xf numFmtId="37" fontId="83" fillId="8" borderId="43" xfId="0" applyNumberFormat="1" applyFont="1" applyFill="1" applyBorder="1">
      <alignment vertical="center"/>
    </xf>
    <xf numFmtId="0" fontId="48" fillId="17" borderId="56" xfId="0" applyFont="1" applyFill="1" applyBorder="1" applyAlignment="1">
      <alignment horizontal="center" vertical="center"/>
    </xf>
    <xf numFmtId="0" fontId="48" fillId="0" borderId="21" xfId="0" applyFont="1" applyBorder="1" applyAlignment="1">
      <alignment horizontal="center" vertical="center"/>
    </xf>
    <xf numFmtId="37" fontId="48" fillId="0" borderId="21" xfId="0" applyNumberFormat="1" applyFont="1" applyBorder="1">
      <alignment vertical="center"/>
    </xf>
    <xf numFmtId="37" fontId="48" fillId="0" borderId="15" xfId="0" applyNumberFormat="1" applyFont="1" applyBorder="1">
      <alignment vertical="center"/>
    </xf>
    <xf numFmtId="37" fontId="50" fillId="0" borderId="58" xfId="0" applyNumberFormat="1" applyFont="1" applyBorder="1">
      <alignment vertical="center"/>
    </xf>
    <xf numFmtId="0" fontId="48" fillId="17" borderId="12" xfId="0" applyFont="1" applyFill="1" applyBorder="1" applyAlignment="1">
      <alignment horizontal="center" vertical="center"/>
    </xf>
    <xf numFmtId="0" fontId="48" fillId="0" borderId="26" xfId="0" applyFont="1" applyBorder="1" applyAlignment="1">
      <alignment horizontal="center" vertical="center"/>
    </xf>
    <xf numFmtId="0" fontId="82" fillId="0" borderId="23" xfId="0" applyFont="1" applyBorder="1" applyAlignment="1">
      <alignment horizontal="center" vertical="center"/>
    </xf>
    <xf numFmtId="37" fontId="83" fillId="0" borderId="70" xfId="0" applyNumberFormat="1" applyFont="1" applyBorder="1">
      <alignment vertical="center"/>
    </xf>
    <xf numFmtId="41" fontId="79" fillId="28" borderId="3" xfId="20" applyFont="1" applyFill="1" applyBorder="1" applyAlignment="1">
      <alignment horizontal="center" vertical="center"/>
    </xf>
    <xf numFmtId="37" fontId="79" fillId="28" borderId="3" xfId="0" applyNumberFormat="1" applyFont="1" applyFill="1" applyBorder="1">
      <alignment vertical="center"/>
    </xf>
    <xf numFmtId="37" fontId="79" fillId="28" borderId="18" xfId="0" applyNumberFormat="1" applyFont="1" applyFill="1" applyBorder="1">
      <alignment vertical="center"/>
    </xf>
    <xf numFmtId="0" fontId="24" fillId="0" borderId="0" xfId="0" applyFont="1" applyAlignment="1">
      <alignment horizontal="center" vertical="center"/>
    </xf>
    <xf numFmtId="41" fontId="24" fillId="0" borderId="0" xfId="20" applyFont="1">
      <alignment vertical="center"/>
    </xf>
    <xf numFmtId="0" fontId="23" fillId="0" borderId="0" xfId="0" applyFont="1" applyAlignment="1">
      <alignment horizontal="center" vertical="center"/>
    </xf>
    <xf numFmtId="41" fontId="24" fillId="0" borderId="0" xfId="0" applyNumberFormat="1" applyFont="1">
      <alignment vertical="center"/>
    </xf>
    <xf numFmtId="41" fontId="78" fillId="0" borderId="34" xfId="89" applyFont="1" applyBorder="1" applyAlignment="1">
      <alignment horizontal="center" vertical="center"/>
    </xf>
    <xf numFmtId="0" fontId="48" fillId="19" borderId="47" xfId="0" applyFont="1" applyFill="1" applyBorder="1" applyAlignment="1">
      <alignment horizontal="center" vertical="center"/>
    </xf>
    <xf numFmtId="0" fontId="48" fillId="26" borderId="47" xfId="0" applyFont="1" applyFill="1" applyBorder="1" applyAlignment="1">
      <alignment horizontal="center" vertical="center"/>
    </xf>
    <xf numFmtId="37" fontId="82" fillId="0" borderId="71" xfId="0" applyNumberFormat="1" applyFont="1" applyBorder="1">
      <alignment vertical="center"/>
    </xf>
    <xf numFmtId="37" fontId="82" fillId="0" borderId="18" xfId="0" applyNumberFormat="1" applyFont="1" applyBorder="1">
      <alignment vertical="center"/>
    </xf>
    <xf numFmtId="37" fontId="82" fillId="0" borderId="22" xfId="0" applyNumberFormat="1" applyFont="1" applyBorder="1">
      <alignment vertical="center"/>
    </xf>
    <xf numFmtId="37" fontId="83" fillId="0" borderId="72" xfId="0" applyNumberFormat="1" applyFont="1" applyBorder="1">
      <alignment vertical="center"/>
    </xf>
    <xf numFmtId="37" fontId="83" fillId="0" borderId="73" xfId="0" applyNumberFormat="1" applyFont="1" applyBorder="1">
      <alignment vertical="center"/>
    </xf>
    <xf numFmtId="37" fontId="83" fillId="0" borderId="74" xfId="0" applyNumberFormat="1" applyFont="1" applyBorder="1">
      <alignment vertical="center"/>
    </xf>
    <xf numFmtId="37" fontId="83" fillId="8" borderId="75" xfId="0" applyNumberFormat="1" applyFont="1" applyFill="1" applyBorder="1">
      <alignment vertical="center"/>
    </xf>
    <xf numFmtId="41" fontId="73" fillId="0" borderId="21" xfId="89" applyFont="1" applyBorder="1" applyAlignment="1">
      <alignment horizontal="center" vertical="center"/>
    </xf>
    <xf numFmtId="41" fontId="48" fillId="0" borderId="23" xfId="20" applyFont="1" applyBorder="1">
      <alignment vertical="center"/>
    </xf>
    <xf numFmtId="41" fontId="48" fillId="0" borderId="42" xfId="20" applyFont="1" applyBorder="1">
      <alignment vertical="center"/>
    </xf>
    <xf numFmtId="41" fontId="48" fillId="22" borderId="35" xfId="20" applyFont="1" applyFill="1" applyBorder="1">
      <alignment vertical="center"/>
    </xf>
    <xf numFmtId="0" fontId="48" fillId="20" borderId="20" xfId="0" applyFont="1" applyFill="1" applyBorder="1" applyAlignment="1">
      <alignment horizontal="center" vertical="center"/>
    </xf>
    <xf numFmtId="41" fontId="48" fillId="20" borderId="20" xfId="20" applyFont="1" applyFill="1" applyBorder="1">
      <alignment vertical="center"/>
    </xf>
    <xf numFmtId="41" fontId="48" fillId="20" borderId="76" xfId="20" applyFont="1" applyFill="1" applyBorder="1">
      <alignment vertical="center"/>
    </xf>
    <xf numFmtId="0" fontId="48" fillId="23" borderId="20" xfId="0" applyFont="1" applyFill="1" applyBorder="1" applyAlignment="1">
      <alignment horizontal="center" vertical="center"/>
    </xf>
    <xf numFmtId="41" fontId="48" fillId="23" borderId="20" xfId="20" applyFont="1" applyFill="1" applyBorder="1">
      <alignment vertical="center"/>
    </xf>
    <xf numFmtId="41" fontId="48" fillId="23" borderId="76" xfId="20" applyFont="1" applyFill="1" applyBorder="1">
      <alignment vertical="center"/>
    </xf>
    <xf numFmtId="0" fontId="0" fillId="0" borderId="0" xfId="0" applyAlignment="1">
      <alignment horizontal="left" vertical="center"/>
    </xf>
    <xf numFmtId="0" fontId="48" fillId="20" borderId="33" xfId="0" applyFont="1" applyFill="1" applyBorder="1" applyAlignment="1">
      <alignment horizontal="center" vertical="center"/>
    </xf>
    <xf numFmtId="0" fontId="48" fillId="20" borderId="34" xfId="0" applyFont="1" applyFill="1" applyBorder="1" applyAlignment="1">
      <alignment horizontal="center" vertical="center"/>
    </xf>
    <xf numFmtId="0" fontId="48" fillId="23" borderId="14" xfId="0" applyFont="1" applyFill="1" applyBorder="1" applyAlignment="1">
      <alignment horizontal="center" vertical="center"/>
    </xf>
    <xf numFmtId="0" fontId="48" fillId="23" borderId="39" xfId="0" applyFont="1" applyFill="1" applyBorder="1" applyAlignment="1">
      <alignment horizontal="center" vertical="center"/>
    </xf>
    <xf numFmtId="0" fontId="48" fillId="23" borderId="12" xfId="0" applyFont="1" applyFill="1" applyBorder="1" applyAlignment="1">
      <alignment horizontal="center" vertical="center"/>
    </xf>
    <xf numFmtId="0" fontId="48" fillId="23" borderId="25" xfId="0" applyFont="1" applyFill="1" applyBorder="1" applyAlignment="1">
      <alignment horizontal="center" vertical="center"/>
    </xf>
    <xf numFmtId="0" fontId="48" fillId="23" borderId="40" xfId="0" applyFont="1" applyFill="1" applyBorder="1" applyAlignment="1">
      <alignment horizontal="center" vertical="center"/>
    </xf>
    <xf numFmtId="0" fontId="48" fillId="23" borderId="24" xfId="0" applyFont="1" applyFill="1" applyBorder="1" applyAlignment="1">
      <alignment horizontal="center" vertical="center"/>
    </xf>
    <xf numFmtId="0" fontId="48" fillId="20" borderId="77" xfId="0" applyFont="1" applyFill="1" applyBorder="1" applyAlignment="1">
      <alignment horizontal="center" vertical="center"/>
    </xf>
    <xf numFmtId="0" fontId="48" fillId="20" borderId="78" xfId="0" applyFont="1" applyFill="1" applyBorder="1" applyAlignment="1">
      <alignment horizontal="center" vertical="center"/>
    </xf>
    <xf numFmtId="0" fontId="48" fillId="0" borderId="0" xfId="0" applyFont="1" applyAlignment="1">
      <alignment horizontal="left" vertical="center" wrapText="1"/>
    </xf>
    <xf numFmtId="0" fontId="48" fillId="22" borderId="14" xfId="0" applyFont="1" applyFill="1" applyBorder="1" applyAlignment="1">
      <alignment horizontal="center" vertical="center" wrapText="1"/>
    </xf>
    <xf numFmtId="0" fontId="48" fillId="22" borderId="39" xfId="0" applyFont="1" applyFill="1" applyBorder="1" applyAlignment="1">
      <alignment horizontal="center" vertical="center" wrapText="1"/>
    </xf>
    <xf numFmtId="0" fontId="48" fillId="22" borderId="12" xfId="0" applyFont="1" applyFill="1" applyBorder="1" applyAlignment="1">
      <alignment horizontal="center" vertical="center" wrapText="1"/>
    </xf>
    <xf numFmtId="0" fontId="48" fillId="22" borderId="25" xfId="0" applyFont="1" applyFill="1" applyBorder="1" applyAlignment="1">
      <alignment horizontal="center" vertical="center" wrapText="1"/>
    </xf>
    <xf numFmtId="0" fontId="48" fillId="22" borderId="40" xfId="0" applyFont="1" applyFill="1" applyBorder="1" applyAlignment="1">
      <alignment horizontal="center" vertical="center" wrapText="1"/>
    </xf>
    <xf numFmtId="0" fontId="48" fillId="22" borderId="24" xfId="0" applyFont="1" applyFill="1" applyBorder="1" applyAlignment="1">
      <alignment horizontal="center" vertical="center" wrapText="1"/>
    </xf>
    <xf numFmtId="0" fontId="48" fillId="23" borderId="33" xfId="0" applyFont="1" applyFill="1" applyBorder="1" applyAlignment="1">
      <alignment horizontal="center" vertical="center"/>
    </xf>
    <xf numFmtId="0" fontId="48" fillId="23" borderId="34" xfId="0" applyFont="1" applyFill="1" applyBorder="1" applyAlignment="1">
      <alignment horizontal="center" vertical="center"/>
    </xf>
    <xf numFmtId="0" fontId="48" fillId="0" borderId="0" xfId="0" applyFont="1" applyAlignment="1">
      <alignment horizontal="center" vertical="center" wrapText="1"/>
    </xf>
    <xf numFmtId="0" fontId="48" fillId="22" borderId="33" xfId="0" applyFont="1" applyFill="1" applyBorder="1" applyAlignment="1">
      <alignment horizontal="center" vertical="center"/>
    </xf>
    <xf numFmtId="0" fontId="48" fillId="22" borderId="34" xfId="0" applyFont="1" applyFill="1" applyBorder="1" applyAlignment="1">
      <alignment horizontal="center" vertical="center"/>
    </xf>
    <xf numFmtId="0" fontId="48" fillId="24" borderId="14" xfId="0" applyFont="1" applyFill="1" applyBorder="1" applyAlignment="1">
      <alignment horizontal="center" vertical="center"/>
    </xf>
    <xf numFmtId="0" fontId="48" fillId="24" borderId="39" xfId="0" applyFont="1" applyFill="1" applyBorder="1" applyAlignment="1">
      <alignment horizontal="center" vertical="center"/>
    </xf>
    <xf numFmtId="0" fontId="48" fillId="24" borderId="12" xfId="0" applyFont="1" applyFill="1" applyBorder="1" applyAlignment="1">
      <alignment horizontal="center" vertical="center"/>
    </xf>
    <xf numFmtId="0" fontId="48" fillId="24" borderId="25" xfId="0" applyFont="1" applyFill="1" applyBorder="1" applyAlignment="1">
      <alignment horizontal="center" vertical="center"/>
    </xf>
    <xf numFmtId="0" fontId="48" fillId="24" borderId="40" xfId="0" applyFont="1" applyFill="1" applyBorder="1" applyAlignment="1">
      <alignment horizontal="center" vertical="center"/>
    </xf>
    <xf numFmtId="0" fontId="48" fillId="24" borderId="24" xfId="0" applyFont="1" applyFill="1" applyBorder="1" applyAlignment="1">
      <alignment horizontal="center" vertical="center"/>
    </xf>
    <xf numFmtId="0" fontId="48" fillId="24" borderId="33" xfId="0" applyFont="1" applyFill="1" applyBorder="1" applyAlignment="1">
      <alignment horizontal="center" vertical="center"/>
    </xf>
    <xf numFmtId="0" fontId="48" fillId="24" borderId="34" xfId="0" applyFont="1" applyFill="1" applyBorder="1" applyAlignment="1">
      <alignment horizontal="center" vertical="center"/>
    </xf>
    <xf numFmtId="0" fontId="48" fillId="22" borderId="30" xfId="0" applyFont="1" applyFill="1" applyBorder="1" applyAlignment="1">
      <alignment horizontal="center" vertical="center"/>
    </xf>
    <xf numFmtId="0" fontId="48" fillId="22" borderId="3" xfId="0" applyFont="1" applyFill="1" applyBorder="1" applyAlignment="1">
      <alignment horizontal="center" vertical="center"/>
    </xf>
    <xf numFmtId="0" fontId="48" fillId="18" borderId="36" xfId="22" applyFont="1" applyFill="1" applyBorder="1" applyAlignment="1">
      <alignment horizontal="center" vertical="center"/>
    </xf>
    <xf numFmtId="0" fontId="48" fillId="18" borderId="37" xfId="22" applyFont="1" applyFill="1" applyBorder="1" applyAlignment="1">
      <alignment horizontal="center" vertical="center"/>
    </xf>
    <xf numFmtId="0" fontId="48" fillId="19" borderId="14" xfId="0" applyFont="1" applyFill="1" applyBorder="1" applyAlignment="1">
      <alignment horizontal="center" vertical="center"/>
    </xf>
    <xf numFmtId="0" fontId="48" fillId="19" borderId="39" xfId="0" applyFont="1" applyFill="1" applyBorder="1" applyAlignment="1">
      <alignment horizontal="center" vertical="center"/>
    </xf>
    <xf numFmtId="0" fontId="48" fillId="19" borderId="12" xfId="0" applyFont="1" applyFill="1" applyBorder="1" applyAlignment="1">
      <alignment horizontal="center" vertical="center"/>
    </xf>
    <xf numFmtId="0" fontId="48" fillId="19" borderId="25" xfId="0" applyFont="1" applyFill="1" applyBorder="1" applyAlignment="1">
      <alignment horizontal="center" vertical="center"/>
    </xf>
    <xf numFmtId="0" fontId="48" fillId="19" borderId="33" xfId="0" applyFont="1" applyFill="1" applyBorder="1" applyAlignment="1">
      <alignment horizontal="center" vertical="center"/>
    </xf>
    <xf numFmtId="0" fontId="48" fillId="19" borderId="34" xfId="0" applyFont="1" applyFill="1" applyBorder="1" applyAlignment="1">
      <alignment horizontal="center" vertical="center"/>
    </xf>
    <xf numFmtId="0" fontId="48" fillId="21" borderId="14" xfId="0" applyFont="1" applyFill="1" applyBorder="1" applyAlignment="1">
      <alignment horizontal="center" vertical="center"/>
    </xf>
    <xf numFmtId="0" fontId="48" fillId="21" borderId="39" xfId="0" applyFont="1" applyFill="1" applyBorder="1" applyAlignment="1">
      <alignment horizontal="center" vertical="center"/>
    </xf>
    <xf numFmtId="0" fontId="48" fillId="21" borderId="12" xfId="0" applyFont="1" applyFill="1" applyBorder="1" applyAlignment="1">
      <alignment horizontal="center" vertical="center"/>
    </xf>
    <xf numFmtId="0" fontId="48" fillId="21" borderId="25" xfId="0" applyFont="1" applyFill="1" applyBorder="1" applyAlignment="1">
      <alignment horizontal="center" vertical="center"/>
    </xf>
    <xf numFmtId="0" fontId="48" fillId="21" borderId="40" xfId="0" applyFont="1" applyFill="1" applyBorder="1" applyAlignment="1">
      <alignment horizontal="center" vertical="center"/>
    </xf>
    <xf numFmtId="0" fontId="48" fillId="21" borderId="24" xfId="0" applyFont="1" applyFill="1" applyBorder="1" applyAlignment="1">
      <alignment horizontal="center" vertical="center"/>
    </xf>
    <xf numFmtId="0" fontId="48" fillId="21" borderId="33" xfId="0" applyFont="1" applyFill="1" applyBorder="1" applyAlignment="1">
      <alignment horizontal="center" vertical="center"/>
    </xf>
    <xf numFmtId="0" fontId="48" fillId="21" borderId="34" xfId="0" applyFont="1" applyFill="1" applyBorder="1" applyAlignment="1">
      <alignment horizontal="center" vertical="center"/>
    </xf>
    <xf numFmtId="0" fontId="23" fillId="15" borderId="12" xfId="22" applyFont="1" applyFill="1" applyBorder="1" applyAlignment="1">
      <alignment horizontal="center" shrinkToFit="1"/>
    </xf>
    <xf numFmtId="0" fontId="23" fillId="15" borderId="0" xfId="22" applyFont="1" applyFill="1" applyAlignment="1">
      <alignment horizontal="center" shrinkToFit="1"/>
    </xf>
    <xf numFmtId="0" fontId="23" fillId="15" borderId="13" xfId="22" applyFont="1" applyFill="1" applyBorder="1" applyAlignment="1">
      <alignment horizontal="center" shrinkToFit="1"/>
    </xf>
    <xf numFmtId="0" fontId="23" fillId="15" borderId="12" xfId="22" applyFont="1" applyFill="1" applyBorder="1" applyAlignment="1">
      <alignment horizontal="center"/>
    </xf>
    <xf numFmtId="0" fontId="17" fillId="0" borderId="0" xfId="22" applyFont="1" applyAlignment="1">
      <alignment horizontal="center"/>
    </xf>
    <xf numFmtId="0" fontId="23" fillId="16" borderId="12" xfId="22" applyFont="1" applyFill="1" applyBorder="1" applyAlignment="1">
      <alignment horizontal="center" shrinkToFit="1"/>
    </xf>
    <xf numFmtId="0" fontId="23" fillId="16" borderId="0" xfId="22" applyFont="1" applyFill="1" applyAlignment="1">
      <alignment horizontal="center" shrinkToFit="1"/>
    </xf>
    <xf numFmtId="0" fontId="23" fillId="16" borderId="13" xfId="22" applyFont="1" applyFill="1" applyBorder="1" applyAlignment="1">
      <alignment horizontal="center" shrinkToFit="1"/>
    </xf>
    <xf numFmtId="0" fontId="23" fillId="19" borderId="0" xfId="22" applyFont="1" applyFill="1" applyAlignment="1">
      <alignment horizontal="left"/>
    </xf>
    <xf numFmtId="0" fontId="23" fillId="19" borderId="13" xfId="22" applyFont="1" applyFill="1" applyBorder="1" applyAlignment="1">
      <alignment horizontal="left"/>
    </xf>
    <xf numFmtId="0" fontId="24" fillId="17" borderId="17" xfId="22" applyFont="1" applyFill="1" applyBorder="1" applyAlignment="1">
      <alignment horizontal="left"/>
    </xf>
    <xf numFmtId="0" fontId="9" fillId="17" borderId="13" xfId="22" applyFill="1" applyBorder="1" applyAlignment="1">
      <alignment horizontal="left"/>
    </xf>
    <xf numFmtId="0" fontId="23" fillId="16" borderId="12" xfId="22" applyFont="1" applyFill="1" applyBorder="1" applyAlignment="1">
      <alignment horizontal="center"/>
    </xf>
    <xf numFmtId="0" fontId="23" fillId="16" borderId="0" xfId="22" applyFont="1" applyFill="1" applyAlignment="1">
      <alignment horizontal="center"/>
    </xf>
    <xf numFmtId="0" fontId="23" fillId="16" borderId="13" xfId="22" applyFont="1" applyFill="1" applyBorder="1" applyAlignment="1">
      <alignment horizontal="center"/>
    </xf>
    <xf numFmtId="0" fontId="23" fillId="18" borderId="12" xfId="22" applyFont="1" applyFill="1" applyBorder="1" applyAlignment="1">
      <alignment horizontal="center"/>
    </xf>
    <xf numFmtId="0" fontId="23" fillId="18" borderId="0" xfId="22" applyFont="1" applyFill="1" applyAlignment="1">
      <alignment horizontal="center"/>
    </xf>
    <xf numFmtId="0" fontId="23" fillId="18" borderId="13" xfId="22" applyFont="1" applyFill="1" applyBorder="1" applyAlignment="1">
      <alignment horizontal="center"/>
    </xf>
    <xf numFmtId="0" fontId="17" fillId="16" borderId="12" xfId="22" applyFont="1" applyFill="1" applyBorder="1" applyAlignment="1">
      <alignment horizontal="center"/>
    </xf>
    <xf numFmtId="0" fontId="9" fillId="0" borderId="15" xfId="22" applyBorder="1" applyAlignment="1">
      <alignment horizontal="left"/>
    </xf>
    <xf numFmtId="0" fontId="9" fillId="0" borderId="16" xfId="22" applyBorder="1" applyAlignment="1">
      <alignment horizontal="left"/>
    </xf>
    <xf numFmtId="0" fontId="9" fillId="0" borderId="17" xfId="22" applyBorder="1" applyAlignment="1">
      <alignment horizontal="left"/>
    </xf>
    <xf numFmtId="0" fontId="9" fillId="0" borderId="13" xfId="22" applyBorder="1" applyAlignment="1">
      <alignment horizontal="left"/>
    </xf>
    <xf numFmtId="0" fontId="24" fillId="17" borderId="13" xfId="22" applyFont="1" applyFill="1" applyBorder="1" applyAlignment="1">
      <alignment horizontal="left"/>
    </xf>
    <xf numFmtId="41" fontId="9" fillId="0" borderId="0" xfId="20" applyFont="1" applyAlignment="1">
      <alignment horizontal="center" vertical="center"/>
    </xf>
    <xf numFmtId="41" fontId="9" fillId="0" borderId="0" xfId="20" applyFont="1" applyFill="1" applyAlignment="1">
      <alignment horizontal="center" vertical="center"/>
    </xf>
    <xf numFmtId="41" fontId="9" fillId="13" borderId="0" xfId="20" applyFont="1" applyFill="1" applyAlignment="1">
      <alignment horizontal="center" vertical="center"/>
    </xf>
    <xf numFmtId="0" fontId="24" fillId="0" borderId="0" xfId="22" applyFont="1" applyAlignment="1">
      <alignment horizontal="left"/>
    </xf>
    <xf numFmtId="0" fontId="9" fillId="0" borderId="0" xfId="22" applyAlignment="1">
      <alignment horizontal="left"/>
    </xf>
    <xf numFmtId="41" fontId="9" fillId="0" borderId="0" xfId="22" applyNumberFormat="1" applyAlignment="1">
      <alignment horizontal="center" vertical="center"/>
    </xf>
    <xf numFmtId="0" fontId="9" fillId="0" borderId="0" xfId="22" applyAlignment="1">
      <alignment horizontal="center" vertical="center"/>
    </xf>
    <xf numFmtId="41" fontId="9" fillId="10" borderId="0" xfId="22" applyNumberFormat="1" applyFill="1" applyAlignment="1">
      <alignment horizontal="center" vertical="center"/>
    </xf>
    <xf numFmtId="0" fontId="9" fillId="10" borderId="0" xfId="22" applyFill="1" applyAlignment="1">
      <alignment horizontal="center" vertical="center"/>
    </xf>
    <xf numFmtId="0" fontId="30" fillId="10" borderId="0" xfId="22" applyFont="1" applyFill="1" applyAlignment="1">
      <alignment horizontal="center" vertical="center"/>
    </xf>
    <xf numFmtId="0" fontId="40" fillId="0" borderId="36" xfId="88" applyBorder="1" applyAlignment="1">
      <alignment horizontal="center" vertical="center"/>
    </xf>
    <xf numFmtId="0" fontId="40" fillId="0" borderId="37" xfId="88" applyBorder="1" applyAlignment="1">
      <alignment horizontal="center" vertical="center"/>
    </xf>
    <xf numFmtId="0" fontId="40" fillId="0" borderId="38" xfId="88" applyBorder="1" applyAlignment="1">
      <alignment horizontal="center" vertical="center"/>
    </xf>
    <xf numFmtId="0" fontId="40" fillId="12" borderId="8" xfId="88" applyFill="1" applyBorder="1" applyAlignment="1">
      <alignment horizontal="center" vertical="center"/>
    </xf>
    <xf numFmtId="0" fontId="40" fillId="12" borderId="41" xfId="88" applyFill="1" applyBorder="1" applyAlignment="1">
      <alignment horizontal="center" vertical="center"/>
    </xf>
    <xf numFmtId="0" fontId="40" fillId="12" borderId="43" xfId="88" applyFill="1" applyBorder="1" applyAlignment="1">
      <alignment horizontal="center" vertical="center"/>
    </xf>
    <xf numFmtId="0" fontId="40" fillId="0" borderId="24" xfId="88" applyBorder="1" applyAlignment="1">
      <alignment horizontal="center" vertical="center"/>
    </xf>
    <xf numFmtId="0" fontId="40" fillId="0" borderId="23" xfId="88" applyBorder="1" applyAlignment="1">
      <alignment horizontal="center" vertical="center"/>
    </xf>
    <xf numFmtId="0" fontId="40" fillId="0" borderId="19" xfId="88" applyBorder="1" applyAlignment="1">
      <alignment horizontal="center" vertical="center"/>
    </xf>
    <xf numFmtId="0" fontId="40" fillId="0" borderId="3" xfId="88" applyBorder="1" applyAlignment="1">
      <alignment horizontal="center" vertical="center"/>
    </xf>
    <xf numFmtId="0" fontId="40" fillId="0" borderId="44" xfId="88" applyBorder="1" applyAlignment="1">
      <alignment horizontal="center" vertical="center"/>
    </xf>
    <xf numFmtId="0" fontId="40" fillId="0" borderId="34" xfId="88" applyBorder="1" applyAlignment="1">
      <alignment horizontal="center" vertical="center"/>
    </xf>
    <xf numFmtId="0" fontId="40" fillId="12" borderId="29" xfId="88" applyFill="1" applyBorder="1" applyAlignment="1">
      <alignment horizontal="center" vertical="center"/>
    </xf>
    <xf numFmtId="0" fontId="40" fillId="0" borderId="50" xfId="88" applyBorder="1" applyAlignment="1">
      <alignment horizontal="center" vertical="center"/>
    </xf>
    <xf numFmtId="0" fontId="40" fillId="0" borderId="51" xfId="88" applyBorder="1" applyAlignment="1">
      <alignment horizontal="center" vertical="center"/>
    </xf>
    <xf numFmtId="0" fontId="40" fillId="12" borderId="7" xfId="88" applyFill="1" applyBorder="1" applyAlignment="1">
      <alignment horizontal="center" vertical="center"/>
    </xf>
    <xf numFmtId="0" fontId="40" fillId="12" borderId="9" xfId="88" applyFill="1" applyBorder="1" applyAlignment="1">
      <alignment horizontal="center" vertical="center"/>
    </xf>
    <xf numFmtId="0" fontId="40" fillId="12" borderId="10" xfId="88" applyFill="1" applyBorder="1" applyAlignment="1">
      <alignment horizontal="center" vertical="center"/>
    </xf>
    <xf numFmtId="0" fontId="40" fillId="0" borderId="26" xfId="88" applyBorder="1" applyAlignment="1">
      <alignment horizontal="center" vertical="center"/>
    </xf>
    <xf numFmtId="0" fontId="40" fillId="0" borderId="21" xfId="88" applyBorder="1" applyAlignment="1">
      <alignment horizontal="center" vertical="center"/>
    </xf>
    <xf numFmtId="0" fontId="69" fillId="0" borderId="46" xfId="88" applyFont="1" applyBorder="1" applyAlignment="1">
      <alignment horizontal="center" vertical="center"/>
    </xf>
    <xf numFmtId="0" fontId="69" fillId="0" borderId="47" xfId="88" applyFont="1" applyBorder="1" applyAlignment="1">
      <alignment horizontal="center" vertical="center"/>
    </xf>
    <xf numFmtId="0" fontId="69" fillId="0" borderId="48" xfId="88" applyFont="1" applyBorder="1" applyAlignment="1">
      <alignment horizontal="center" vertical="center"/>
    </xf>
    <xf numFmtId="0" fontId="48" fillId="26" borderId="33" xfId="0" applyFont="1" applyFill="1" applyBorder="1" applyAlignment="1">
      <alignment horizontal="center" vertical="center"/>
    </xf>
    <xf numFmtId="0" fontId="48" fillId="26" borderId="34" xfId="0" applyFont="1" applyFill="1" applyBorder="1" applyAlignment="1">
      <alignment horizontal="center" vertical="center"/>
    </xf>
    <xf numFmtId="0" fontId="48" fillId="26" borderId="51" xfId="0" applyFont="1" applyFill="1" applyBorder="1" applyAlignment="1">
      <alignment horizontal="center" vertical="center"/>
    </xf>
    <xf numFmtId="0" fontId="48" fillId="26" borderId="44" xfId="0" applyFont="1" applyFill="1" applyBorder="1" applyAlignment="1">
      <alignment horizontal="center" vertical="center"/>
    </xf>
    <xf numFmtId="0" fontId="48" fillId="19" borderId="46" xfId="0" applyFont="1" applyFill="1" applyBorder="1" applyAlignment="1">
      <alignment horizontal="center" vertical="center"/>
    </xf>
    <xf numFmtId="0" fontId="48" fillId="19" borderId="47" xfId="0" applyFont="1" applyFill="1" applyBorder="1" applyAlignment="1">
      <alignment horizontal="center" vertical="center"/>
    </xf>
    <xf numFmtId="0" fontId="48" fillId="19" borderId="54" xfId="0" applyFont="1" applyFill="1" applyBorder="1" applyAlignment="1">
      <alignment horizontal="center" vertical="center"/>
    </xf>
    <xf numFmtId="0" fontId="48" fillId="19" borderId="51" xfId="0" applyFont="1" applyFill="1" applyBorder="1" applyAlignment="1">
      <alignment horizontal="center" vertical="center"/>
    </xf>
    <xf numFmtId="0" fontId="48" fillId="19" borderId="44" xfId="0" applyFont="1" applyFill="1" applyBorder="1" applyAlignment="1">
      <alignment horizontal="center" vertical="center"/>
    </xf>
    <xf numFmtId="0" fontId="48" fillId="26" borderId="46" xfId="0" applyFont="1" applyFill="1" applyBorder="1" applyAlignment="1">
      <alignment horizontal="center" vertical="center"/>
    </xf>
    <xf numFmtId="0" fontId="48" fillId="26" borderId="47" xfId="0" applyFont="1" applyFill="1" applyBorder="1" applyAlignment="1">
      <alignment horizontal="center" vertical="center"/>
    </xf>
    <xf numFmtId="0" fontId="48" fillId="26" borderId="54" xfId="0" applyFont="1" applyFill="1" applyBorder="1" applyAlignment="1">
      <alignment horizontal="center" vertical="center"/>
    </xf>
    <xf numFmtId="0" fontId="48" fillId="17" borderId="54" xfId="0" applyFont="1" applyFill="1" applyBorder="1" applyAlignment="1">
      <alignment horizontal="center" vertical="center"/>
    </xf>
    <xf numFmtId="0" fontId="48" fillId="17" borderId="30" xfId="0" applyFont="1" applyFill="1" applyBorder="1" applyAlignment="1">
      <alignment horizontal="center" vertical="center"/>
    </xf>
    <xf numFmtId="0" fontId="48" fillId="17" borderId="46" xfId="0" applyFont="1" applyFill="1" applyBorder="1" applyAlignment="1">
      <alignment horizontal="center" vertical="center"/>
    </xf>
    <xf numFmtId="0" fontId="48" fillId="17" borderId="47" xfId="0" applyFont="1" applyFill="1" applyBorder="1" applyAlignment="1">
      <alignment horizontal="center" vertical="center"/>
    </xf>
    <xf numFmtId="0" fontId="48" fillId="17" borderId="33" xfId="0" applyFont="1" applyFill="1" applyBorder="1" applyAlignment="1">
      <alignment horizontal="center" vertical="center"/>
    </xf>
    <xf numFmtId="0" fontId="48" fillId="17" borderId="34" xfId="0" applyFont="1" applyFill="1" applyBorder="1" applyAlignment="1">
      <alignment horizontal="center" vertical="center"/>
    </xf>
    <xf numFmtId="0" fontId="48" fillId="17" borderId="51" xfId="0" applyFont="1" applyFill="1" applyBorder="1" applyAlignment="1">
      <alignment horizontal="center" vertical="center"/>
    </xf>
    <xf numFmtId="0" fontId="48" fillId="17" borderId="44" xfId="0" applyFont="1" applyFill="1" applyBorder="1" applyAlignment="1">
      <alignment horizontal="center" vertical="center"/>
    </xf>
    <xf numFmtId="0" fontId="48" fillId="28" borderId="47" xfId="0" applyFont="1" applyFill="1" applyBorder="1" applyAlignment="1">
      <alignment horizontal="center" vertical="center" wrapText="1"/>
    </xf>
    <xf numFmtId="0" fontId="48" fillId="28" borderId="54" xfId="0" applyFont="1" applyFill="1" applyBorder="1" applyAlignment="1">
      <alignment horizontal="center" vertical="center" wrapText="1"/>
    </xf>
    <xf numFmtId="0" fontId="48" fillId="28" borderId="46" xfId="0" applyFont="1" applyFill="1" applyBorder="1" applyAlignment="1">
      <alignment horizontal="center" vertical="center" wrapText="1"/>
    </xf>
    <xf numFmtId="0" fontId="48" fillId="28" borderId="30" xfId="0" applyFont="1" applyFill="1" applyBorder="1" applyAlignment="1">
      <alignment horizontal="center" vertical="center"/>
    </xf>
    <xf numFmtId="0" fontId="48" fillId="28" borderId="3" xfId="0" applyFont="1" applyFill="1" applyBorder="1" applyAlignment="1">
      <alignment horizontal="center" vertical="center"/>
    </xf>
    <xf numFmtId="0" fontId="48" fillId="28" borderId="50" xfId="0" applyFont="1" applyFill="1" applyBorder="1" applyAlignment="1">
      <alignment horizontal="center" vertical="center"/>
    </xf>
    <xf numFmtId="0" fontId="48" fillId="28" borderId="19" xfId="0" applyFont="1" applyFill="1" applyBorder="1" applyAlignment="1">
      <alignment horizontal="center" vertical="center"/>
    </xf>
    <xf numFmtId="0" fontId="48" fillId="28" borderId="56" xfId="0" applyFont="1" applyFill="1" applyBorder="1" applyAlignment="1">
      <alignment horizontal="center" vertical="center" wrapText="1"/>
    </xf>
    <xf numFmtId="0" fontId="48" fillId="29" borderId="33" xfId="0" applyFont="1" applyFill="1" applyBorder="1" applyAlignment="1">
      <alignment horizontal="center" vertical="center"/>
    </xf>
    <xf numFmtId="0" fontId="48" fillId="29" borderId="34" xfId="0" applyFont="1" applyFill="1" applyBorder="1" applyAlignment="1">
      <alignment horizontal="center" vertical="center"/>
    </xf>
    <xf numFmtId="0" fontId="48" fillId="29" borderId="51" xfId="0" applyFont="1" applyFill="1" applyBorder="1" applyAlignment="1">
      <alignment horizontal="center" vertical="center"/>
    </xf>
    <xf numFmtId="0" fontId="48" fillId="29" borderId="44" xfId="0" applyFont="1" applyFill="1" applyBorder="1" applyAlignment="1">
      <alignment horizontal="center" vertical="center"/>
    </xf>
    <xf numFmtId="0" fontId="81" fillId="28" borderId="57" xfId="0" applyFont="1" applyFill="1" applyBorder="1" applyAlignment="1">
      <alignment horizontal="center" vertical="center"/>
    </xf>
    <xf numFmtId="0" fontId="81" fillId="28" borderId="26" xfId="0" applyFont="1" applyFill="1" applyBorder="1" applyAlignment="1">
      <alignment horizontal="center" vertical="center"/>
    </xf>
    <xf numFmtId="0" fontId="81" fillId="28" borderId="49" xfId="0" applyFont="1" applyFill="1" applyBorder="1" applyAlignment="1">
      <alignment horizontal="center" vertical="center"/>
    </xf>
    <xf numFmtId="0" fontId="81" fillId="28" borderId="45" xfId="0" applyFont="1" applyFill="1" applyBorder="1" applyAlignment="1">
      <alignment horizontal="center" vertical="center"/>
    </xf>
    <xf numFmtId="0" fontId="82" fillId="27" borderId="59" xfId="0" applyFont="1" applyFill="1" applyBorder="1" applyAlignment="1">
      <alignment horizontal="center" vertical="center"/>
    </xf>
    <xf numFmtId="0" fontId="82" fillId="27" borderId="69" xfId="0" applyFont="1" applyFill="1" applyBorder="1" applyAlignment="1">
      <alignment horizontal="center" vertical="center"/>
    </xf>
    <xf numFmtId="0" fontId="82" fillId="27" borderId="62" xfId="0" applyFont="1" applyFill="1" applyBorder="1" applyAlignment="1">
      <alignment horizontal="center" vertical="center"/>
    </xf>
    <xf numFmtId="0" fontId="82" fillId="27" borderId="46" xfId="0" applyFont="1" applyFill="1" applyBorder="1" applyAlignment="1">
      <alignment horizontal="center" vertical="center"/>
    </xf>
    <xf numFmtId="0" fontId="82" fillId="27" borderId="47" xfId="0" applyFont="1" applyFill="1" applyBorder="1" applyAlignment="1">
      <alignment horizontal="center" vertical="center"/>
    </xf>
    <xf numFmtId="0" fontId="82" fillId="27" borderId="54" xfId="0" applyFont="1" applyFill="1" applyBorder="1" applyAlignment="1">
      <alignment horizontal="center" vertical="center"/>
    </xf>
    <xf numFmtId="0" fontId="82" fillId="27" borderId="64" xfId="0" applyFont="1" applyFill="1" applyBorder="1" applyAlignment="1">
      <alignment horizontal="center" vertical="center"/>
    </xf>
    <xf numFmtId="0" fontId="82" fillId="27" borderId="65" xfId="0" applyFont="1" applyFill="1" applyBorder="1" applyAlignment="1">
      <alignment horizontal="center" vertical="center"/>
    </xf>
    <xf numFmtId="0" fontId="82" fillId="27" borderId="51" xfId="0" applyFont="1" applyFill="1" applyBorder="1" applyAlignment="1">
      <alignment horizontal="center" vertical="center"/>
    </xf>
    <xf numFmtId="0" fontId="82" fillId="27" borderId="44" xfId="0" applyFont="1" applyFill="1" applyBorder="1" applyAlignment="1">
      <alignment horizontal="center" vertical="center"/>
    </xf>
  </cellXfs>
  <cellStyles count="93">
    <cellStyle name="_AP_Estech_ForecastTool" xfId="1" xr:uid="{00000000-0005-0000-0000-000000000000}"/>
    <cellStyle name="_AP_Forecast_011904" xfId="2" xr:uid="{00000000-0005-0000-0000-000001000000}"/>
    <cellStyle name="_AP_Forecast_122903v2" xfId="3" xr:uid="{00000000-0005-0000-0000-000002000000}"/>
    <cellStyle name="_AP_HQ_ForecastTool" xfId="4" xr:uid="{00000000-0005-0000-0000-000003000000}"/>
    <cellStyle name="_AP_Korea_ForecastTool" xfId="5" xr:uid="{00000000-0005-0000-0000-000004000000}"/>
    <cellStyle name="_AP_MSCJapan_ForecastTool" xfId="6" xr:uid="{00000000-0005-0000-0000-000005000000}"/>
    <cellStyle name="_ap_muck" xfId="7" xr:uid="{00000000-0005-0000-0000-000006000000}"/>
    <cellStyle name="_AP_SouthAsia_ForecastTool" xfId="8" xr:uid="{00000000-0005-0000-0000-000007000000}"/>
    <cellStyle name="_AP_Taiwan_ForecastTool" xfId="9" xr:uid="{00000000-0005-0000-0000-000008000000}"/>
    <cellStyle name="_Asia Pacific Q-1 2004 Forecast" xfId="10" xr:uid="{00000000-0005-0000-0000-000009000000}"/>
    <cellStyle name="_Asia Pacific Q-2 2004 Forecast" xfId="11" xr:uid="{00000000-0005-0000-0000-00000A000000}"/>
    <cellStyle name="_AsiaPacificForecastTool" xfId="12" xr:uid="{00000000-0005-0000-0000-00000B000000}"/>
    <cellStyle name="_Book1" xfId="13" xr:uid="{00000000-0005-0000-0000-00000C000000}"/>
    <cellStyle name="_Book2" xfId="14" xr:uid="{00000000-0005-0000-0000-00000D000000}"/>
    <cellStyle name="_EMEA-08.03.2004" xfId="15" xr:uid="{00000000-0005-0000-0000-00000E000000}"/>
    <cellStyle name="_Europe Q-1 2004 Forecast  - Mar 15th" xfId="16" xr:uid="{00000000-0005-0000-0000-00000F000000}"/>
    <cellStyle name="_Europe Q-2 2004 Forecast" xfId="17" xr:uid="{00000000-0005-0000-0000-000010000000}"/>
    <cellStyle name="_Europe Q-2 2004 Forecast  - Jul 05th" xfId="18" xr:uid="{00000000-0005-0000-0000-000011000000}"/>
    <cellStyle name="_Weekly_Forecast_Report" xfId="19" xr:uid="{00000000-0005-0000-0000-000012000000}"/>
    <cellStyle name="Calc Currency (0)" xfId="23" xr:uid="{00000000-0005-0000-0000-000013000000}"/>
    <cellStyle name="Calc Currency (2)" xfId="24" xr:uid="{00000000-0005-0000-0000-000014000000}"/>
    <cellStyle name="Calc Percent (0)" xfId="25" xr:uid="{00000000-0005-0000-0000-000015000000}"/>
    <cellStyle name="Calc Percent (1)" xfId="26" xr:uid="{00000000-0005-0000-0000-000016000000}"/>
    <cellStyle name="Calc Percent (2)" xfId="27" xr:uid="{00000000-0005-0000-0000-000017000000}"/>
    <cellStyle name="Calc Units (0)" xfId="28" xr:uid="{00000000-0005-0000-0000-000018000000}"/>
    <cellStyle name="Calc Units (1)" xfId="29" xr:uid="{00000000-0005-0000-0000-000019000000}"/>
    <cellStyle name="Calc Units (2)" xfId="30" xr:uid="{00000000-0005-0000-0000-00001A000000}"/>
    <cellStyle name="Comma [00]" xfId="31" xr:uid="{00000000-0005-0000-0000-00001B000000}"/>
    <cellStyle name="Currency [00]" xfId="32" xr:uid="{00000000-0005-0000-0000-00001C000000}"/>
    <cellStyle name="Date Short" xfId="33" xr:uid="{00000000-0005-0000-0000-00001D000000}"/>
    <cellStyle name="Dezimal_B2002_48" xfId="34" xr:uid="{00000000-0005-0000-0000-00001E000000}"/>
    <cellStyle name="Enter Currency (0)" xfId="35" xr:uid="{00000000-0005-0000-0000-00001F000000}"/>
    <cellStyle name="Enter Currency (2)" xfId="36" xr:uid="{00000000-0005-0000-0000-000020000000}"/>
    <cellStyle name="Enter Units (0)" xfId="37" xr:uid="{00000000-0005-0000-0000-000021000000}"/>
    <cellStyle name="Enter Units (1)" xfId="38" xr:uid="{00000000-0005-0000-0000-000022000000}"/>
    <cellStyle name="Enter Units (2)" xfId="39" xr:uid="{00000000-0005-0000-0000-000023000000}"/>
    <cellStyle name="Euro" xfId="40" xr:uid="{00000000-0005-0000-0000-000024000000}"/>
    <cellStyle name="G10" xfId="41" xr:uid="{00000000-0005-0000-0000-000025000000}"/>
    <cellStyle name="Grey" xfId="42" xr:uid="{00000000-0005-0000-0000-000026000000}"/>
    <cellStyle name="Header1" xfId="43" xr:uid="{00000000-0005-0000-0000-000027000000}"/>
    <cellStyle name="Header2" xfId="44" xr:uid="{00000000-0005-0000-0000-000028000000}"/>
    <cellStyle name="Input [yellow]" xfId="45" xr:uid="{00000000-0005-0000-0000-000029000000}"/>
    <cellStyle name="Legal 8½ x 14 in" xfId="46" xr:uid="{00000000-0005-0000-0000-00002A000000}"/>
    <cellStyle name="Link Currency (0)" xfId="47" xr:uid="{00000000-0005-0000-0000-00002B000000}"/>
    <cellStyle name="Link Currency (2)" xfId="48" xr:uid="{00000000-0005-0000-0000-00002C000000}"/>
    <cellStyle name="Link Units (0)" xfId="49" xr:uid="{00000000-0005-0000-0000-00002D000000}"/>
    <cellStyle name="Link Units (1)" xfId="50" xr:uid="{00000000-0005-0000-0000-00002E000000}"/>
    <cellStyle name="Link Units (2)" xfId="51" xr:uid="{00000000-0005-0000-0000-00002F000000}"/>
    <cellStyle name="Migliaia (0)_BINV" xfId="52" xr:uid="{00000000-0005-0000-0000-000030000000}"/>
    <cellStyle name="Migliaia_BINV" xfId="53" xr:uid="{00000000-0005-0000-0000-000031000000}"/>
    <cellStyle name="Normal - Style1" xfId="54" xr:uid="{00000000-0005-0000-0000-000032000000}"/>
    <cellStyle name="Normal_~5908937" xfId="55" xr:uid="{00000000-0005-0000-0000-000033000000}"/>
    <cellStyle name="Normal_A-MASTER BUDGET  Q-2" xfId="56" xr:uid="{00000000-0005-0000-0000-000034000000}"/>
    <cellStyle name="Normale_BINV" xfId="57" xr:uid="{00000000-0005-0000-0000-000035000000}"/>
    <cellStyle name="Percent [0]" xfId="58" xr:uid="{00000000-0005-0000-0000-000036000000}"/>
    <cellStyle name="Percent [00]" xfId="59" xr:uid="{00000000-0005-0000-0000-000037000000}"/>
    <cellStyle name="Percent [2]" xfId="60" xr:uid="{00000000-0005-0000-0000-000038000000}"/>
    <cellStyle name="PrePop Currency (0)" xfId="61" xr:uid="{00000000-0005-0000-0000-000039000000}"/>
    <cellStyle name="PrePop Currency (2)" xfId="62" xr:uid="{00000000-0005-0000-0000-00003A000000}"/>
    <cellStyle name="PrePop Units (0)" xfId="63" xr:uid="{00000000-0005-0000-0000-00003B000000}"/>
    <cellStyle name="PrePop Units (1)" xfId="64" xr:uid="{00000000-0005-0000-0000-00003C000000}"/>
    <cellStyle name="PrePop Units (2)" xfId="65" xr:uid="{00000000-0005-0000-0000-00003D000000}"/>
    <cellStyle name="Standard_EUROPE" xfId="66" xr:uid="{00000000-0005-0000-0000-00003E000000}"/>
    <cellStyle name="Text Indent A" xfId="67" xr:uid="{00000000-0005-0000-0000-00003F000000}"/>
    <cellStyle name="Text Indent B" xfId="68" xr:uid="{00000000-0005-0000-0000-000040000000}"/>
    <cellStyle name="Text Indent C" xfId="69" xr:uid="{00000000-0005-0000-0000-000041000000}"/>
    <cellStyle name="Valuta (0)_BINV" xfId="70" xr:uid="{00000000-0005-0000-0000-000042000000}"/>
    <cellStyle name="Valuta_BINV" xfId="71" xr:uid="{00000000-0005-0000-0000-000043000000}"/>
    <cellStyle name="백분율" xfId="81" builtinId="5"/>
    <cellStyle name="백분율 2" xfId="80" xr:uid="{00000000-0005-0000-0000-000045000000}"/>
    <cellStyle name="쉼표 [0]" xfId="20" builtinId="6"/>
    <cellStyle name="쉼표 [0] 2" xfId="73" xr:uid="{00000000-0005-0000-0000-000047000000}"/>
    <cellStyle name="쉼표 [0] 2 2" xfId="76" xr:uid="{00000000-0005-0000-0000-000048000000}"/>
    <cellStyle name="쉼표 [0] 2 3" xfId="79" xr:uid="{00000000-0005-0000-0000-000049000000}"/>
    <cellStyle name="쉼표 [0] 3" xfId="74" xr:uid="{00000000-0005-0000-0000-00004A000000}"/>
    <cellStyle name="쉼표 [0] 3 2" xfId="90" xr:uid="{00000000-0005-0000-0000-00004B000000}"/>
    <cellStyle name="쉼표 [0] 4" xfId="77" xr:uid="{00000000-0005-0000-0000-00004C000000}"/>
    <cellStyle name="쉼표 [0] 5" xfId="85" xr:uid="{00000000-0005-0000-0000-00004D000000}"/>
    <cellStyle name="쉼표 [0] 6" xfId="89" xr:uid="{00000000-0005-0000-0000-00004E000000}"/>
    <cellStyle name="쉼표 [0] 7" xfId="87" xr:uid="{00000000-0005-0000-0000-00004F000000}"/>
    <cellStyle name="쉼표 [0] 8" xfId="86" xr:uid="{00000000-0005-0000-0000-000050000000}"/>
    <cellStyle name="스타일 1" xfId="21" xr:uid="{00000000-0005-0000-0000-000051000000}"/>
    <cellStyle name="표준" xfId="0" builtinId="0"/>
    <cellStyle name="표준 2" xfId="72" xr:uid="{00000000-0005-0000-0000-000053000000}"/>
    <cellStyle name="표준 2 2" xfId="75" xr:uid="{00000000-0005-0000-0000-000054000000}"/>
    <cellStyle name="표준 2 2 2" xfId="84" xr:uid="{00000000-0005-0000-0000-000055000000}"/>
    <cellStyle name="표준 2 3" xfId="78" xr:uid="{00000000-0005-0000-0000-000056000000}"/>
    <cellStyle name="표준 3" xfId="83" xr:uid="{00000000-0005-0000-0000-000057000000}"/>
    <cellStyle name="표준 4" xfId="88" xr:uid="{00000000-0005-0000-0000-000058000000}"/>
    <cellStyle name="표준 5" xfId="91" xr:uid="{00000000-0005-0000-0000-000059000000}"/>
    <cellStyle name="표준 5 2" xfId="92" xr:uid="{E11ABA8C-ACBB-43CD-BFEE-4191616FA8C4}"/>
    <cellStyle name="표준 7" xfId="82" xr:uid="{00000000-0005-0000-0000-00005A000000}"/>
    <cellStyle name="표준_New Company Budget Plan-R1" xfId="22" xr:uid="{00000000-0005-0000-0000-00005B000000}"/>
  </cellStyles>
  <dxfs count="0"/>
  <tableStyles count="0" defaultTableStyle="TableStyleMedium9" defaultPivotStyle="PivotStyleLight16"/>
  <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aonx-my.sharepoint.com/personal/raonx10_raonx_onmicrosoft_com/Documents/FNA/01.FINANCE/03.&#50900;&#48324;&#48708;&#50857;/2025/2025_&#44221;&#50689;&#54788;&#54889;_12&#50900;_r1.xlsx" TargetMode="External"/><Relationship Id="rId1" Type="http://schemas.openxmlformats.org/officeDocument/2006/relationships/externalLinkPath" Target="https://raonx-my.sharepoint.com/personal/raonx10_raonx_onmicrosoft_com/Documents/FNA/01.FINANCE/03.&#50900;&#48324;&#48708;&#50857;/2025/2025_&#44221;&#50689;&#54788;&#54889;_12&#50900;_r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"/>
      <sheetName val="팀별실적"/>
      <sheetName val="total"/>
      <sheetName val="SST"/>
      <sheetName val="SDT"/>
      <sheetName val="TST"/>
      <sheetName val="CBT2"/>
      <sheetName val="MKT"/>
      <sheetName val="SYShin"/>
      <sheetName val="JGChoi"/>
      <sheetName val="SBLEE"/>
      <sheetName val="ESBD"/>
      <sheetName val="JHAHN"/>
      <sheetName val="CBT(1)"/>
      <sheetName val="CBT1"/>
      <sheetName val="JWPARK"/>
      <sheetName val="FNA"/>
      <sheetName val="간접"/>
      <sheetName val="G-계정"/>
      <sheetName val="계정별"/>
      <sheetName val="회식비"/>
      <sheetName val="사무용품비"/>
      <sheetName val="매출및매입내역"/>
      <sheetName val="경영현황비교"/>
      <sheetName val="IITP"/>
      <sheetName val="과제_여비교통비내역"/>
      <sheetName val="실적(23~25)"/>
      <sheetName val="실적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2">
          <cell r="I12">
            <v>2040658000</v>
          </cell>
          <cell r="M12">
            <v>1470052000</v>
          </cell>
          <cell r="Q12">
            <v>1089928000</v>
          </cell>
          <cell r="U12">
            <v>2034105000</v>
          </cell>
        </row>
        <row r="26">
          <cell r="I26">
            <v>1143103000</v>
          </cell>
          <cell r="M26">
            <v>755282000</v>
          </cell>
          <cell r="Q26">
            <v>576520000</v>
          </cell>
          <cell r="U26">
            <v>1035074000</v>
          </cell>
        </row>
      </sheetData>
      <sheetData sheetId="12"/>
      <sheetData sheetId="13"/>
      <sheetData sheetId="14">
        <row r="12">
          <cell r="I12">
            <v>339200000</v>
          </cell>
          <cell r="M12">
            <v>382700000</v>
          </cell>
          <cell r="Q12">
            <v>346200000</v>
          </cell>
          <cell r="U12">
            <v>703650000</v>
          </cell>
        </row>
        <row r="26">
          <cell r="I26">
            <v>6509000</v>
          </cell>
          <cell r="M26">
            <v>137766000</v>
          </cell>
          <cell r="Q26">
            <v>6483000</v>
          </cell>
          <cell r="U26">
            <v>174873000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aonx29" id="{F453251E-AC97-400F-AC9C-9E322C062E18}" userId="S::raonx29@RAONX.onmicrosoft.com::2924fad1-6362-46ef-8d8f-2066f9036fc4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4" dT="2026-02-05T02:23:46.99" personId="{F453251E-AC97-400F-AC9C-9E322C062E18}" id="{7DE800F1-7C36-42B4-8EEE-302D12748164}">
    <text>면접비:30,000원+ 김진수GPT:33,000원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24" dT="2026-02-05T02:24:04.35" personId="{F453251E-AC97-400F-AC9C-9E322C062E18}" id="{6240CEF5-CEC8-43C7-B0E5-CFE95C4F8B73}">
    <text>먼데이닷컴:938,000원</text>
  </threadedComment>
  <threadedComment ref="G24" dT="2026-02-05T02:24:04.35" personId="{F453251E-AC97-400F-AC9C-9E322C062E18}" id="{DA34215C-F80C-4B50-A2EF-65AAAFB6FB78}">
    <text>먼데이닷컴:938,000원</text>
  </threadedComment>
  <threadedComment ref="H24" dT="2026-02-05T02:24:04.35" personId="{F453251E-AC97-400F-AC9C-9E322C062E18}" id="{9F93252A-DBFF-4818-A12D-EFD0AC0CE47E}">
    <text>먼데이닷컴:938,000원</text>
  </threadedComment>
  <threadedComment ref="J24" dT="2026-02-05T02:24:04.35" personId="{F453251E-AC97-400F-AC9C-9E322C062E18}" id="{FCDDEB87-0779-4F23-AF7F-490DB5AFABAB}">
    <text>먼데이닷컴:938,000원</text>
  </threadedComment>
  <threadedComment ref="K24" dT="2026-02-05T02:24:04.35" personId="{F453251E-AC97-400F-AC9C-9E322C062E18}" id="{CA928F24-53EB-435A-92D4-9C8D3209D487}">
    <text>먼데이닷컴:938,000원</text>
  </threadedComment>
  <threadedComment ref="L24" dT="2026-02-05T02:24:04.35" personId="{F453251E-AC97-400F-AC9C-9E322C062E18}" id="{316AE691-B57F-4163-96F1-C069EE4B01FE}">
    <text>먼데이닷컴:938,000원</text>
  </threadedComment>
  <threadedComment ref="N24" dT="2026-02-05T02:24:04.35" personId="{F453251E-AC97-400F-AC9C-9E322C062E18}" id="{BEB6B558-E735-4B36-B118-B52FB833685F}">
    <text>먼데이닷컴:938,000원</text>
  </threadedComment>
  <threadedComment ref="O24" dT="2026-02-05T02:24:04.35" personId="{F453251E-AC97-400F-AC9C-9E322C062E18}" id="{6D48885D-F9EE-470F-A10A-93729FABFBCE}">
    <text>먼데이닷컴:938,000원</text>
  </threadedComment>
  <threadedComment ref="P24" dT="2026-02-05T02:24:04.35" personId="{F453251E-AC97-400F-AC9C-9E322C062E18}" id="{AF6EC0E2-AF57-461E-940F-F77931F640EC}">
    <text>먼데이닷컴:938,000원</text>
  </threadedComment>
  <threadedComment ref="R24" dT="2026-02-05T02:24:04.35" personId="{F453251E-AC97-400F-AC9C-9E322C062E18}" id="{1FF46287-4EB9-442D-B20A-FC0B7C4A0945}">
    <text>먼데이닷컴:938,000원</text>
  </threadedComment>
  <threadedComment ref="S24" dT="2026-02-05T02:24:04.35" personId="{F453251E-AC97-400F-AC9C-9E322C062E18}" id="{E22995AD-B8FB-4CEE-B8BC-9DFFAF1802F4}">
    <text>먼데이닷컴:938,000원</text>
  </threadedComment>
  <threadedComment ref="T24" dT="2026-02-05T02:24:04.35" personId="{F453251E-AC97-400F-AC9C-9E322C062E18}" id="{594AAE12-882B-4850-92A2-71A6BBF1A88E}">
    <text>먼데이닷컴:938,000원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F24" dT="2026-02-05T02:25:09.21" personId="{F453251E-AC97-400F-AC9C-9E322C062E18}" id="{5F3C9EDE-999E-4E16-9C69-95CEA3B63445}">
    <text>Nanjing:29,000원</text>
  </threadedComment>
  <threadedComment ref="G24" dT="2026-02-05T02:25:09.21" personId="{F453251E-AC97-400F-AC9C-9E322C062E18}" id="{C89A28A5-D25A-4B2F-AA15-B11F945BD78A}">
    <text>Nanjing:29,000원</text>
  </threadedComment>
  <threadedComment ref="H24" dT="2026-02-05T02:25:09.21" personId="{F453251E-AC97-400F-AC9C-9E322C062E18}" id="{F90B9527-4DAC-46A2-BBD6-A8F22DAE298E}">
    <text>Nanjing:29,000원</text>
  </threadedComment>
  <threadedComment ref="J24" dT="2026-02-05T02:25:09.21" personId="{F453251E-AC97-400F-AC9C-9E322C062E18}" id="{FFCB7550-9600-4F7D-8523-3DDBB45E9D47}">
    <text>Nanjing:29,000원</text>
  </threadedComment>
  <threadedComment ref="K24" dT="2026-02-05T02:25:09.21" personId="{F453251E-AC97-400F-AC9C-9E322C062E18}" id="{582CF969-174F-4673-BD1E-15BE2BE01698}">
    <text>Nanjing:29,000원</text>
  </threadedComment>
  <threadedComment ref="L24" dT="2026-02-05T02:25:09.21" personId="{F453251E-AC97-400F-AC9C-9E322C062E18}" id="{53525388-61EA-4A64-AC9A-97E38FD9FCEF}">
    <text>Nanjing:29,000원</text>
  </threadedComment>
  <threadedComment ref="N24" dT="2026-02-05T02:25:09.21" personId="{F453251E-AC97-400F-AC9C-9E322C062E18}" id="{D3AEA191-72C4-4C31-847D-8CB0281C63EF}">
    <text>Nanjing:29,000원</text>
  </threadedComment>
  <threadedComment ref="O24" dT="2026-02-05T02:25:09.21" personId="{F453251E-AC97-400F-AC9C-9E322C062E18}" id="{7065EC6B-0E1E-477F-A82C-61E62F0CC81D}">
    <text>Nanjing:29,000원</text>
  </threadedComment>
  <threadedComment ref="P24" dT="2026-02-05T02:25:09.21" personId="{F453251E-AC97-400F-AC9C-9E322C062E18}" id="{EE73B24F-B7AA-40DC-AF67-87DC4C36F114}">
    <text>Nanjing:29,000원</text>
  </threadedComment>
  <threadedComment ref="R24" dT="2026-02-05T02:25:09.21" personId="{F453251E-AC97-400F-AC9C-9E322C062E18}" id="{5D8DD48F-907E-4360-89A1-D87BFEDD067C}">
    <text>Nanjing:29,000원</text>
  </threadedComment>
  <threadedComment ref="S24" dT="2026-02-05T02:25:09.21" personId="{F453251E-AC97-400F-AC9C-9E322C062E18}" id="{3B32A6EA-AF53-45B7-840F-6AE51F284748}">
    <text>Nanjing:29,000원</text>
  </threadedComment>
  <threadedComment ref="T24" dT="2026-02-05T02:25:09.21" personId="{F453251E-AC97-400F-AC9C-9E322C062E18}" id="{2E349FD2-7FDC-4F9C-81AE-3A8C2F6DBA01}">
    <text>Nanjing:29,000원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105" dT="2026-02-05T02:28:09.61" personId="{F453251E-AC97-400F-AC9C-9E322C062E18}" id="{4A5AC7CB-6071-4E9F-B3E4-77F021506A34}">
    <text>줌: 258,818원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F24" dT="2026-02-05T02:27:25.28" personId="{F453251E-AC97-400F-AC9C-9E322C062E18}" id="{2E0C9EE5-E2FA-413C-976D-47EAC67E6222}">
    <text>FreshDesk: 1,846,000원+ 노션: 185,000원 +대한조선학회: 50,000원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X90" dT="2026-02-05T02:17:57.84" personId="{F453251E-AC97-400F-AC9C-9E322C062E18}" id="{17678C40-718C-455B-96E5-9EF2278DFBA1}">
    <text>Microsoft365 Appsforbiz(26.1.1-10.31)</text>
  </threadedComment>
  <threadedComment ref="X103" dT="2026-02-05T02:18:45.76" personId="{F453251E-AC97-400F-AC9C-9E322C062E18}" id="{7215A132-CE71-4CC7-8B7F-E838011552F9}">
    <text>위하고 170,000원+세무자문료200,000원</text>
  </threadedComment>
  <threadedComment ref="X108" dT="2026-02-05T02:21:16.38" personId="{F453251E-AC97-400F-AC9C-9E322C062E18}" id="{B5653D8D-3D58-4241-A46E-C71F89C422C3}">
    <text>하이웍스:1,744,902원+ Freshdesk:1,846,000원+ 먼데이닷컴: 938,000원 + 줌:258,818원 + 대한조선학회 회비: 50,000원 + 노션: 184,800원 + SDT면접비: 30,000원 + 김진수GPT: 33,090원+ 송금수수료(Nanjing): 28,988원</text>
  </threadedComment>
</ThreadedComment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Relationship Id="rId4" Type="http://schemas.microsoft.com/office/2017/10/relationships/threadedComment" Target="../threadedComments/threadedComment5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6.bin"/><Relationship Id="rId4" Type="http://schemas.microsoft.com/office/2017/10/relationships/threadedComment" Target="../threadedComments/threadedComment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953F-CA3B-4629-9326-CC11ACCDA346}">
  <dimension ref="B1:K21"/>
  <sheetViews>
    <sheetView tabSelected="1" workbookViewId="0">
      <selection activeCell="E25" sqref="E25"/>
    </sheetView>
  </sheetViews>
  <sheetFormatPr defaultRowHeight="13.5"/>
  <cols>
    <col min="2" max="2" width="16.3515625" customWidth="1"/>
    <col min="3" max="6" width="11.52734375" customWidth="1"/>
    <col min="7" max="7" width="11.64453125" customWidth="1"/>
    <col min="8" max="8" width="9.52734375" bestFit="1" customWidth="1"/>
    <col min="9" max="9" width="9.64453125" bestFit="1" customWidth="1"/>
    <col min="10" max="10" width="9.52734375" bestFit="1" customWidth="1"/>
    <col min="11" max="17" width="10.76171875" bestFit="1" customWidth="1"/>
  </cols>
  <sheetData>
    <row r="1" spans="2:11">
      <c r="C1" s="398"/>
      <c r="D1" s="398"/>
      <c r="E1" s="398"/>
      <c r="F1" s="398"/>
      <c r="G1" s="398"/>
      <c r="H1" s="398"/>
      <c r="I1" s="398"/>
      <c r="J1" s="398"/>
      <c r="K1" s="398"/>
    </row>
    <row r="2" spans="2:11">
      <c r="C2" t="s">
        <v>87</v>
      </c>
    </row>
    <row r="3" spans="2:11">
      <c r="B3" s="281"/>
      <c r="C3" s="281"/>
      <c r="D3" s="281"/>
      <c r="E3" s="281"/>
      <c r="F3" s="281"/>
    </row>
    <row r="4" spans="2:11">
      <c r="D4" s="281"/>
      <c r="E4" s="281"/>
      <c r="F4" s="281"/>
    </row>
    <row r="5" spans="2:11">
      <c r="B5" s="376" t="s">
        <v>328</v>
      </c>
      <c r="C5" s="374" t="s">
        <v>320</v>
      </c>
      <c r="D5" s="374" t="s">
        <v>321</v>
      </c>
      <c r="E5" s="374" t="s">
        <v>322</v>
      </c>
      <c r="F5" s="374" t="s">
        <v>323</v>
      </c>
      <c r="G5" s="374" t="s">
        <v>324</v>
      </c>
    </row>
    <row r="6" spans="2:11">
      <c r="B6" s="281" t="s">
        <v>329</v>
      </c>
      <c r="C6" s="375">
        <f>570000000+750000000</f>
        <v>1320000000</v>
      </c>
      <c r="D6" s="375">
        <f>280000000+60000000</f>
        <v>340000000</v>
      </c>
      <c r="E6" s="375">
        <f>250000000+220000000</f>
        <v>470000000</v>
      </c>
      <c r="F6" s="375">
        <f>740000000+330000000</f>
        <v>1070000000</v>
      </c>
      <c r="G6" s="377">
        <f>SUM(C6:F6)</f>
        <v>3200000000</v>
      </c>
    </row>
    <row r="7" spans="2:11">
      <c r="B7" s="281" t="s">
        <v>330</v>
      </c>
      <c r="C7" s="375">
        <v>250000000</v>
      </c>
      <c r="D7" s="375">
        <v>215000000</v>
      </c>
      <c r="E7" s="375">
        <v>75000000</v>
      </c>
      <c r="F7" s="375">
        <v>410000000</v>
      </c>
      <c r="G7" s="377">
        <f t="shared" ref="G7:G9" si="0">SUM(C7:F7)</f>
        <v>950000000</v>
      </c>
    </row>
    <row r="8" spans="2:11">
      <c r="B8" s="281" t="s">
        <v>336</v>
      </c>
      <c r="C8" s="375">
        <f>350000000</f>
        <v>350000000</v>
      </c>
      <c r="D8" s="375">
        <v>300000000</v>
      </c>
      <c r="E8" s="375">
        <v>350000000</v>
      </c>
      <c r="F8" s="375">
        <v>400000000</v>
      </c>
      <c r="G8" s="377">
        <f t="shared" si="0"/>
        <v>1400000000</v>
      </c>
    </row>
    <row r="9" spans="2:11">
      <c r="B9" s="281" t="s">
        <v>337</v>
      </c>
      <c r="C9" s="375">
        <f>150000000</f>
        <v>150000000</v>
      </c>
      <c r="D9" s="375">
        <f>80000000</f>
        <v>80000000</v>
      </c>
      <c r="E9" s="375">
        <f>40000000</f>
        <v>40000000</v>
      </c>
      <c r="F9" s="375">
        <f>130000000</f>
        <v>130000000</v>
      </c>
      <c r="G9" s="377">
        <f t="shared" si="0"/>
        <v>400000000</v>
      </c>
    </row>
    <row r="10" spans="2:11">
      <c r="B10" s="281"/>
      <c r="C10" s="375"/>
      <c r="D10" s="375"/>
      <c r="E10" s="375"/>
      <c r="F10" s="375"/>
      <c r="G10" s="377"/>
    </row>
    <row r="11" spans="2:11">
      <c r="B11" s="281"/>
      <c r="C11" s="375"/>
      <c r="D11" s="375"/>
      <c r="E11" s="375"/>
      <c r="F11" s="375"/>
      <c r="G11" s="377"/>
    </row>
    <row r="12" spans="2:11">
      <c r="B12" s="281"/>
      <c r="C12" s="375"/>
      <c r="D12" s="375"/>
      <c r="E12" s="375"/>
      <c r="F12" s="375"/>
      <c r="G12" s="377"/>
    </row>
    <row r="13" spans="2:11">
      <c r="B13" s="281"/>
      <c r="C13" s="375"/>
      <c r="D13" s="375"/>
      <c r="E13" s="375"/>
      <c r="F13" s="375"/>
      <c r="G13" s="377"/>
    </row>
    <row r="14" spans="2:11">
      <c r="B14" s="281"/>
      <c r="C14" s="281"/>
      <c r="D14" s="281"/>
      <c r="E14" s="281"/>
      <c r="F14" s="281"/>
    </row>
    <row r="16" spans="2:11">
      <c r="C16" t="s">
        <v>87</v>
      </c>
    </row>
    <row r="17" spans="3:3">
      <c r="C17" t="s">
        <v>87</v>
      </c>
    </row>
    <row r="18" spans="3:3">
      <c r="C18" t="s">
        <v>87</v>
      </c>
    </row>
    <row r="19" spans="3:3">
      <c r="C19" t="s">
        <v>87</v>
      </c>
    </row>
    <row r="20" spans="3:3">
      <c r="C20" t="s">
        <v>87</v>
      </c>
    </row>
    <row r="21" spans="3:3">
      <c r="C21" t="s">
        <v>87</v>
      </c>
    </row>
  </sheetData>
  <mergeCells count="1">
    <mergeCell ref="C1:K1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AT57"/>
  <sheetViews>
    <sheetView topLeftCell="B1" zoomScaleNormal="100" workbookViewId="0">
      <pane xSplit="3" ySplit="1" topLeftCell="O20" activePane="bottomRight" state="frozen"/>
      <selection activeCell="B1" sqref="B1"/>
      <selection pane="topRight" activeCell="E1" sqref="E1"/>
      <selection pane="bottomLeft" activeCell="B2" sqref="B2"/>
      <selection pane="bottomRight" activeCell="U40" sqref="U40"/>
    </sheetView>
  </sheetViews>
  <sheetFormatPr defaultColWidth="8.87890625" defaultRowHeight="13.15" outlineLevelCol="1"/>
  <cols>
    <col min="1" max="1" width="1.41015625" style="148" customWidth="1"/>
    <col min="2" max="2" width="7.3515625" style="148" customWidth="1"/>
    <col min="3" max="4" width="5.87890625" style="148" customWidth="1"/>
    <col min="5" max="7" width="11.1171875" style="148" customWidth="1" outlineLevel="1"/>
    <col min="8" max="8" width="11.41015625" style="148" bestFit="1" customWidth="1"/>
    <col min="9" max="11" width="10.87890625" style="148" customWidth="1" outlineLevel="1"/>
    <col min="12" max="12" width="11.3515625" style="148" bestFit="1" customWidth="1"/>
    <col min="13" max="13" width="10" style="148" customWidth="1" outlineLevel="1"/>
    <col min="14" max="15" width="10.1171875" style="148" customWidth="1" outlineLevel="1"/>
    <col min="16" max="16" width="10.64453125" style="148" customWidth="1"/>
    <col min="17" max="17" width="10.1171875" style="148" customWidth="1" outlineLevel="1"/>
    <col min="18" max="19" width="11" style="148" customWidth="1" outlineLevel="1"/>
    <col min="20" max="20" width="11.1171875" style="148" customWidth="1"/>
    <col min="21" max="21" width="11.3515625" style="148" bestFit="1" customWidth="1"/>
    <col min="22" max="16384" width="8.87890625" style="148"/>
  </cols>
  <sheetData>
    <row r="1" spans="2:46" s="146" customFormat="1" ht="33" customHeight="1" thickBot="1">
      <c r="B1" s="431" t="s">
        <v>212</v>
      </c>
      <c r="C1" s="432"/>
      <c r="D1" s="149" t="s">
        <v>213</v>
      </c>
      <c r="E1" s="150" t="s">
        <v>220</v>
      </c>
      <c r="F1" s="150" t="s">
        <v>221</v>
      </c>
      <c r="G1" s="150" t="s">
        <v>222</v>
      </c>
      <c r="H1" s="151" t="s">
        <v>72</v>
      </c>
      <c r="I1" s="150" t="s">
        <v>223</v>
      </c>
      <c r="J1" s="150" t="s">
        <v>224</v>
      </c>
      <c r="K1" s="150" t="s">
        <v>225</v>
      </c>
      <c r="L1" s="151" t="s">
        <v>77</v>
      </c>
      <c r="M1" s="150" t="s">
        <v>226</v>
      </c>
      <c r="N1" s="150" t="s">
        <v>227</v>
      </c>
      <c r="O1" s="150" t="s">
        <v>228</v>
      </c>
      <c r="P1" s="151" t="s">
        <v>83</v>
      </c>
      <c r="Q1" s="150" t="s">
        <v>229</v>
      </c>
      <c r="R1" s="150" t="s">
        <v>230</v>
      </c>
      <c r="S1" s="150" t="s">
        <v>231</v>
      </c>
      <c r="T1" s="151" t="s">
        <v>89</v>
      </c>
      <c r="U1" s="152">
        <v>2026</v>
      </c>
      <c r="AT1" s="147"/>
    </row>
    <row r="2" spans="2:46" ht="13.5" customHeight="1">
      <c r="B2" s="433" t="s">
        <v>214</v>
      </c>
      <c r="C2" s="434"/>
      <c r="D2" s="183" t="s">
        <v>238</v>
      </c>
      <c r="E2" s="165">
        <f>SDT!F12</f>
        <v>1600000</v>
      </c>
      <c r="F2" s="165">
        <f>SDT!G12</f>
        <v>30000000</v>
      </c>
      <c r="G2" s="165">
        <f>SDT!H12</f>
        <v>30000000</v>
      </c>
      <c r="H2" s="165">
        <f>SUM(E2:G2)</f>
        <v>61600000</v>
      </c>
      <c r="I2" s="165">
        <f>SDT!J12</f>
        <v>30000000</v>
      </c>
      <c r="J2" s="165">
        <f>SDT!K12</f>
        <v>30000000</v>
      </c>
      <c r="K2" s="165">
        <f>SDT!L12</f>
        <v>30000000</v>
      </c>
      <c r="L2" s="165">
        <f>SUM(I2:K2)</f>
        <v>90000000</v>
      </c>
      <c r="M2" s="165">
        <f>SDT!N12</f>
        <v>30000000</v>
      </c>
      <c r="N2" s="165">
        <f>SDT!O12</f>
        <v>30000000</v>
      </c>
      <c r="O2" s="165">
        <f>SDT!P12</f>
        <v>30000000</v>
      </c>
      <c r="P2" s="165">
        <f>SUM(M2:O2)</f>
        <v>90000000</v>
      </c>
      <c r="Q2" s="165">
        <f>SDT!R12</f>
        <v>30000000</v>
      </c>
      <c r="R2" s="165">
        <f>SDT!S12</f>
        <v>30000000</v>
      </c>
      <c r="S2" s="165">
        <f>SDT!T12</f>
        <v>30000000</v>
      </c>
      <c r="T2" s="165">
        <f>SUM(Q2:S2)</f>
        <v>90000000</v>
      </c>
      <c r="U2" s="268">
        <f>H2+L2+P2+T2</f>
        <v>331600000</v>
      </c>
    </row>
    <row r="3" spans="2:46">
      <c r="B3" s="435"/>
      <c r="C3" s="436"/>
      <c r="D3" s="184" t="s">
        <v>278</v>
      </c>
      <c r="E3" s="166">
        <f>'TST1'!F12</f>
        <v>535987000</v>
      </c>
      <c r="F3" s="166">
        <f>'TST1'!G12</f>
        <v>68000000</v>
      </c>
      <c r="G3" s="166">
        <f>'TST1'!H12</f>
        <v>68000000</v>
      </c>
      <c r="H3" s="166">
        <f t="shared" ref="H3:H7" si="0">SUM(E3:G3)</f>
        <v>671987000</v>
      </c>
      <c r="I3" s="166">
        <f>'TST1'!J12</f>
        <v>68000000</v>
      </c>
      <c r="J3" s="166">
        <f>'TST1'!K12</f>
        <v>68000000</v>
      </c>
      <c r="K3" s="166">
        <f>'TST1'!L12</f>
        <v>68000000</v>
      </c>
      <c r="L3" s="166">
        <f t="shared" ref="L3:L7" si="1">SUM(I3:K3)</f>
        <v>204000000</v>
      </c>
      <c r="M3" s="166">
        <f>'TST1'!N12</f>
        <v>68000000</v>
      </c>
      <c r="N3" s="166">
        <f>'TST1'!O12</f>
        <v>68000000</v>
      </c>
      <c r="O3" s="166">
        <f>'TST1'!P12</f>
        <v>68000000</v>
      </c>
      <c r="P3" s="166">
        <f t="shared" ref="P3:P7" si="2">SUM(M3:O3)</f>
        <v>204000000</v>
      </c>
      <c r="Q3" s="166">
        <f>'TST1'!R12</f>
        <v>68000000</v>
      </c>
      <c r="R3" s="166">
        <f>'TST1'!S12</f>
        <v>68000000</v>
      </c>
      <c r="S3" s="166">
        <f>'TST1'!T12</f>
        <v>68000000</v>
      </c>
      <c r="T3" s="166">
        <f t="shared" ref="T3:T7" si="3">SUM(Q3:S3)</f>
        <v>204000000</v>
      </c>
      <c r="U3" s="267">
        <f t="shared" ref="U3:U7" si="4">H3+L3+P3+T3</f>
        <v>1283987000</v>
      </c>
    </row>
    <row r="4" spans="2:46">
      <c r="B4" s="435"/>
      <c r="C4" s="436"/>
      <c r="D4" s="184" t="s">
        <v>279</v>
      </c>
      <c r="E4" s="166">
        <f>'TST2'!F12</f>
        <v>581480000</v>
      </c>
      <c r="F4" s="166">
        <f>'TST2'!G12</f>
        <v>155000000</v>
      </c>
      <c r="G4" s="166">
        <f>'TST2'!H12</f>
        <v>155000000</v>
      </c>
      <c r="H4" s="166">
        <f t="shared" si="0"/>
        <v>891480000</v>
      </c>
      <c r="I4" s="166">
        <f>'TST2'!J12</f>
        <v>155000000</v>
      </c>
      <c r="J4" s="166">
        <f>'TST2'!K12</f>
        <v>155000000</v>
      </c>
      <c r="K4" s="166">
        <f>'TST2'!L12</f>
        <v>155000000</v>
      </c>
      <c r="L4" s="166">
        <f t="shared" si="1"/>
        <v>465000000</v>
      </c>
      <c r="M4" s="166">
        <f>'TST2'!N12</f>
        <v>155000000</v>
      </c>
      <c r="N4" s="166">
        <f>'TST2'!O12</f>
        <v>155000000</v>
      </c>
      <c r="O4" s="166">
        <f>'TST2'!P12</f>
        <v>155000000</v>
      </c>
      <c r="P4" s="166">
        <f t="shared" si="2"/>
        <v>465000000</v>
      </c>
      <c r="Q4" s="166">
        <f>'TST2'!R12</f>
        <v>155000000</v>
      </c>
      <c r="R4" s="166">
        <f>'TST2'!S12</f>
        <v>155000000</v>
      </c>
      <c r="S4" s="166">
        <f>'TST2'!T12</f>
        <v>155000000</v>
      </c>
      <c r="T4" s="166">
        <f t="shared" si="3"/>
        <v>465000000</v>
      </c>
      <c r="U4" s="267">
        <f t="shared" si="4"/>
        <v>2286480000</v>
      </c>
    </row>
    <row r="5" spans="2:46">
      <c r="B5" s="435"/>
      <c r="C5" s="436"/>
      <c r="D5" s="184" t="s">
        <v>274</v>
      </c>
      <c r="E5" s="166">
        <f>'EST1'!F12</f>
        <v>0</v>
      </c>
      <c r="F5" s="166">
        <f>'EST1'!G12</f>
        <v>120000000</v>
      </c>
      <c r="G5" s="166">
        <f>'EST1'!H12</f>
        <v>120000000</v>
      </c>
      <c r="H5" s="166">
        <f t="shared" si="0"/>
        <v>240000000</v>
      </c>
      <c r="I5" s="166">
        <f>'EST1'!J12</f>
        <v>120000000</v>
      </c>
      <c r="J5" s="166">
        <f>'EST1'!K12</f>
        <v>120000000</v>
      </c>
      <c r="K5" s="166">
        <f>'EST1'!L12</f>
        <v>120000000</v>
      </c>
      <c r="L5" s="166">
        <f t="shared" si="1"/>
        <v>360000000</v>
      </c>
      <c r="M5" s="166">
        <f>'EST1'!N12</f>
        <v>120000000</v>
      </c>
      <c r="N5" s="166">
        <f>'EST1'!O12</f>
        <v>120000000</v>
      </c>
      <c r="O5" s="166">
        <f>'EST1'!P12</f>
        <v>120000000</v>
      </c>
      <c r="P5" s="166">
        <f t="shared" si="2"/>
        <v>360000000</v>
      </c>
      <c r="Q5" s="166">
        <f>'EST1'!R12</f>
        <v>120000000</v>
      </c>
      <c r="R5" s="166">
        <f>'EST1'!S12</f>
        <v>120000000</v>
      </c>
      <c r="S5" s="166">
        <f>'EST1'!T12</f>
        <v>120000000</v>
      </c>
      <c r="T5" s="166">
        <f t="shared" si="3"/>
        <v>360000000</v>
      </c>
      <c r="U5" s="267">
        <f t="shared" si="4"/>
        <v>1320000000</v>
      </c>
    </row>
    <row r="6" spans="2:46">
      <c r="B6" s="435"/>
      <c r="C6" s="436"/>
      <c r="D6" s="184" t="s">
        <v>267</v>
      </c>
      <c r="E6" s="166">
        <f>'EST2'!F12</f>
        <v>0</v>
      </c>
      <c r="F6" s="166">
        <f>'EST2'!G12</f>
        <v>5000000</v>
      </c>
      <c r="G6" s="166">
        <f>'EST2'!H12</f>
        <v>5000000</v>
      </c>
      <c r="H6" s="166">
        <f t="shared" si="0"/>
        <v>10000000</v>
      </c>
      <c r="I6" s="166">
        <f>'EST2'!J12</f>
        <v>5000000</v>
      </c>
      <c r="J6" s="166">
        <f>'EST2'!K12</f>
        <v>5000000</v>
      </c>
      <c r="K6" s="166">
        <f>'EST2'!L12</f>
        <v>5000000</v>
      </c>
      <c r="L6" s="166">
        <f t="shared" si="1"/>
        <v>15000000</v>
      </c>
      <c r="M6" s="166">
        <f>'EST2'!N12</f>
        <v>5000000</v>
      </c>
      <c r="N6" s="166">
        <f>'EST2'!O12</f>
        <v>5000000</v>
      </c>
      <c r="O6" s="166">
        <f>'EST2'!P12</f>
        <v>5000000</v>
      </c>
      <c r="P6" s="166">
        <f t="shared" si="2"/>
        <v>15000000</v>
      </c>
      <c r="Q6" s="166">
        <f>'EST2'!R12</f>
        <v>5000000</v>
      </c>
      <c r="R6" s="166">
        <f>'EST2'!S12</f>
        <v>5000000</v>
      </c>
      <c r="S6" s="166">
        <f>'EST2'!T12</f>
        <v>5000000</v>
      </c>
      <c r="T6" s="166">
        <f t="shared" si="3"/>
        <v>15000000</v>
      </c>
      <c r="U6" s="267">
        <f t="shared" si="4"/>
        <v>55000000</v>
      </c>
    </row>
    <row r="7" spans="2:46">
      <c r="B7" s="435"/>
      <c r="C7" s="436"/>
      <c r="D7" s="184" t="s">
        <v>265</v>
      </c>
      <c r="E7" s="166">
        <f>'EST3'!F12</f>
        <v>0</v>
      </c>
      <c r="F7" s="166">
        <f>'EST3'!G12</f>
        <v>1000000</v>
      </c>
      <c r="G7" s="166">
        <f>'EST3'!H12</f>
        <v>1000000</v>
      </c>
      <c r="H7" s="166">
        <f t="shared" si="0"/>
        <v>2000000</v>
      </c>
      <c r="I7" s="166">
        <f>'EST3'!J12</f>
        <v>1000000</v>
      </c>
      <c r="J7" s="166">
        <f>'EST3'!K12</f>
        <v>1000000</v>
      </c>
      <c r="K7" s="166">
        <f>'EST3'!L12</f>
        <v>1000000</v>
      </c>
      <c r="L7" s="166">
        <f t="shared" si="1"/>
        <v>3000000</v>
      </c>
      <c r="M7" s="166">
        <f>'EST3'!N12</f>
        <v>1000000</v>
      </c>
      <c r="N7" s="166">
        <f>'EST3'!O12</f>
        <v>1000000</v>
      </c>
      <c r="O7" s="166">
        <f>'EST3'!P12</f>
        <v>1000000</v>
      </c>
      <c r="P7" s="166">
        <f t="shared" si="2"/>
        <v>3000000</v>
      </c>
      <c r="Q7" s="166">
        <f>'EST3'!R12</f>
        <v>1000000</v>
      </c>
      <c r="R7" s="166">
        <f>'EST3'!S12</f>
        <v>1000000</v>
      </c>
      <c r="S7" s="166">
        <f>'EST3'!T12</f>
        <v>1000000</v>
      </c>
      <c r="T7" s="166">
        <f t="shared" si="3"/>
        <v>3000000</v>
      </c>
      <c r="U7" s="267">
        <f t="shared" si="4"/>
        <v>11000000</v>
      </c>
    </row>
    <row r="8" spans="2:46" ht="16.5" customHeight="1" thickBot="1">
      <c r="B8" s="437" t="s">
        <v>216</v>
      </c>
      <c r="C8" s="438"/>
      <c r="D8" s="438"/>
      <c r="E8" s="175">
        <f t="shared" ref="E8:U8" si="5">SUM(E2:E7)</f>
        <v>1119067000</v>
      </c>
      <c r="F8" s="175">
        <f t="shared" ref="F8:G8" si="6">SUM(F2:F7)</f>
        <v>379000000</v>
      </c>
      <c r="G8" s="175">
        <f t="shared" si="6"/>
        <v>379000000</v>
      </c>
      <c r="H8" s="175">
        <f t="shared" si="5"/>
        <v>1877067000</v>
      </c>
      <c r="I8" s="175">
        <f t="shared" si="5"/>
        <v>379000000</v>
      </c>
      <c r="J8" s="175">
        <f t="shared" si="5"/>
        <v>379000000</v>
      </c>
      <c r="K8" s="175">
        <f t="shared" si="5"/>
        <v>379000000</v>
      </c>
      <c r="L8" s="175">
        <f t="shared" si="5"/>
        <v>1137000000</v>
      </c>
      <c r="M8" s="175">
        <f t="shared" si="5"/>
        <v>379000000</v>
      </c>
      <c r="N8" s="175">
        <f t="shared" si="5"/>
        <v>379000000</v>
      </c>
      <c r="O8" s="175">
        <f t="shared" si="5"/>
        <v>379000000</v>
      </c>
      <c r="P8" s="175">
        <f t="shared" si="5"/>
        <v>1137000000</v>
      </c>
      <c r="Q8" s="175">
        <f t="shared" si="5"/>
        <v>379000000</v>
      </c>
      <c r="R8" s="175">
        <f t="shared" si="5"/>
        <v>379000000</v>
      </c>
      <c r="S8" s="175">
        <f t="shared" si="5"/>
        <v>379000000</v>
      </c>
      <c r="T8" s="175">
        <f t="shared" si="5"/>
        <v>1137000000</v>
      </c>
      <c r="U8" s="269">
        <f t="shared" si="5"/>
        <v>5288067000</v>
      </c>
    </row>
    <row r="9" spans="2:46" ht="13.5" customHeight="1">
      <c r="B9" s="439" t="s">
        <v>217</v>
      </c>
      <c r="C9" s="440"/>
      <c r="D9" s="183" t="s">
        <v>238</v>
      </c>
      <c r="E9" s="165">
        <f>SDT!F26</f>
        <v>86000</v>
      </c>
      <c r="F9" s="165">
        <f>SDT!G26</f>
        <v>80000</v>
      </c>
      <c r="G9" s="165">
        <f>SDT!H26</f>
        <v>80000</v>
      </c>
      <c r="H9" s="165">
        <f>SUM(E9:G9)</f>
        <v>246000</v>
      </c>
      <c r="I9" s="165">
        <f>SDT!J26</f>
        <v>80000</v>
      </c>
      <c r="J9" s="165">
        <f>SDT!K26</f>
        <v>80000</v>
      </c>
      <c r="K9" s="165">
        <f>SDT!L26</f>
        <v>80000</v>
      </c>
      <c r="L9" s="165">
        <f>SUM(I9:K9)</f>
        <v>240000</v>
      </c>
      <c r="M9" s="165">
        <f>SDT!N26</f>
        <v>80000</v>
      </c>
      <c r="N9" s="165">
        <f>SDT!O26</f>
        <v>80000</v>
      </c>
      <c r="O9" s="165">
        <f>SDT!P26</f>
        <v>80000</v>
      </c>
      <c r="P9" s="165">
        <f>SUM(M9:O9)</f>
        <v>240000</v>
      </c>
      <c r="Q9" s="165">
        <f>SDT!R26</f>
        <v>80000</v>
      </c>
      <c r="R9" s="165">
        <f>SDT!S26</f>
        <v>80000</v>
      </c>
      <c r="S9" s="165">
        <f>SDT!T26</f>
        <v>80000</v>
      </c>
      <c r="T9" s="165">
        <f>SUM(Q9:S9)</f>
        <v>240000</v>
      </c>
      <c r="U9" s="268">
        <f>H9+L9+P9+T9</f>
        <v>966000</v>
      </c>
    </row>
    <row r="10" spans="2:46">
      <c r="B10" s="441"/>
      <c r="C10" s="442"/>
      <c r="D10" s="184" t="s">
        <v>278</v>
      </c>
      <c r="E10" s="166">
        <f>'TST1'!F26</f>
        <v>234537000</v>
      </c>
      <c r="F10" s="166">
        <f>'TST1'!G26</f>
        <v>30995000</v>
      </c>
      <c r="G10" s="166">
        <f>'TST1'!H26</f>
        <v>30995000</v>
      </c>
      <c r="H10" s="166">
        <f t="shared" ref="H10:H14" si="7">SUM(E10:G10)</f>
        <v>296527000</v>
      </c>
      <c r="I10" s="166">
        <f>'TST1'!J26</f>
        <v>30995000</v>
      </c>
      <c r="J10" s="166">
        <f>'TST1'!K26</f>
        <v>30995000</v>
      </c>
      <c r="K10" s="166">
        <f>'TST1'!L26</f>
        <v>30995000</v>
      </c>
      <c r="L10" s="166">
        <f t="shared" ref="L10:L14" si="8">SUM(I10:K10)</f>
        <v>92985000</v>
      </c>
      <c r="M10" s="166">
        <f>'TST1'!N26</f>
        <v>30995000</v>
      </c>
      <c r="N10" s="166">
        <f>'TST1'!O26</f>
        <v>30995000</v>
      </c>
      <c r="O10" s="166">
        <f>'TST1'!P26</f>
        <v>30995000</v>
      </c>
      <c r="P10" s="166">
        <f t="shared" ref="P10:P14" si="9">SUM(M10:O10)</f>
        <v>92985000</v>
      </c>
      <c r="Q10" s="166">
        <f>'TST1'!R26</f>
        <v>30995000</v>
      </c>
      <c r="R10" s="166">
        <f>'TST1'!S26</f>
        <v>30995000</v>
      </c>
      <c r="S10" s="166">
        <f>'TST1'!T26</f>
        <v>30995000</v>
      </c>
      <c r="T10" s="166">
        <f t="shared" ref="T10:T14" si="10">SUM(Q10:S10)</f>
        <v>92985000</v>
      </c>
      <c r="U10" s="267">
        <f t="shared" ref="U10:U14" si="11">H10+L10+P10+T10</f>
        <v>575482000</v>
      </c>
    </row>
    <row r="11" spans="2:46">
      <c r="B11" s="441"/>
      <c r="C11" s="442"/>
      <c r="D11" s="184" t="s">
        <v>279</v>
      </c>
      <c r="E11" s="166">
        <f>'TST2'!F26</f>
        <v>101545000</v>
      </c>
      <c r="F11" s="166">
        <f>'TST2'!G26</f>
        <v>78029000</v>
      </c>
      <c r="G11" s="166">
        <f>'TST2'!H26</f>
        <v>78029000</v>
      </c>
      <c r="H11" s="166">
        <f t="shared" si="7"/>
        <v>257603000</v>
      </c>
      <c r="I11" s="166">
        <f>'TST2'!J26</f>
        <v>78029000</v>
      </c>
      <c r="J11" s="166">
        <f>'TST2'!K26</f>
        <v>78029000</v>
      </c>
      <c r="K11" s="166">
        <f>'TST2'!L26</f>
        <v>78029000</v>
      </c>
      <c r="L11" s="166">
        <f t="shared" si="8"/>
        <v>234087000</v>
      </c>
      <c r="M11" s="166">
        <f>'TST2'!N26</f>
        <v>78029000</v>
      </c>
      <c r="N11" s="166">
        <f>'TST2'!O26</f>
        <v>78029000</v>
      </c>
      <c r="O11" s="166">
        <f>'TST2'!P26</f>
        <v>78029000</v>
      </c>
      <c r="P11" s="166">
        <f t="shared" si="9"/>
        <v>234087000</v>
      </c>
      <c r="Q11" s="166">
        <f>'TST2'!R26</f>
        <v>78029000</v>
      </c>
      <c r="R11" s="166">
        <f>'TST2'!S26</f>
        <v>78029000</v>
      </c>
      <c r="S11" s="166">
        <f>'TST2'!T26</f>
        <v>78029000</v>
      </c>
      <c r="T11" s="166">
        <f t="shared" si="10"/>
        <v>234087000</v>
      </c>
      <c r="U11" s="267">
        <f t="shared" si="11"/>
        <v>959864000</v>
      </c>
    </row>
    <row r="12" spans="2:46">
      <c r="B12" s="441"/>
      <c r="C12" s="442"/>
      <c r="D12" s="184" t="s">
        <v>274</v>
      </c>
      <c r="E12" s="166">
        <f>'EST1'!F26</f>
        <v>1100000</v>
      </c>
      <c r="F12" s="166">
        <f>'EST1'!G26</f>
        <v>2100000</v>
      </c>
      <c r="G12" s="166">
        <f>'EST1'!H26</f>
        <v>2100000</v>
      </c>
      <c r="H12" s="166">
        <f t="shared" si="7"/>
        <v>5300000</v>
      </c>
      <c r="I12" s="166">
        <f>'EST1'!J26</f>
        <v>2100000</v>
      </c>
      <c r="J12" s="166">
        <f>'EST1'!K26</f>
        <v>2100000</v>
      </c>
      <c r="K12" s="166">
        <f>'EST1'!L26</f>
        <v>2100000</v>
      </c>
      <c r="L12" s="166">
        <f t="shared" si="8"/>
        <v>6300000</v>
      </c>
      <c r="M12" s="166">
        <f>'EST1'!N26</f>
        <v>2100000</v>
      </c>
      <c r="N12" s="166">
        <f>'EST1'!O26</f>
        <v>2100000</v>
      </c>
      <c r="O12" s="166">
        <f>'EST1'!P26</f>
        <v>2100000</v>
      </c>
      <c r="P12" s="166">
        <f t="shared" si="9"/>
        <v>6300000</v>
      </c>
      <c r="Q12" s="166">
        <f>'EST1'!R26</f>
        <v>2100000</v>
      </c>
      <c r="R12" s="166">
        <f>'EST1'!S26</f>
        <v>2100000</v>
      </c>
      <c r="S12" s="166">
        <f>'EST1'!T26</f>
        <v>2100000</v>
      </c>
      <c r="T12" s="166">
        <f t="shared" si="10"/>
        <v>6300000</v>
      </c>
      <c r="U12" s="267">
        <f t="shared" si="11"/>
        <v>24200000</v>
      </c>
    </row>
    <row r="13" spans="2:46">
      <c r="B13" s="441"/>
      <c r="C13" s="442"/>
      <c r="D13" s="184" t="s">
        <v>267</v>
      </c>
      <c r="E13" s="166">
        <f>'EST2'!F26</f>
        <v>2081000</v>
      </c>
      <c r="F13" s="166">
        <f>'EST2'!G26</f>
        <v>0</v>
      </c>
      <c r="G13" s="166">
        <f>'EST2'!H26</f>
        <v>0</v>
      </c>
      <c r="H13" s="166">
        <f t="shared" si="7"/>
        <v>2081000</v>
      </c>
      <c r="I13" s="166">
        <f>'EST2'!J26</f>
        <v>0</v>
      </c>
      <c r="J13" s="166">
        <f>'EST2'!K26</f>
        <v>0</v>
      </c>
      <c r="K13" s="166">
        <f>'EST2'!L26</f>
        <v>0</v>
      </c>
      <c r="L13" s="166">
        <f t="shared" si="8"/>
        <v>0</v>
      </c>
      <c r="M13" s="166">
        <f>'EST2'!N26</f>
        <v>0</v>
      </c>
      <c r="N13" s="166">
        <f>'EST2'!O26</f>
        <v>0</v>
      </c>
      <c r="O13" s="166">
        <f>'EST2'!P26</f>
        <v>0</v>
      </c>
      <c r="P13" s="166">
        <f t="shared" si="9"/>
        <v>0</v>
      </c>
      <c r="Q13" s="166">
        <f>'EST2'!R26</f>
        <v>0</v>
      </c>
      <c r="R13" s="166">
        <f>'EST2'!S26</f>
        <v>0</v>
      </c>
      <c r="S13" s="166">
        <f>'EST2'!T26</f>
        <v>0</v>
      </c>
      <c r="T13" s="166">
        <f t="shared" si="10"/>
        <v>0</v>
      </c>
      <c r="U13" s="267">
        <f t="shared" si="11"/>
        <v>2081000</v>
      </c>
    </row>
    <row r="14" spans="2:46">
      <c r="B14" s="443"/>
      <c r="C14" s="444"/>
      <c r="D14" s="184" t="s">
        <v>265</v>
      </c>
      <c r="E14" s="166">
        <f>'EST3'!F26</f>
        <v>0</v>
      </c>
      <c r="F14" s="166">
        <f>'EST3'!G26</f>
        <v>0</v>
      </c>
      <c r="G14" s="166">
        <f>'EST3'!H26</f>
        <v>0</v>
      </c>
      <c r="H14" s="166">
        <f t="shared" si="7"/>
        <v>0</v>
      </c>
      <c r="I14" s="166">
        <f>'EST3'!J26</f>
        <v>0</v>
      </c>
      <c r="J14" s="166">
        <f>'EST3'!K26</f>
        <v>0</v>
      </c>
      <c r="K14" s="166">
        <f>'EST3'!L26</f>
        <v>0</v>
      </c>
      <c r="L14" s="166">
        <f t="shared" si="8"/>
        <v>0</v>
      </c>
      <c r="M14" s="166">
        <f>'EST3'!N26</f>
        <v>0</v>
      </c>
      <c r="N14" s="166">
        <f>'EST3'!O26</f>
        <v>0</v>
      </c>
      <c r="O14" s="166">
        <f>'EST3'!P26</f>
        <v>0</v>
      </c>
      <c r="P14" s="166">
        <f t="shared" si="9"/>
        <v>0</v>
      </c>
      <c r="Q14" s="166">
        <f>'EST3'!R26</f>
        <v>0</v>
      </c>
      <c r="R14" s="166">
        <f>'EST3'!S26</f>
        <v>0</v>
      </c>
      <c r="S14" s="166">
        <f>'EST3'!T26</f>
        <v>0</v>
      </c>
      <c r="T14" s="166">
        <f t="shared" si="10"/>
        <v>0</v>
      </c>
      <c r="U14" s="267">
        <f t="shared" si="11"/>
        <v>0</v>
      </c>
    </row>
    <row r="15" spans="2:46" ht="18.75" customHeight="1" thickBot="1">
      <c r="B15" s="445" t="s">
        <v>216</v>
      </c>
      <c r="C15" s="446"/>
      <c r="D15" s="446"/>
      <c r="E15" s="176">
        <f t="shared" ref="E15:I15" si="12">SUM(E9:E14)</f>
        <v>339349000</v>
      </c>
      <c r="F15" s="176">
        <f t="shared" ref="F15:G15" si="13">SUM(F9:F14)</f>
        <v>111204000</v>
      </c>
      <c r="G15" s="176">
        <f t="shared" si="13"/>
        <v>111204000</v>
      </c>
      <c r="H15" s="176">
        <f t="shared" si="12"/>
        <v>561757000</v>
      </c>
      <c r="I15" s="176">
        <f t="shared" si="12"/>
        <v>111204000</v>
      </c>
      <c r="J15" s="176">
        <f t="shared" ref="J15:U15" si="14">SUM(J9:J14)</f>
        <v>111204000</v>
      </c>
      <c r="K15" s="176">
        <f t="shared" si="14"/>
        <v>111204000</v>
      </c>
      <c r="L15" s="176">
        <f t="shared" si="14"/>
        <v>333612000</v>
      </c>
      <c r="M15" s="176">
        <f t="shared" si="14"/>
        <v>111204000</v>
      </c>
      <c r="N15" s="176">
        <f t="shared" si="14"/>
        <v>111204000</v>
      </c>
      <c r="O15" s="176">
        <f t="shared" si="14"/>
        <v>111204000</v>
      </c>
      <c r="P15" s="176">
        <f t="shared" si="14"/>
        <v>333612000</v>
      </c>
      <c r="Q15" s="176">
        <f t="shared" si="14"/>
        <v>111204000</v>
      </c>
      <c r="R15" s="176">
        <f t="shared" si="14"/>
        <v>111204000</v>
      </c>
      <c r="S15" s="176">
        <f t="shared" si="14"/>
        <v>111204000</v>
      </c>
      <c r="T15" s="176">
        <f t="shared" si="14"/>
        <v>333612000</v>
      </c>
      <c r="U15" s="270">
        <f t="shared" si="14"/>
        <v>1562593000</v>
      </c>
    </row>
    <row r="16" spans="2:46" ht="18.75" customHeight="1" thickBot="1">
      <c r="B16" s="401" t="s">
        <v>218</v>
      </c>
      <c r="C16" s="402"/>
      <c r="D16" s="395" t="s">
        <v>339</v>
      </c>
      <c r="E16" s="396"/>
      <c r="F16" s="396"/>
      <c r="G16" s="396"/>
      <c r="H16" s="396">
        <v>2070000000</v>
      </c>
      <c r="I16" s="396"/>
      <c r="J16" s="396"/>
      <c r="K16" s="396"/>
      <c r="L16" s="396">
        <v>935000000</v>
      </c>
      <c r="M16" s="396"/>
      <c r="N16" s="396"/>
      <c r="O16" s="396"/>
      <c r="P16" s="396">
        <v>935000000</v>
      </c>
      <c r="Q16" s="396"/>
      <c r="R16" s="396"/>
      <c r="S16" s="396"/>
      <c r="T16" s="396">
        <v>2010000000</v>
      </c>
      <c r="U16" s="397">
        <f>T16+P16+L16+H16</f>
        <v>5950000000</v>
      </c>
    </row>
    <row r="17" spans="2:21" ht="13.5" customHeight="1">
      <c r="B17" s="403"/>
      <c r="C17" s="404"/>
      <c r="D17" s="183" t="s">
        <v>238</v>
      </c>
      <c r="E17" s="165">
        <f>E2-E9</f>
        <v>1514000</v>
      </c>
      <c r="F17" s="165">
        <f>F2-F9</f>
        <v>29920000</v>
      </c>
      <c r="G17" s="165">
        <f>G2-G9</f>
        <v>29920000</v>
      </c>
      <c r="H17" s="165">
        <f>SUM(E17:G17)</f>
        <v>61354000</v>
      </c>
      <c r="I17" s="165">
        <f t="shared" ref="I17:S17" si="15">I2-I9</f>
        <v>29920000</v>
      </c>
      <c r="J17" s="165">
        <f t="shared" si="15"/>
        <v>29920000</v>
      </c>
      <c r="K17" s="165">
        <f t="shared" si="15"/>
        <v>29920000</v>
      </c>
      <c r="L17" s="165">
        <f>SUM(I17:K17)</f>
        <v>89760000</v>
      </c>
      <c r="M17" s="165">
        <f t="shared" si="15"/>
        <v>29920000</v>
      </c>
      <c r="N17" s="165">
        <f t="shared" si="15"/>
        <v>29920000</v>
      </c>
      <c r="O17" s="165">
        <f t="shared" si="15"/>
        <v>29920000</v>
      </c>
      <c r="P17" s="165">
        <f>SUM(M17:O17)</f>
        <v>89760000</v>
      </c>
      <c r="Q17" s="165">
        <f t="shared" si="15"/>
        <v>29920000</v>
      </c>
      <c r="R17" s="165">
        <f t="shared" si="15"/>
        <v>29920000</v>
      </c>
      <c r="S17" s="165">
        <f t="shared" si="15"/>
        <v>29920000</v>
      </c>
      <c r="T17" s="165">
        <f>SUM(Q17:S17)</f>
        <v>89760000</v>
      </c>
      <c r="U17" s="268">
        <f>H17+L17+P17+T17</f>
        <v>330634000</v>
      </c>
    </row>
    <row r="18" spans="2:21" ht="13.5" customHeight="1">
      <c r="B18" s="403"/>
      <c r="C18" s="404"/>
      <c r="D18" s="184" t="s">
        <v>278</v>
      </c>
      <c r="E18" s="166">
        <f t="shared" ref="E18:F22" si="16">E3-E10</f>
        <v>301450000</v>
      </c>
      <c r="F18" s="166">
        <f t="shared" si="16"/>
        <v>37005000</v>
      </c>
      <c r="G18" s="166">
        <f t="shared" ref="G18" si="17">G3-G10</f>
        <v>37005000</v>
      </c>
      <c r="H18" s="166">
        <f t="shared" ref="H18:H22" si="18">SUM(E18:G18)</f>
        <v>375460000</v>
      </c>
      <c r="I18" s="166">
        <f t="shared" ref="I18:K21" si="19">I3-I10</f>
        <v>37005000</v>
      </c>
      <c r="J18" s="166">
        <f t="shared" si="19"/>
        <v>37005000</v>
      </c>
      <c r="K18" s="166">
        <f t="shared" si="19"/>
        <v>37005000</v>
      </c>
      <c r="L18" s="166">
        <f t="shared" ref="L18:L22" si="20">SUM(I18:K18)</f>
        <v>111015000</v>
      </c>
      <c r="M18" s="166">
        <f t="shared" ref="M18:O21" si="21">M3-M10</f>
        <v>37005000</v>
      </c>
      <c r="N18" s="166">
        <f t="shared" si="21"/>
        <v>37005000</v>
      </c>
      <c r="O18" s="166">
        <f t="shared" si="21"/>
        <v>37005000</v>
      </c>
      <c r="P18" s="166">
        <f t="shared" ref="P18:P22" si="22">SUM(M18:O18)</f>
        <v>111015000</v>
      </c>
      <c r="Q18" s="166">
        <f t="shared" ref="Q18:S21" si="23">Q3-Q10</f>
        <v>37005000</v>
      </c>
      <c r="R18" s="166">
        <f t="shared" si="23"/>
        <v>37005000</v>
      </c>
      <c r="S18" s="166">
        <f t="shared" si="23"/>
        <v>37005000</v>
      </c>
      <c r="T18" s="166">
        <f t="shared" ref="T18:T22" si="24">SUM(Q18:S18)</f>
        <v>111015000</v>
      </c>
      <c r="U18" s="267">
        <f t="shared" ref="U18:U22" si="25">H18+L18+P18+T18</f>
        <v>708505000</v>
      </c>
    </row>
    <row r="19" spans="2:21" ht="13.5" customHeight="1">
      <c r="B19" s="403"/>
      <c r="C19" s="404"/>
      <c r="D19" s="184" t="s">
        <v>279</v>
      </c>
      <c r="E19" s="166">
        <f t="shared" si="16"/>
        <v>479935000</v>
      </c>
      <c r="F19" s="166">
        <f t="shared" si="16"/>
        <v>76971000</v>
      </c>
      <c r="G19" s="166">
        <f t="shared" ref="G19" si="26">G4-G11</f>
        <v>76971000</v>
      </c>
      <c r="H19" s="166">
        <f t="shared" si="18"/>
        <v>633877000</v>
      </c>
      <c r="I19" s="166">
        <f t="shared" si="19"/>
        <v>76971000</v>
      </c>
      <c r="J19" s="166">
        <f t="shared" si="19"/>
        <v>76971000</v>
      </c>
      <c r="K19" s="166">
        <f t="shared" si="19"/>
        <v>76971000</v>
      </c>
      <c r="L19" s="166">
        <f t="shared" si="20"/>
        <v>230913000</v>
      </c>
      <c r="M19" s="166">
        <f t="shared" si="21"/>
        <v>76971000</v>
      </c>
      <c r="N19" s="166">
        <f t="shared" si="21"/>
        <v>76971000</v>
      </c>
      <c r="O19" s="166">
        <f t="shared" si="21"/>
        <v>76971000</v>
      </c>
      <c r="P19" s="166">
        <f t="shared" si="22"/>
        <v>230913000</v>
      </c>
      <c r="Q19" s="166">
        <f t="shared" si="23"/>
        <v>76971000</v>
      </c>
      <c r="R19" s="166">
        <f t="shared" si="23"/>
        <v>76971000</v>
      </c>
      <c r="S19" s="166">
        <f t="shared" si="23"/>
        <v>76971000</v>
      </c>
      <c r="T19" s="166">
        <f t="shared" si="24"/>
        <v>230913000</v>
      </c>
      <c r="U19" s="267">
        <f t="shared" si="25"/>
        <v>1326616000</v>
      </c>
    </row>
    <row r="20" spans="2:21" ht="13.5" customHeight="1">
      <c r="B20" s="403"/>
      <c r="C20" s="404"/>
      <c r="D20" s="184" t="s">
        <v>274</v>
      </c>
      <c r="E20" s="166">
        <f t="shared" si="16"/>
        <v>-1100000</v>
      </c>
      <c r="F20" s="166">
        <f t="shared" si="16"/>
        <v>117900000</v>
      </c>
      <c r="G20" s="166">
        <f t="shared" ref="G20" si="27">G5-G12</f>
        <v>117900000</v>
      </c>
      <c r="H20" s="166">
        <f t="shared" si="18"/>
        <v>234700000</v>
      </c>
      <c r="I20" s="166">
        <f t="shared" si="19"/>
        <v>117900000</v>
      </c>
      <c r="J20" s="166">
        <f t="shared" si="19"/>
        <v>117900000</v>
      </c>
      <c r="K20" s="166">
        <f t="shared" si="19"/>
        <v>117900000</v>
      </c>
      <c r="L20" s="166">
        <f t="shared" si="20"/>
        <v>353700000</v>
      </c>
      <c r="M20" s="166">
        <f t="shared" si="21"/>
        <v>117900000</v>
      </c>
      <c r="N20" s="166">
        <f t="shared" si="21"/>
        <v>117900000</v>
      </c>
      <c r="O20" s="166">
        <f t="shared" si="21"/>
        <v>117900000</v>
      </c>
      <c r="P20" s="166">
        <f t="shared" si="22"/>
        <v>353700000</v>
      </c>
      <c r="Q20" s="166">
        <f t="shared" si="23"/>
        <v>117900000</v>
      </c>
      <c r="R20" s="166">
        <f t="shared" si="23"/>
        <v>117900000</v>
      </c>
      <c r="S20" s="166">
        <f t="shared" si="23"/>
        <v>117900000</v>
      </c>
      <c r="T20" s="166">
        <f t="shared" si="24"/>
        <v>353700000</v>
      </c>
      <c r="U20" s="267">
        <f t="shared" si="25"/>
        <v>1295800000</v>
      </c>
    </row>
    <row r="21" spans="2:21" ht="13.5" customHeight="1">
      <c r="B21" s="403"/>
      <c r="C21" s="404"/>
      <c r="D21" s="184" t="s">
        <v>267</v>
      </c>
      <c r="E21" s="166">
        <f t="shared" si="16"/>
        <v>-2081000</v>
      </c>
      <c r="F21" s="166">
        <f t="shared" si="16"/>
        <v>5000000</v>
      </c>
      <c r="G21" s="166">
        <f t="shared" ref="G21" si="28">G6-G13</f>
        <v>5000000</v>
      </c>
      <c r="H21" s="166">
        <f t="shared" si="18"/>
        <v>7919000</v>
      </c>
      <c r="I21" s="166">
        <f t="shared" si="19"/>
        <v>5000000</v>
      </c>
      <c r="J21" s="166">
        <f t="shared" si="19"/>
        <v>5000000</v>
      </c>
      <c r="K21" s="166">
        <f t="shared" si="19"/>
        <v>5000000</v>
      </c>
      <c r="L21" s="166">
        <f t="shared" si="20"/>
        <v>15000000</v>
      </c>
      <c r="M21" s="166">
        <f t="shared" si="21"/>
        <v>5000000</v>
      </c>
      <c r="N21" s="166">
        <f t="shared" si="21"/>
        <v>5000000</v>
      </c>
      <c r="O21" s="166">
        <f t="shared" si="21"/>
        <v>5000000</v>
      </c>
      <c r="P21" s="166">
        <f t="shared" si="22"/>
        <v>15000000</v>
      </c>
      <c r="Q21" s="166">
        <f t="shared" si="23"/>
        <v>5000000</v>
      </c>
      <c r="R21" s="166">
        <f t="shared" si="23"/>
        <v>5000000</v>
      </c>
      <c r="S21" s="166">
        <f t="shared" si="23"/>
        <v>5000000</v>
      </c>
      <c r="T21" s="166">
        <f t="shared" si="24"/>
        <v>15000000</v>
      </c>
      <c r="U21" s="267">
        <f t="shared" si="25"/>
        <v>52919000</v>
      </c>
    </row>
    <row r="22" spans="2:21" ht="13.5" customHeight="1">
      <c r="B22" s="405"/>
      <c r="C22" s="406"/>
      <c r="D22" s="184" t="s">
        <v>265</v>
      </c>
      <c r="E22" s="166">
        <f t="shared" si="16"/>
        <v>0</v>
      </c>
      <c r="F22" s="166">
        <f t="shared" si="16"/>
        <v>1000000</v>
      </c>
      <c r="G22" s="166">
        <f>G7-G14</f>
        <v>1000000</v>
      </c>
      <c r="H22" s="166">
        <f t="shared" si="18"/>
        <v>2000000</v>
      </c>
      <c r="I22" s="166">
        <f t="shared" ref="I22:S22" si="29">I7-I14</f>
        <v>1000000</v>
      </c>
      <c r="J22" s="166">
        <f t="shared" si="29"/>
        <v>1000000</v>
      </c>
      <c r="K22" s="166">
        <f t="shared" si="29"/>
        <v>1000000</v>
      </c>
      <c r="L22" s="166">
        <f t="shared" si="20"/>
        <v>3000000</v>
      </c>
      <c r="M22" s="166">
        <f t="shared" si="29"/>
        <v>1000000</v>
      </c>
      <c r="N22" s="166">
        <f t="shared" si="29"/>
        <v>1000000</v>
      </c>
      <c r="O22" s="166">
        <f t="shared" si="29"/>
        <v>1000000</v>
      </c>
      <c r="P22" s="166">
        <f t="shared" si="22"/>
        <v>3000000</v>
      </c>
      <c r="Q22" s="166">
        <f t="shared" si="29"/>
        <v>1000000</v>
      </c>
      <c r="R22" s="166">
        <f t="shared" si="29"/>
        <v>1000000</v>
      </c>
      <c r="S22" s="166">
        <f t="shared" si="29"/>
        <v>1000000</v>
      </c>
      <c r="T22" s="166">
        <f t="shared" si="24"/>
        <v>3000000</v>
      </c>
      <c r="U22" s="267">
        <f t="shared" si="25"/>
        <v>11000000</v>
      </c>
    </row>
    <row r="23" spans="2:21" ht="16.5" customHeight="1" thickBot="1">
      <c r="B23" s="416" t="s">
        <v>216</v>
      </c>
      <c r="C23" s="417"/>
      <c r="D23" s="417"/>
      <c r="E23" s="177">
        <f t="shared" ref="E23:I23" si="30">SUM(E17:E22)</f>
        <v>779718000</v>
      </c>
      <c r="F23" s="177">
        <f>SUM(F17:F22)</f>
        <v>267796000</v>
      </c>
      <c r="G23" s="177">
        <f t="shared" ref="G23" si="31">SUM(G17:G22)</f>
        <v>267796000</v>
      </c>
      <c r="H23" s="177">
        <f>SUM(H17:H22)</f>
        <v>1315310000</v>
      </c>
      <c r="I23" s="177">
        <f t="shared" si="30"/>
        <v>267796000</v>
      </c>
      <c r="J23" s="177">
        <f t="shared" ref="J23:S23" si="32">SUM(J17:J22)</f>
        <v>267796000</v>
      </c>
      <c r="K23" s="177">
        <f t="shared" si="32"/>
        <v>267796000</v>
      </c>
      <c r="L23" s="177">
        <f>SUM(L17:L22)</f>
        <v>803388000</v>
      </c>
      <c r="M23" s="177">
        <f t="shared" si="32"/>
        <v>267796000</v>
      </c>
      <c r="N23" s="177">
        <f t="shared" si="32"/>
        <v>267796000</v>
      </c>
      <c r="O23" s="177">
        <f t="shared" si="32"/>
        <v>267796000</v>
      </c>
      <c r="P23" s="177">
        <f>SUM(P17:P22)</f>
        <v>803388000</v>
      </c>
      <c r="Q23" s="177">
        <f t="shared" si="32"/>
        <v>267796000</v>
      </c>
      <c r="R23" s="177">
        <f t="shared" si="32"/>
        <v>267796000</v>
      </c>
      <c r="S23" s="177">
        <f t="shared" si="32"/>
        <v>267796000</v>
      </c>
      <c r="T23" s="177">
        <f>SUM(T17:T22)</f>
        <v>803388000</v>
      </c>
      <c r="U23" s="271">
        <f>SUM(U17:U22)</f>
        <v>3725474000</v>
      </c>
    </row>
    <row r="24" spans="2:21" ht="13.5" customHeight="1">
      <c r="B24" s="410" t="s">
        <v>234</v>
      </c>
      <c r="C24" s="411"/>
      <c r="D24" s="183" t="s">
        <v>238</v>
      </c>
      <c r="E24" s="165">
        <f>SDT!F124</f>
        <v>33217000</v>
      </c>
      <c r="F24" s="165">
        <f>SDT!G124</f>
        <v>33247000</v>
      </c>
      <c r="G24" s="165">
        <f>SDT!H124</f>
        <v>33247000</v>
      </c>
      <c r="H24" s="165">
        <f>SUM(E24:G24)</f>
        <v>99711000</v>
      </c>
      <c r="I24" s="165">
        <f>SDT!J124</f>
        <v>33247000</v>
      </c>
      <c r="J24" s="165">
        <f>SDT!K124</f>
        <v>33247000</v>
      </c>
      <c r="K24" s="165">
        <f>SDT!L124</f>
        <v>33247000</v>
      </c>
      <c r="L24" s="165">
        <f>SUM(I24:K24)</f>
        <v>99741000</v>
      </c>
      <c r="M24" s="165">
        <f>SDT!N124</f>
        <v>33247000</v>
      </c>
      <c r="N24" s="165">
        <f>SDT!O124</f>
        <v>33247000</v>
      </c>
      <c r="O24" s="165">
        <f>SDT!P124</f>
        <v>33247000</v>
      </c>
      <c r="P24" s="165">
        <f>SUM(M24:O24)</f>
        <v>99741000</v>
      </c>
      <c r="Q24" s="165">
        <f>SDT!R124</f>
        <v>33247000</v>
      </c>
      <c r="R24" s="165">
        <f>SDT!S124</f>
        <v>33247000</v>
      </c>
      <c r="S24" s="165">
        <f>SDT!T124</f>
        <v>33247000</v>
      </c>
      <c r="T24" s="165">
        <f>SUM(Q24:S24)</f>
        <v>99741000</v>
      </c>
      <c r="U24" s="268">
        <f>H24+L24+P24+T24</f>
        <v>398934000</v>
      </c>
    </row>
    <row r="25" spans="2:21">
      <c r="B25" s="412"/>
      <c r="C25" s="413"/>
      <c r="D25" s="184" t="s">
        <v>278</v>
      </c>
      <c r="E25" s="166">
        <f>'TST1'!F124</f>
        <v>46146000</v>
      </c>
      <c r="F25" s="166">
        <f>'TST1'!G124</f>
        <v>46709000</v>
      </c>
      <c r="G25" s="166">
        <f>'TST1'!H124</f>
        <v>46709000</v>
      </c>
      <c r="H25" s="166">
        <f t="shared" ref="H25:H29" si="33">SUM(E25:G25)</f>
        <v>139564000</v>
      </c>
      <c r="I25" s="166">
        <f>'TST1'!J124</f>
        <v>46709000</v>
      </c>
      <c r="J25" s="166">
        <f>'TST1'!K124</f>
        <v>46709000</v>
      </c>
      <c r="K25" s="166">
        <f>'TST1'!L124</f>
        <v>46709000</v>
      </c>
      <c r="L25" s="166">
        <f t="shared" ref="L25:L29" si="34">SUM(I25:K25)</f>
        <v>140127000</v>
      </c>
      <c r="M25" s="166">
        <f>'TST1'!N124</f>
        <v>46709000</v>
      </c>
      <c r="N25" s="166">
        <f>'TST1'!O124</f>
        <v>46709000</v>
      </c>
      <c r="O25" s="166">
        <f>'TST1'!P124</f>
        <v>46709000</v>
      </c>
      <c r="P25" s="166">
        <f t="shared" ref="P25:P29" si="35">SUM(M25:O25)</f>
        <v>140127000</v>
      </c>
      <c r="Q25" s="166">
        <f>'TST1'!R124</f>
        <v>46709000</v>
      </c>
      <c r="R25" s="166">
        <f>'TST1'!S124</f>
        <v>46709000</v>
      </c>
      <c r="S25" s="166">
        <f>'TST1'!T124</f>
        <v>46709000</v>
      </c>
      <c r="T25" s="166">
        <f t="shared" ref="T25:T29" si="36">SUM(Q25:S25)</f>
        <v>140127000</v>
      </c>
      <c r="U25" s="267">
        <f t="shared" ref="U25:U29" si="37">H25+L25+P25+T25</f>
        <v>559945000</v>
      </c>
    </row>
    <row r="26" spans="2:21">
      <c r="B26" s="412"/>
      <c r="C26" s="413"/>
      <c r="D26" s="184" t="s">
        <v>279</v>
      </c>
      <c r="E26" s="166">
        <f>'TST2'!F124</f>
        <v>28732000</v>
      </c>
      <c r="F26" s="166">
        <f>'TST2'!G124</f>
        <v>29254000</v>
      </c>
      <c r="G26" s="166">
        <f>'TST2'!H124</f>
        <v>29254000</v>
      </c>
      <c r="H26" s="166">
        <f t="shared" si="33"/>
        <v>87240000</v>
      </c>
      <c r="I26" s="166">
        <f>'TST2'!J124</f>
        <v>29254000</v>
      </c>
      <c r="J26" s="166">
        <f>'TST2'!K124</f>
        <v>29254000</v>
      </c>
      <c r="K26" s="166">
        <f>'TST2'!L124</f>
        <v>29254000</v>
      </c>
      <c r="L26" s="166">
        <f t="shared" si="34"/>
        <v>87762000</v>
      </c>
      <c r="M26" s="166">
        <f>'TST2'!N124</f>
        <v>29254000</v>
      </c>
      <c r="N26" s="166">
        <f>'TST2'!O124</f>
        <v>29254000</v>
      </c>
      <c r="O26" s="166">
        <f>'TST2'!P124</f>
        <v>29254000</v>
      </c>
      <c r="P26" s="166">
        <f t="shared" si="35"/>
        <v>87762000</v>
      </c>
      <c r="Q26" s="166">
        <f>'TST2'!R124</f>
        <v>29254000</v>
      </c>
      <c r="R26" s="166">
        <f>'TST2'!S124</f>
        <v>29254000</v>
      </c>
      <c r="S26" s="166">
        <f>'TST2'!T124</f>
        <v>29254000</v>
      </c>
      <c r="T26" s="166">
        <f t="shared" si="36"/>
        <v>87762000</v>
      </c>
      <c r="U26" s="267">
        <f t="shared" si="37"/>
        <v>350526000</v>
      </c>
    </row>
    <row r="27" spans="2:21">
      <c r="B27" s="412"/>
      <c r="C27" s="413"/>
      <c r="D27" s="184" t="s">
        <v>274</v>
      </c>
      <c r="E27" s="166">
        <f>'EST1'!F124</f>
        <v>43911000</v>
      </c>
      <c r="F27" s="166">
        <f>'EST1'!G124</f>
        <v>43846000</v>
      </c>
      <c r="G27" s="166">
        <f>'EST1'!H124</f>
        <v>43846000</v>
      </c>
      <c r="H27" s="166">
        <f t="shared" si="33"/>
        <v>131603000</v>
      </c>
      <c r="I27" s="166">
        <f>'EST1'!J124</f>
        <v>43846000</v>
      </c>
      <c r="J27" s="166">
        <f>'EST1'!K124</f>
        <v>43846000</v>
      </c>
      <c r="K27" s="166">
        <f>'EST1'!L124</f>
        <v>43846000</v>
      </c>
      <c r="L27" s="166">
        <f t="shared" si="34"/>
        <v>131538000</v>
      </c>
      <c r="M27" s="166">
        <f>'EST1'!N124</f>
        <v>43846000</v>
      </c>
      <c r="N27" s="166">
        <f>'EST1'!O124</f>
        <v>43846000</v>
      </c>
      <c r="O27" s="166">
        <f>'EST1'!P124</f>
        <v>43846000</v>
      </c>
      <c r="P27" s="166">
        <f t="shared" si="35"/>
        <v>131538000</v>
      </c>
      <c r="Q27" s="166">
        <f>'EST1'!R124</f>
        <v>43846000</v>
      </c>
      <c r="R27" s="166">
        <f>'EST1'!S124</f>
        <v>43846000</v>
      </c>
      <c r="S27" s="166">
        <f>'EST1'!T124</f>
        <v>43846000</v>
      </c>
      <c r="T27" s="166">
        <f t="shared" si="36"/>
        <v>131538000</v>
      </c>
      <c r="U27" s="267">
        <f t="shared" si="37"/>
        <v>526217000</v>
      </c>
    </row>
    <row r="28" spans="2:21">
      <c r="B28" s="412"/>
      <c r="C28" s="413"/>
      <c r="D28" s="184" t="s">
        <v>267</v>
      </c>
      <c r="E28" s="166">
        <f>'EST2'!F124</f>
        <v>30893000</v>
      </c>
      <c r="F28" s="166">
        <f>'EST2'!G124</f>
        <v>30847000</v>
      </c>
      <c r="G28" s="166">
        <f>'EST2'!H124</f>
        <v>30847000</v>
      </c>
      <c r="H28" s="166">
        <f t="shared" si="33"/>
        <v>92587000</v>
      </c>
      <c r="I28" s="166">
        <f>'EST2'!J124</f>
        <v>30847000</v>
      </c>
      <c r="J28" s="166">
        <f>'EST2'!K124</f>
        <v>30847000</v>
      </c>
      <c r="K28" s="166">
        <f>'EST2'!L124</f>
        <v>30847000</v>
      </c>
      <c r="L28" s="166">
        <f t="shared" si="34"/>
        <v>92541000</v>
      </c>
      <c r="M28" s="166">
        <f>'EST2'!N124</f>
        <v>30847000</v>
      </c>
      <c r="N28" s="166">
        <f>'EST2'!O124</f>
        <v>30847000</v>
      </c>
      <c r="O28" s="166">
        <f>'EST2'!P124</f>
        <v>30847000</v>
      </c>
      <c r="P28" s="166">
        <f t="shared" si="35"/>
        <v>92541000</v>
      </c>
      <c r="Q28" s="166">
        <f>'EST2'!R124</f>
        <v>30847000</v>
      </c>
      <c r="R28" s="166">
        <f>'EST2'!S124</f>
        <v>30847000</v>
      </c>
      <c r="S28" s="166">
        <f>'EST2'!T124</f>
        <v>30847000</v>
      </c>
      <c r="T28" s="166">
        <f t="shared" si="36"/>
        <v>92541000</v>
      </c>
      <c r="U28" s="267">
        <f t="shared" si="37"/>
        <v>370210000</v>
      </c>
    </row>
    <row r="29" spans="2:21">
      <c r="B29" s="414"/>
      <c r="C29" s="415"/>
      <c r="D29" s="184" t="s">
        <v>265</v>
      </c>
      <c r="E29" s="166">
        <f>'EST3'!F124</f>
        <v>16434000</v>
      </c>
      <c r="F29" s="166">
        <f>'EST3'!G124</f>
        <v>16410000</v>
      </c>
      <c r="G29" s="166">
        <f>'EST3'!H124</f>
        <v>16410000</v>
      </c>
      <c r="H29" s="166">
        <f t="shared" si="33"/>
        <v>49254000</v>
      </c>
      <c r="I29" s="166">
        <f>'EST3'!J124</f>
        <v>16410000</v>
      </c>
      <c r="J29" s="166">
        <f>'EST3'!K124</f>
        <v>16410000</v>
      </c>
      <c r="K29" s="166">
        <f>'EST3'!L124</f>
        <v>16410000</v>
      </c>
      <c r="L29" s="166">
        <f t="shared" si="34"/>
        <v>49230000</v>
      </c>
      <c r="M29" s="166">
        <f>'EST3'!N124</f>
        <v>16410000</v>
      </c>
      <c r="N29" s="166">
        <f>'EST3'!O124</f>
        <v>16410000</v>
      </c>
      <c r="O29" s="166">
        <f>'EST3'!P124</f>
        <v>16410000</v>
      </c>
      <c r="P29" s="166">
        <f t="shared" si="35"/>
        <v>49230000</v>
      </c>
      <c r="Q29" s="166">
        <f>'EST3'!R124</f>
        <v>16410000</v>
      </c>
      <c r="R29" s="166">
        <f>'EST3'!S124</f>
        <v>16410000</v>
      </c>
      <c r="S29" s="166">
        <f>'EST3'!T124</f>
        <v>16410000</v>
      </c>
      <c r="T29" s="166">
        <f t="shared" si="36"/>
        <v>49230000</v>
      </c>
      <c r="U29" s="267">
        <f t="shared" si="37"/>
        <v>196944000</v>
      </c>
    </row>
    <row r="30" spans="2:21" ht="16.5" customHeight="1" thickBot="1">
      <c r="B30" s="419" t="s">
        <v>215</v>
      </c>
      <c r="C30" s="420"/>
      <c r="D30" s="420"/>
      <c r="E30" s="265">
        <f>SUM(E24:E29)</f>
        <v>199333000</v>
      </c>
      <c r="F30" s="265">
        <f>SUM(F24:F29)</f>
        <v>200313000</v>
      </c>
      <c r="G30" s="265">
        <f>SUM(G24:G29)</f>
        <v>200313000</v>
      </c>
      <c r="H30" s="174">
        <f t="shared" ref="H30:I30" si="38">SUM(H24:H29)</f>
        <v>599959000</v>
      </c>
      <c r="I30" s="265">
        <f t="shared" si="38"/>
        <v>200313000</v>
      </c>
      <c r="J30" s="265">
        <f t="shared" ref="J30:S30" si="39">SUM(J24:J29)</f>
        <v>200313000</v>
      </c>
      <c r="K30" s="265">
        <f t="shared" si="39"/>
        <v>200313000</v>
      </c>
      <c r="L30" s="265">
        <f t="shared" ref="L30" si="40">SUM(L24:L29)</f>
        <v>600939000</v>
      </c>
      <c r="M30" s="265">
        <f t="shared" si="39"/>
        <v>200313000</v>
      </c>
      <c r="N30" s="265">
        <f>SUM(N24:N29)</f>
        <v>200313000</v>
      </c>
      <c r="O30" s="265">
        <f t="shared" si="39"/>
        <v>200313000</v>
      </c>
      <c r="P30" s="265">
        <f t="shared" ref="P30" si="41">SUM(P24:P29)</f>
        <v>600939000</v>
      </c>
      <c r="Q30" s="265">
        <f t="shared" si="39"/>
        <v>200313000</v>
      </c>
      <c r="R30" s="265">
        <f t="shared" si="39"/>
        <v>200313000</v>
      </c>
      <c r="S30" s="265">
        <f t="shared" si="39"/>
        <v>200313000</v>
      </c>
      <c r="T30" s="265">
        <f t="shared" ref="T30:U30" si="42">SUM(T24:T29)</f>
        <v>600939000</v>
      </c>
      <c r="U30" s="391">
        <f t="shared" si="42"/>
        <v>2402776000</v>
      </c>
    </row>
    <row r="31" spans="2:21">
      <c r="B31" s="412" t="s">
        <v>235</v>
      </c>
      <c r="C31" s="413"/>
      <c r="D31" s="185" t="s">
        <v>238</v>
      </c>
      <c r="E31" s="280">
        <f>ROUND((간접!$F$124*팀별실적!E24)/팀별실적!$E$30,-3)</f>
        <v>9888000</v>
      </c>
      <c r="F31" s="280">
        <f>ROUND((간접!$G$124*팀별실적!F24)/팀별실적!$F$30,-3)</f>
        <v>9514000</v>
      </c>
      <c r="G31" s="280">
        <f>ROUND((간접!$H$124*팀별실적!G24)/팀별실적!$G$30,-3)</f>
        <v>9514000</v>
      </c>
      <c r="H31" s="165">
        <f>SUM(E31:G31)</f>
        <v>28916000</v>
      </c>
      <c r="I31" s="280">
        <f>ROUND((간접!$J$124*팀별실적!I24)/팀별실적!$I$30,-3)</f>
        <v>9514000</v>
      </c>
      <c r="J31" s="280">
        <f>ROUND((간접!$K$124*팀별실적!J24)/팀별실적!$J$30,-3)</f>
        <v>9514000</v>
      </c>
      <c r="K31" s="280">
        <f>ROUND((간접!$L$124*팀별실적!K24)/팀별실적!$K$30,-3)</f>
        <v>9514000</v>
      </c>
      <c r="L31" s="389">
        <f>SUM(I31:K31)</f>
        <v>28542000</v>
      </c>
      <c r="M31" s="280">
        <f>ROUND((간접!$N$124*팀별실적!M24)/팀별실적!$M$30,-3)</f>
        <v>9514000</v>
      </c>
      <c r="N31" s="280">
        <f>ROUND((간접!$O$124*팀별실적!N24)/팀별실적!$N$30,-3)</f>
        <v>9514000</v>
      </c>
      <c r="O31" s="280">
        <f>ROUND((간접!$P$124*팀별실적!O24)/팀별실적!$O$30,-3)</f>
        <v>9514000</v>
      </c>
      <c r="P31" s="389">
        <f>SUM(M31:O31)</f>
        <v>28542000</v>
      </c>
      <c r="Q31" s="280">
        <f>ROUND((간접!$R$124*팀별실적!Q24)/팀별실적!$Q$30,-3)</f>
        <v>9514000</v>
      </c>
      <c r="R31" s="280">
        <f>ROUND((간접!$S$124*팀별실적!R24)/팀별실적!$R$30,-3)</f>
        <v>9514000</v>
      </c>
      <c r="S31" s="280">
        <f>ROUND((간접!$T$124*팀별실적!S24)/팀별실적!$S$30,-3)</f>
        <v>9514000</v>
      </c>
      <c r="T31" s="389">
        <f>SUM(Q31:S31)</f>
        <v>28542000</v>
      </c>
      <c r="U31" s="390">
        <f>H31+L31+P31+T31</f>
        <v>114542000</v>
      </c>
    </row>
    <row r="32" spans="2:21">
      <c r="B32" s="412"/>
      <c r="C32" s="413"/>
      <c r="D32" s="184" t="s">
        <v>278</v>
      </c>
      <c r="E32" s="280">
        <f>ROUND((간접!$F$124*팀별실적!E25)/팀별실적!$E$30,-3)</f>
        <v>13736000</v>
      </c>
      <c r="F32" s="280">
        <f>ROUND((간접!$G$124*팀별실적!F25)/팀별실적!$F$30,-3)</f>
        <v>13366000</v>
      </c>
      <c r="G32" s="280">
        <f>ROUND((간접!$H$124*팀별실적!G25)/팀별실적!$G$30,-3)</f>
        <v>13366000</v>
      </c>
      <c r="H32" s="166">
        <f t="shared" ref="H32:H36" si="43">SUM(E32:G32)</f>
        <v>40468000</v>
      </c>
      <c r="I32" s="280">
        <f>ROUND((간접!$J$124*팀별실적!I25)/팀별실적!$I$30,-3)</f>
        <v>13366000</v>
      </c>
      <c r="J32" s="280">
        <f>ROUND((간접!$K$124*팀별실적!J25)/팀별실적!$J$30,-3)</f>
        <v>13366000</v>
      </c>
      <c r="K32" s="280">
        <f>ROUND((간접!$L$124*팀별실적!K25)/팀별실적!$K$30,-3)</f>
        <v>13366000</v>
      </c>
      <c r="L32" s="166">
        <f t="shared" ref="L32:L36" si="44">SUM(I32:K32)</f>
        <v>40098000</v>
      </c>
      <c r="M32" s="280">
        <f>ROUND((간접!$N$124*팀별실적!M25)/팀별실적!$M$30,-3)</f>
        <v>13366000</v>
      </c>
      <c r="N32" s="280">
        <f>ROUND((간접!$O$124*팀별실적!N25)/팀별실적!$N$30,-3)</f>
        <v>13366000</v>
      </c>
      <c r="O32" s="280">
        <f>ROUND((간접!$P$124*팀별실적!O25)/팀별실적!$O$30,-3)</f>
        <v>13366000</v>
      </c>
      <c r="P32" s="166">
        <f t="shared" ref="P32:P36" si="45">SUM(M32:O32)</f>
        <v>40098000</v>
      </c>
      <c r="Q32" s="280">
        <f>ROUND((간접!$R$124*팀별실적!Q25)/팀별실적!$Q$30,-3)</f>
        <v>13366000</v>
      </c>
      <c r="R32" s="280">
        <f>ROUND((간접!$S$124*팀별실적!R25)/팀별실적!$R$30,-3)</f>
        <v>13366000</v>
      </c>
      <c r="S32" s="280">
        <f>ROUND((간접!$T$124*팀별실적!S25)/팀별실적!$S$30,-3)</f>
        <v>13366000</v>
      </c>
      <c r="T32" s="166">
        <f t="shared" ref="T32:T36" si="46">SUM(Q32:S32)</f>
        <v>40098000</v>
      </c>
      <c r="U32" s="267">
        <f t="shared" ref="U32:U36" si="47">H32+L32+P32+T32</f>
        <v>160762000</v>
      </c>
    </row>
    <row r="33" spans="2:21">
      <c r="B33" s="412"/>
      <c r="C33" s="413"/>
      <c r="D33" s="184" t="s">
        <v>279</v>
      </c>
      <c r="E33" s="280">
        <f>ROUND((간접!$F$124*팀별실적!E26)/팀별실적!$E$30,-3)-1000</f>
        <v>8552000</v>
      </c>
      <c r="F33" s="280">
        <f>ROUND((간접!$G$124*팀별실적!F26)/팀별실적!$F$30,-3)</f>
        <v>8371000</v>
      </c>
      <c r="G33" s="280">
        <f>ROUND((간접!$H$124*팀별실적!G26)/팀별실적!$G$30,-3)</f>
        <v>8371000</v>
      </c>
      <c r="H33" s="166">
        <f t="shared" si="43"/>
        <v>25294000</v>
      </c>
      <c r="I33" s="280">
        <f>ROUND((간접!$J$124*팀별실적!I26)/팀별실적!$I$30,-3)</f>
        <v>8371000</v>
      </c>
      <c r="J33" s="280">
        <f>ROUND((간접!$K$124*팀별실적!J26)/팀별실적!$J$30,-3)</f>
        <v>8371000</v>
      </c>
      <c r="K33" s="280">
        <f>ROUND((간접!$L$124*팀별실적!K26)/팀별실적!$K$30,-3)</f>
        <v>8371000</v>
      </c>
      <c r="L33" s="166">
        <f t="shared" si="44"/>
        <v>25113000</v>
      </c>
      <c r="M33" s="280">
        <f>ROUND((간접!$N$124*팀별실적!M26)/팀별실적!$M$30,-3)</f>
        <v>8371000</v>
      </c>
      <c r="N33" s="280">
        <f>ROUND((간접!$O$124*팀별실적!N26)/팀별실적!$N$30,-3)</f>
        <v>8371000</v>
      </c>
      <c r="O33" s="280">
        <f>ROUND((간접!$P$124*팀별실적!O26)/팀별실적!$O$30,-3)</f>
        <v>8371000</v>
      </c>
      <c r="P33" s="166">
        <f t="shared" si="45"/>
        <v>25113000</v>
      </c>
      <c r="Q33" s="280">
        <f>ROUND((간접!$R$124*팀별실적!Q26)/팀별실적!$Q$30,-3)</f>
        <v>8371000</v>
      </c>
      <c r="R33" s="280">
        <f>ROUND((간접!$S$124*팀별실적!R26)/팀별실적!$R$30,-3)</f>
        <v>8371000</v>
      </c>
      <c r="S33" s="280">
        <f>ROUND((간접!$T$124*팀별실적!S26)/팀별실적!$S$30,-3)</f>
        <v>8371000</v>
      </c>
      <c r="T33" s="166">
        <f t="shared" si="46"/>
        <v>25113000</v>
      </c>
      <c r="U33" s="267">
        <f t="shared" si="47"/>
        <v>100633000</v>
      </c>
    </row>
    <row r="34" spans="2:21">
      <c r="B34" s="412"/>
      <c r="C34" s="413"/>
      <c r="D34" s="184" t="s">
        <v>274</v>
      </c>
      <c r="E34" s="280">
        <f>ROUND((간접!$F$124*팀별실적!E27)/팀별실적!$E$30,-3)</f>
        <v>13071000</v>
      </c>
      <c r="F34" s="280">
        <f>ROUND((간접!$G$124*팀별실적!F27)/팀별실적!$F$30,-3)</f>
        <v>12546000</v>
      </c>
      <c r="G34" s="280">
        <f>ROUND((간접!$H$124*팀별실적!G27)/팀별실적!$G$30,-3)</f>
        <v>12546000</v>
      </c>
      <c r="H34" s="166">
        <f t="shared" si="43"/>
        <v>38163000</v>
      </c>
      <c r="I34" s="280">
        <f>ROUND((간접!$J$124*팀별실적!I27)/팀별실적!$I$30,-3)</f>
        <v>12546000</v>
      </c>
      <c r="J34" s="280">
        <f>ROUND((간접!$K$124*팀별실적!J27)/팀별실적!$J$30,-3)</f>
        <v>12546000</v>
      </c>
      <c r="K34" s="280">
        <f>ROUND((간접!$L$124*팀별실적!K27)/팀별실적!$K$30,-3)</f>
        <v>12546000</v>
      </c>
      <c r="L34" s="166">
        <f t="shared" si="44"/>
        <v>37638000</v>
      </c>
      <c r="M34" s="280">
        <f>ROUND((간접!$N$124*팀별실적!M27)/팀별실적!$M$30,-3)</f>
        <v>12546000</v>
      </c>
      <c r="N34" s="280">
        <f>ROUND((간접!$O$124*팀별실적!N27)/팀별실적!$N$30,-3)</f>
        <v>12546000</v>
      </c>
      <c r="O34" s="280">
        <f>ROUND((간접!$P$124*팀별실적!O27)/팀별실적!$O$30,-3)</f>
        <v>12546000</v>
      </c>
      <c r="P34" s="166">
        <f t="shared" si="45"/>
        <v>37638000</v>
      </c>
      <c r="Q34" s="280">
        <f>ROUND((간접!$R$124*팀별실적!Q27)/팀별실적!$Q$30,-3)</f>
        <v>12546000</v>
      </c>
      <c r="R34" s="280">
        <f>ROUND((간접!$S$124*팀별실적!R27)/팀별실적!$R$30,-3)</f>
        <v>12546000</v>
      </c>
      <c r="S34" s="280">
        <f>ROUND((간접!$T$124*팀별실적!S27)/팀별실적!$S$30,-3)</f>
        <v>12546000</v>
      </c>
      <c r="T34" s="166">
        <f t="shared" si="46"/>
        <v>37638000</v>
      </c>
      <c r="U34" s="267">
        <f t="shared" si="47"/>
        <v>151077000</v>
      </c>
    </row>
    <row r="35" spans="2:21">
      <c r="B35" s="412"/>
      <c r="C35" s="413"/>
      <c r="D35" s="184" t="s">
        <v>267</v>
      </c>
      <c r="E35" s="280">
        <f>ROUND((간접!$F$124*팀별실적!E28)/팀별실적!$E$30,-3)</f>
        <v>9196000</v>
      </c>
      <c r="F35" s="280">
        <f>ROUND((간접!$G$124*팀별실적!F28)/팀별실적!$F$30,-3)</f>
        <v>8827000</v>
      </c>
      <c r="G35" s="280">
        <f>ROUND((간접!$H$124*팀별실적!G28)/팀별실적!$G$30,-3)</f>
        <v>8827000</v>
      </c>
      <c r="H35" s="166">
        <f t="shared" si="43"/>
        <v>26850000</v>
      </c>
      <c r="I35" s="280">
        <f>ROUND((간접!$J$124*팀별실적!I28)/팀별실적!$I$30,-3)</f>
        <v>8827000</v>
      </c>
      <c r="J35" s="280">
        <f>ROUND((간접!$K$124*팀별실적!J28)/팀별실적!$J$30,-3)</f>
        <v>8827000</v>
      </c>
      <c r="K35" s="280">
        <f>ROUND((간접!$L$124*팀별실적!K28)/팀별실적!$K$30,-3)</f>
        <v>8827000</v>
      </c>
      <c r="L35" s="166">
        <f t="shared" si="44"/>
        <v>26481000</v>
      </c>
      <c r="M35" s="280">
        <f>ROUND((간접!$N$124*팀별실적!M28)/팀별실적!$M$30,-3)</f>
        <v>8827000</v>
      </c>
      <c r="N35" s="280">
        <f>ROUND((간접!$O$124*팀별실적!N28)/팀별실적!$N$30,-3)</f>
        <v>8827000</v>
      </c>
      <c r="O35" s="280">
        <f>ROUND((간접!$P$124*팀별실적!O28)/팀별실적!$O$30,-3)</f>
        <v>8827000</v>
      </c>
      <c r="P35" s="166">
        <f t="shared" si="45"/>
        <v>26481000</v>
      </c>
      <c r="Q35" s="280">
        <f>ROUND((간접!$R$124*팀별실적!Q28)/팀별실적!$Q$30,-3)</f>
        <v>8827000</v>
      </c>
      <c r="R35" s="280">
        <f>ROUND((간접!$S$124*팀별실적!R28)/팀별실적!$R$30,-3)</f>
        <v>8827000</v>
      </c>
      <c r="S35" s="280">
        <f>ROUND((간접!$T$124*팀별실적!S28)/팀별실적!$S$30,-3)</f>
        <v>8827000</v>
      </c>
      <c r="T35" s="166">
        <f t="shared" si="46"/>
        <v>26481000</v>
      </c>
      <c r="U35" s="267">
        <f t="shared" si="47"/>
        <v>106293000</v>
      </c>
    </row>
    <row r="36" spans="2:21">
      <c r="B36" s="414"/>
      <c r="C36" s="415"/>
      <c r="D36" s="184" t="s">
        <v>265</v>
      </c>
      <c r="E36" s="280">
        <f>ROUND((간접!$F$124*팀별실적!E29)/팀별실적!$E$30,-3)</f>
        <v>4892000</v>
      </c>
      <c r="F36" s="280">
        <f>ROUND((간접!$G$124*팀별실적!F29)/팀별실적!$F$30,-3)</f>
        <v>4696000</v>
      </c>
      <c r="G36" s="280">
        <f>ROUND((간접!$H$124*팀별실적!G29)/팀별실적!$G$30,-3)</f>
        <v>4696000</v>
      </c>
      <c r="H36" s="166">
        <f t="shared" si="43"/>
        <v>14284000</v>
      </c>
      <c r="I36" s="280">
        <f>ROUND((간접!$J$124*팀별실적!I29)/팀별실적!$I$30,-3)</f>
        <v>4696000</v>
      </c>
      <c r="J36" s="280">
        <f>ROUND((간접!$K$124*팀별실적!J29)/팀별실적!$J$30,-3)</f>
        <v>4696000</v>
      </c>
      <c r="K36" s="280">
        <f>ROUND((간접!$L$124*팀별실적!K29)/팀별실적!$K$30,-3)</f>
        <v>4696000</v>
      </c>
      <c r="L36" s="166">
        <f t="shared" si="44"/>
        <v>14088000</v>
      </c>
      <c r="M36" s="280">
        <f>ROUND((간접!$N$124*팀별실적!M29)/팀별실적!$M$30,-3)</f>
        <v>4696000</v>
      </c>
      <c r="N36" s="280">
        <f>ROUND((간접!$O$124*팀별실적!N29)/팀별실적!$N$30,-3)</f>
        <v>4696000</v>
      </c>
      <c r="O36" s="280">
        <f>ROUND((간접!$P$124*팀별실적!O29)/팀별실적!$O$30,-3)</f>
        <v>4696000</v>
      </c>
      <c r="P36" s="166">
        <f t="shared" si="45"/>
        <v>14088000</v>
      </c>
      <c r="Q36" s="280">
        <f>ROUND((간접!$R$124*팀별실적!Q29)/팀별실적!$Q$30,-3)</f>
        <v>4696000</v>
      </c>
      <c r="R36" s="280">
        <f>ROUND((간접!$S$124*팀별실적!R29)/팀별실적!$R$30,-3)</f>
        <v>4696000</v>
      </c>
      <c r="S36" s="280">
        <f>ROUND((간접!$T$124*팀별실적!S29)/팀별실적!$S$30,-3)</f>
        <v>4696000</v>
      </c>
      <c r="T36" s="166">
        <f t="shared" si="46"/>
        <v>14088000</v>
      </c>
      <c r="U36" s="267">
        <f t="shared" si="47"/>
        <v>56548000</v>
      </c>
    </row>
    <row r="37" spans="2:21" ht="14.25" customHeight="1">
      <c r="B37" s="429" t="s">
        <v>215</v>
      </c>
      <c r="C37" s="430"/>
      <c r="D37" s="430"/>
      <c r="E37" s="174">
        <f>SUM(E31:E36)</f>
        <v>59335000</v>
      </c>
      <c r="F37" s="174">
        <f>SUM(F31:F36)</f>
        <v>57320000</v>
      </c>
      <c r="G37" s="174">
        <f>SUM(G31:G36)</f>
        <v>57320000</v>
      </c>
      <c r="H37" s="174">
        <f t="shared" ref="H37:I37" si="48">SUM(H31:H36)</f>
        <v>173975000</v>
      </c>
      <c r="I37" s="174">
        <f t="shared" si="48"/>
        <v>57320000</v>
      </c>
      <c r="J37" s="174">
        <f t="shared" ref="J37:U37" si="49">SUM(J31:J36)</f>
        <v>57320000</v>
      </c>
      <c r="K37" s="174">
        <f t="shared" si="49"/>
        <v>57320000</v>
      </c>
      <c r="L37" s="174">
        <f t="shared" si="49"/>
        <v>171960000</v>
      </c>
      <c r="M37" s="174">
        <f t="shared" si="49"/>
        <v>57320000</v>
      </c>
      <c r="N37" s="174">
        <f>SUM(N31:N36)</f>
        <v>57320000</v>
      </c>
      <c r="O37" s="174">
        <f t="shared" si="49"/>
        <v>57320000</v>
      </c>
      <c r="P37" s="174">
        <f t="shared" si="49"/>
        <v>171960000</v>
      </c>
      <c r="Q37" s="174">
        <f t="shared" si="49"/>
        <v>57320000</v>
      </c>
      <c r="R37" s="174">
        <f>SUM(R31:R36)</f>
        <v>57320000</v>
      </c>
      <c r="S37" s="174">
        <f t="shared" si="49"/>
        <v>57320000</v>
      </c>
      <c r="T37" s="174">
        <f t="shared" si="49"/>
        <v>171960000</v>
      </c>
      <c r="U37" s="272">
        <f t="shared" si="49"/>
        <v>689855000</v>
      </c>
    </row>
    <row r="38" spans="2:21" ht="17.25" customHeight="1" thickBot="1">
      <c r="B38" s="399" t="s">
        <v>216</v>
      </c>
      <c r="C38" s="400"/>
      <c r="D38" s="400"/>
      <c r="E38" s="178">
        <f t="shared" ref="E38:I38" si="50">E37+E30</f>
        <v>258668000</v>
      </c>
      <c r="F38" s="178">
        <f t="shared" ref="F38:G38" si="51">F37+F30</f>
        <v>257633000</v>
      </c>
      <c r="G38" s="178">
        <f t="shared" si="51"/>
        <v>257633000</v>
      </c>
      <c r="H38" s="178">
        <f t="shared" si="50"/>
        <v>773934000</v>
      </c>
      <c r="I38" s="178">
        <f t="shared" si="50"/>
        <v>257633000</v>
      </c>
      <c r="J38" s="178">
        <f t="shared" ref="J38:U38" si="52">J37+J30</f>
        <v>257633000</v>
      </c>
      <c r="K38" s="178">
        <f t="shared" si="52"/>
        <v>257633000</v>
      </c>
      <c r="L38" s="178">
        <f t="shared" si="52"/>
        <v>772899000</v>
      </c>
      <c r="M38" s="178">
        <f t="shared" si="52"/>
        <v>257633000</v>
      </c>
      <c r="N38" s="178">
        <f>N37+N30</f>
        <v>257633000</v>
      </c>
      <c r="O38" s="178">
        <f t="shared" si="52"/>
        <v>257633000</v>
      </c>
      <c r="P38" s="178">
        <f t="shared" si="52"/>
        <v>772899000</v>
      </c>
      <c r="Q38" s="178">
        <f t="shared" si="52"/>
        <v>257633000</v>
      </c>
      <c r="R38" s="178">
        <f>R37+R30</f>
        <v>257633000</v>
      </c>
      <c r="S38" s="178">
        <f t="shared" si="52"/>
        <v>257633000</v>
      </c>
      <c r="T38" s="178">
        <f t="shared" si="52"/>
        <v>772899000</v>
      </c>
      <c r="U38" s="273">
        <f t="shared" si="52"/>
        <v>3092631000</v>
      </c>
    </row>
    <row r="39" spans="2:21" ht="17.25" customHeight="1" thickBot="1">
      <c r="B39" s="407" t="s">
        <v>292</v>
      </c>
      <c r="C39" s="408"/>
      <c r="D39" s="392" t="s">
        <v>339</v>
      </c>
      <c r="E39" s="393"/>
      <c r="F39" s="393"/>
      <c r="G39" s="393"/>
      <c r="H39" s="393">
        <v>1241410000</v>
      </c>
      <c r="I39" s="393"/>
      <c r="J39" s="393"/>
      <c r="K39" s="393"/>
      <c r="L39" s="393">
        <v>1269244000</v>
      </c>
      <c r="M39" s="393"/>
      <c r="N39" s="393"/>
      <c r="O39" s="393"/>
      <c r="P39" s="393">
        <v>1308090000</v>
      </c>
      <c r="Q39" s="393"/>
      <c r="R39" s="393"/>
      <c r="S39" s="393"/>
      <c r="T39" s="393">
        <v>1225641000</v>
      </c>
      <c r="U39" s="394">
        <f>T39+P39+L39+H39</f>
        <v>5044385000</v>
      </c>
    </row>
    <row r="40" spans="2:21" ht="13.5" customHeight="1">
      <c r="B40" s="421" t="s">
        <v>219</v>
      </c>
      <c r="C40" s="422"/>
      <c r="D40" s="183" t="s">
        <v>238</v>
      </c>
      <c r="E40" s="165">
        <f>E17-E24-E31</f>
        <v>-41591000</v>
      </c>
      <c r="F40" s="165">
        <f>F17-F24-F31</f>
        <v>-12841000</v>
      </c>
      <c r="G40" s="165">
        <f>G17-G24-G31</f>
        <v>-12841000</v>
      </c>
      <c r="H40" s="165">
        <f>SUM(E40:G40)</f>
        <v>-67273000</v>
      </c>
      <c r="I40" s="165">
        <f>I17-I24-I31</f>
        <v>-12841000</v>
      </c>
      <c r="J40" s="165">
        <f t="shared" ref="J40:S40" si="53">J17-J24-J31</f>
        <v>-12841000</v>
      </c>
      <c r="K40" s="165">
        <f t="shared" si="53"/>
        <v>-12841000</v>
      </c>
      <c r="L40" s="165">
        <f>SUM(I40:K40)</f>
        <v>-38523000</v>
      </c>
      <c r="M40" s="165">
        <f t="shared" si="53"/>
        <v>-12841000</v>
      </c>
      <c r="N40" s="165">
        <f t="shared" si="53"/>
        <v>-12841000</v>
      </c>
      <c r="O40" s="165">
        <f t="shared" si="53"/>
        <v>-12841000</v>
      </c>
      <c r="P40" s="165">
        <f>SUM(M40:O40)</f>
        <v>-38523000</v>
      </c>
      <c r="Q40" s="165">
        <f t="shared" si="53"/>
        <v>-12841000</v>
      </c>
      <c r="R40" s="165">
        <f t="shared" si="53"/>
        <v>-12841000</v>
      </c>
      <c r="S40" s="165">
        <f t="shared" si="53"/>
        <v>-12841000</v>
      </c>
      <c r="T40" s="165">
        <f>SUM(Q40:S40)</f>
        <v>-38523000</v>
      </c>
      <c r="U40" s="268">
        <f>H40+L40+P40+T40</f>
        <v>-182842000</v>
      </c>
    </row>
    <row r="41" spans="2:21">
      <c r="B41" s="423"/>
      <c r="C41" s="424"/>
      <c r="D41" s="184" t="s">
        <v>278</v>
      </c>
      <c r="E41" s="166">
        <f t="shared" ref="E41" si="54">E18-E25-E32</f>
        <v>241568000</v>
      </c>
      <c r="F41" s="166">
        <f>F18-F25-F32</f>
        <v>-23070000</v>
      </c>
      <c r="G41" s="166">
        <f t="shared" ref="G41" si="55">G18-G25-G32</f>
        <v>-23070000</v>
      </c>
      <c r="H41" s="166">
        <f t="shared" ref="H41:H45" si="56">SUM(E41:G41)</f>
        <v>195428000</v>
      </c>
      <c r="I41" s="166">
        <f>I18-I25-I32</f>
        <v>-23070000</v>
      </c>
      <c r="J41" s="166">
        <f t="shared" ref="J41:K43" si="57">J18-J25-J32</f>
        <v>-23070000</v>
      </c>
      <c r="K41" s="166">
        <f t="shared" si="57"/>
        <v>-23070000</v>
      </c>
      <c r="L41" s="166">
        <f t="shared" ref="L41:L45" si="58">SUM(I41:K41)</f>
        <v>-69210000</v>
      </c>
      <c r="M41" s="166">
        <f t="shared" ref="M41:O43" si="59">M18-M25-M32</f>
        <v>-23070000</v>
      </c>
      <c r="N41" s="166">
        <f t="shared" si="59"/>
        <v>-23070000</v>
      </c>
      <c r="O41" s="166">
        <f t="shared" si="59"/>
        <v>-23070000</v>
      </c>
      <c r="P41" s="166">
        <f t="shared" ref="P41:P45" si="60">SUM(M41:O41)</f>
        <v>-69210000</v>
      </c>
      <c r="Q41" s="166">
        <f t="shared" ref="Q41:S43" si="61">Q18-Q25-Q32</f>
        <v>-23070000</v>
      </c>
      <c r="R41" s="166">
        <f t="shared" si="61"/>
        <v>-23070000</v>
      </c>
      <c r="S41" s="166">
        <f t="shared" si="61"/>
        <v>-23070000</v>
      </c>
      <c r="T41" s="166">
        <f t="shared" ref="T41:T45" si="62">SUM(Q41:S41)</f>
        <v>-69210000</v>
      </c>
      <c r="U41" s="267">
        <f t="shared" ref="U41:U45" si="63">H41+L41+P41+T41</f>
        <v>-12202000</v>
      </c>
    </row>
    <row r="42" spans="2:21">
      <c r="B42" s="423"/>
      <c r="C42" s="424"/>
      <c r="D42" s="184" t="s">
        <v>279</v>
      </c>
      <c r="E42" s="166">
        <f>E19-E26-E33</f>
        <v>442651000</v>
      </c>
      <c r="F42" s="166">
        <f>F19-F26-F33</f>
        <v>39346000</v>
      </c>
      <c r="G42" s="166">
        <f>G19-G26-G33</f>
        <v>39346000</v>
      </c>
      <c r="H42" s="166">
        <f t="shared" si="56"/>
        <v>521343000</v>
      </c>
      <c r="I42" s="166">
        <f>I19-I26-I33</f>
        <v>39346000</v>
      </c>
      <c r="J42" s="166">
        <f t="shared" si="57"/>
        <v>39346000</v>
      </c>
      <c r="K42" s="166">
        <f t="shared" si="57"/>
        <v>39346000</v>
      </c>
      <c r="L42" s="166">
        <f t="shared" si="58"/>
        <v>118038000</v>
      </c>
      <c r="M42" s="166">
        <f t="shared" si="59"/>
        <v>39346000</v>
      </c>
      <c r="N42" s="166">
        <f t="shared" si="59"/>
        <v>39346000</v>
      </c>
      <c r="O42" s="166">
        <f t="shared" si="59"/>
        <v>39346000</v>
      </c>
      <c r="P42" s="166">
        <f t="shared" si="60"/>
        <v>118038000</v>
      </c>
      <c r="Q42" s="166">
        <f t="shared" si="61"/>
        <v>39346000</v>
      </c>
      <c r="R42" s="166">
        <f t="shared" si="61"/>
        <v>39346000</v>
      </c>
      <c r="S42" s="166">
        <f t="shared" si="61"/>
        <v>39346000</v>
      </c>
      <c r="T42" s="166">
        <f t="shared" si="62"/>
        <v>118038000</v>
      </c>
      <c r="U42" s="267">
        <f t="shared" si="63"/>
        <v>875457000</v>
      </c>
    </row>
    <row r="43" spans="2:21">
      <c r="B43" s="423"/>
      <c r="C43" s="424"/>
      <c r="D43" s="184" t="s">
        <v>274</v>
      </c>
      <c r="E43" s="166">
        <f>E20-E27-E34</f>
        <v>-58082000</v>
      </c>
      <c r="F43" s="166">
        <f>F20-F27-F34</f>
        <v>61508000</v>
      </c>
      <c r="G43" s="166">
        <f>G20-G27-G34</f>
        <v>61508000</v>
      </c>
      <c r="H43" s="166">
        <f t="shared" si="56"/>
        <v>64934000</v>
      </c>
      <c r="I43" s="166">
        <f>I20-I27-I34</f>
        <v>61508000</v>
      </c>
      <c r="J43" s="166">
        <f t="shared" si="57"/>
        <v>61508000</v>
      </c>
      <c r="K43" s="166">
        <f t="shared" si="57"/>
        <v>61508000</v>
      </c>
      <c r="L43" s="166">
        <f t="shared" si="58"/>
        <v>184524000</v>
      </c>
      <c r="M43" s="166">
        <f t="shared" si="59"/>
        <v>61508000</v>
      </c>
      <c r="N43" s="166">
        <f t="shared" si="59"/>
        <v>61508000</v>
      </c>
      <c r="O43" s="166">
        <f t="shared" si="59"/>
        <v>61508000</v>
      </c>
      <c r="P43" s="166">
        <f t="shared" si="60"/>
        <v>184524000</v>
      </c>
      <c r="Q43" s="166">
        <f t="shared" si="61"/>
        <v>61508000</v>
      </c>
      <c r="R43" s="166">
        <f t="shared" si="61"/>
        <v>61508000</v>
      </c>
      <c r="S43" s="166">
        <f t="shared" si="61"/>
        <v>61508000</v>
      </c>
      <c r="T43" s="166">
        <f t="shared" si="62"/>
        <v>184524000</v>
      </c>
      <c r="U43" s="267">
        <f t="shared" si="63"/>
        <v>618506000</v>
      </c>
    </row>
    <row r="44" spans="2:21">
      <c r="B44" s="423"/>
      <c r="C44" s="424"/>
      <c r="D44" s="184" t="s">
        <v>267</v>
      </c>
      <c r="E44" s="166">
        <f>E21-E28-E35</f>
        <v>-42170000</v>
      </c>
      <c r="F44" s="166">
        <f>F21-F28-F35</f>
        <v>-34674000</v>
      </c>
      <c r="G44" s="166">
        <f>G21-G28-G35</f>
        <v>-34674000</v>
      </c>
      <c r="H44" s="166">
        <f t="shared" si="56"/>
        <v>-111518000</v>
      </c>
      <c r="I44" s="166">
        <f>I21-I28-I35</f>
        <v>-34674000</v>
      </c>
      <c r="J44" s="166">
        <f t="shared" ref="J44:S44" si="64">J21-J28-J35</f>
        <v>-34674000</v>
      </c>
      <c r="K44" s="166">
        <f t="shared" si="64"/>
        <v>-34674000</v>
      </c>
      <c r="L44" s="166">
        <f t="shared" si="58"/>
        <v>-104022000</v>
      </c>
      <c r="M44" s="166">
        <f t="shared" si="64"/>
        <v>-34674000</v>
      </c>
      <c r="N44" s="166">
        <f t="shared" si="64"/>
        <v>-34674000</v>
      </c>
      <c r="O44" s="166">
        <f t="shared" si="64"/>
        <v>-34674000</v>
      </c>
      <c r="P44" s="166">
        <f t="shared" si="60"/>
        <v>-104022000</v>
      </c>
      <c r="Q44" s="166">
        <f t="shared" si="64"/>
        <v>-34674000</v>
      </c>
      <c r="R44" s="166">
        <f t="shared" si="64"/>
        <v>-34674000</v>
      </c>
      <c r="S44" s="166">
        <f t="shared" si="64"/>
        <v>-34674000</v>
      </c>
      <c r="T44" s="166">
        <f t="shared" si="62"/>
        <v>-104022000</v>
      </c>
      <c r="U44" s="267">
        <f t="shared" si="63"/>
        <v>-423584000</v>
      </c>
    </row>
    <row r="45" spans="2:21">
      <c r="B45" s="425"/>
      <c r="C45" s="426"/>
      <c r="D45" s="184" t="s">
        <v>265</v>
      </c>
      <c r="E45" s="166">
        <f>E22-E29-E36</f>
        <v>-21326000</v>
      </c>
      <c r="F45" s="166">
        <f>F22-F29-F36</f>
        <v>-20106000</v>
      </c>
      <c r="G45" s="166">
        <f>G22-G29-G36</f>
        <v>-20106000</v>
      </c>
      <c r="H45" s="166">
        <f t="shared" si="56"/>
        <v>-61538000</v>
      </c>
      <c r="I45" s="166">
        <f t="shared" ref="I45:S45" si="65">I22-I29-I36</f>
        <v>-20106000</v>
      </c>
      <c r="J45" s="166">
        <f t="shared" si="65"/>
        <v>-20106000</v>
      </c>
      <c r="K45" s="166">
        <f t="shared" si="65"/>
        <v>-20106000</v>
      </c>
      <c r="L45" s="166">
        <f t="shared" si="58"/>
        <v>-60318000</v>
      </c>
      <c r="M45" s="166">
        <f t="shared" si="65"/>
        <v>-20106000</v>
      </c>
      <c r="N45" s="166">
        <f t="shared" si="65"/>
        <v>-20106000</v>
      </c>
      <c r="O45" s="166">
        <f t="shared" si="65"/>
        <v>-20106000</v>
      </c>
      <c r="P45" s="166">
        <f t="shared" si="60"/>
        <v>-60318000</v>
      </c>
      <c r="Q45" s="166">
        <f t="shared" si="65"/>
        <v>-20106000</v>
      </c>
      <c r="R45" s="166">
        <f t="shared" si="65"/>
        <v>-20106000</v>
      </c>
      <c r="S45" s="166">
        <f t="shared" si="65"/>
        <v>-20106000</v>
      </c>
      <c r="T45" s="166">
        <f t="shared" si="62"/>
        <v>-60318000</v>
      </c>
      <c r="U45" s="267">
        <f t="shared" si="63"/>
        <v>-242492000</v>
      </c>
    </row>
    <row r="46" spans="2:21" ht="18" customHeight="1" thickBot="1">
      <c r="B46" s="427" t="s">
        <v>216</v>
      </c>
      <c r="C46" s="428"/>
      <c r="D46" s="428"/>
      <c r="E46" s="179">
        <f>SUM(E40:E45)</f>
        <v>521050000</v>
      </c>
      <c r="F46" s="179">
        <f>SUM(F40:F45)</f>
        <v>10163000</v>
      </c>
      <c r="G46" s="179">
        <f t="shared" ref="G46" si="66">SUM(G40:G45)</f>
        <v>10163000</v>
      </c>
      <c r="H46" s="179">
        <f t="shared" ref="H46:I46" si="67">SUM(H40:H45)</f>
        <v>541376000</v>
      </c>
      <c r="I46" s="179">
        <f t="shared" si="67"/>
        <v>10163000</v>
      </c>
      <c r="J46" s="179">
        <f t="shared" ref="J46:S46" si="68">SUM(J40:J45)</f>
        <v>10163000</v>
      </c>
      <c r="K46" s="179">
        <f t="shared" si="68"/>
        <v>10163000</v>
      </c>
      <c r="L46" s="179">
        <f t="shared" ref="L46" si="69">SUM(L40:L45)</f>
        <v>30489000</v>
      </c>
      <c r="M46" s="179">
        <f t="shared" si="68"/>
        <v>10163000</v>
      </c>
      <c r="N46" s="179">
        <f t="shared" si="68"/>
        <v>10163000</v>
      </c>
      <c r="O46" s="179">
        <f t="shared" si="68"/>
        <v>10163000</v>
      </c>
      <c r="P46" s="179">
        <f t="shared" ref="P46" si="70">SUM(P40:P45)</f>
        <v>30489000</v>
      </c>
      <c r="Q46" s="179">
        <f t="shared" si="68"/>
        <v>10163000</v>
      </c>
      <c r="R46" s="179">
        <f t="shared" si="68"/>
        <v>10163000</v>
      </c>
      <c r="S46" s="179">
        <f t="shared" si="68"/>
        <v>10163000</v>
      </c>
      <c r="T46" s="179">
        <f t="shared" ref="T46:U46" si="71">SUM(T40:T45)</f>
        <v>30489000</v>
      </c>
      <c r="U46" s="274">
        <f t="shared" si="71"/>
        <v>632843000</v>
      </c>
    </row>
    <row r="47" spans="2:21">
      <c r="E47" s="161">
        <f>E23-E38-E46</f>
        <v>0</v>
      </c>
      <c r="F47" s="161">
        <f t="shared" ref="F47:U47" si="72">F23-F38-F46</f>
        <v>0</v>
      </c>
      <c r="G47" s="161">
        <f t="shared" si="72"/>
        <v>0</v>
      </c>
      <c r="H47" s="161">
        <f t="shared" si="72"/>
        <v>0</v>
      </c>
      <c r="I47" s="161">
        <f t="shared" si="72"/>
        <v>0</v>
      </c>
      <c r="J47" s="161">
        <f t="shared" si="72"/>
        <v>0</v>
      </c>
      <c r="K47" s="161">
        <f t="shared" si="72"/>
        <v>0</v>
      </c>
      <c r="L47" s="161">
        <f t="shared" si="72"/>
        <v>0</v>
      </c>
      <c r="M47" s="161">
        <f t="shared" si="72"/>
        <v>0</v>
      </c>
      <c r="N47" s="161">
        <f t="shared" si="72"/>
        <v>0</v>
      </c>
      <c r="O47" s="161">
        <f t="shared" si="72"/>
        <v>0</v>
      </c>
      <c r="P47" s="161">
        <f t="shared" si="72"/>
        <v>0</v>
      </c>
      <c r="Q47" s="161">
        <f t="shared" si="72"/>
        <v>0</v>
      </c>
      <c r="R47" s="161">
        <f t="shared" si="72"/>
        <v>0</v>
      </c>
      <c r="S47" s="161">
        <f t="shared" si="72"/>
        <v>0</v>
      </c>
      <c r="T47" s="161">
        <f t="shared" si="72"/>
        <v>0</v>
      </c>
      <c r="U47" s="161">
        <f t="shared" si="72"/>
        <v>0</v>
      </c>
    </row>
    <row r="48" spans="2:21">
      <c r="E48" s="161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</row>
    <row r="49" spans="2:21" ht="41.25" customHeight="1">
      <c r="B49" s="418" t="s">
        <v>291</v>
      </c>
      <c r="C49" s="418"/>
      <c r="D49" s="418"/>
      <c r="E49" s="409" t="s">
        <v>331</v>
      </c>
      <c r="F49" s="409"/>
      <c r="G49" s="409"/>
      <c r="H49" s="409"/>
      <c r="I49" s="409"/>
      <c r="J49" s="409"/>
      <c r="K49" s="409"/>
      <c r="L49" s="409"/>
      <c r="M49" s="409"/>
      <c r="N49" s="409"/>
      <c r="O49" s="409"/>
      <c r="P49" s="409"/>
      <c r="Q49" s="409"/>
      <c r="R49" s="409"/>
      <c r="S49" s="409"/>
      <c r="T49" s="409"/>
      <c r="U49" s="409"/>
    </row>
    <row r="52" spans="2:21">
      <c r="E52" s="180"/>
      <c r="F52" s="180"/>
      <c r="G52" s="180"/>
      <c r="H52" s="180"/>
      <c r="I52" s="180"/>
      <c r="J52" s="180"/>
      <c r="K52" s="180"/>
      <c r="L52" s="180"/>
      <c r="M52" s="180"/>
      <c r="N52" s="180"/>
      <c r="P52" s="180"/>
    </row>
    <row r="53" spans="2:21">
      <c r="E53" s="181"/>
      <c r="F53" s="181"/>
      <c r="G53" s="182"/>
      <c r="H53" s="180"/>
      <c r="I53" s="182"/>
      <c r="J53" s="182"/>
      <c r="K53" s="182"/>
      <c r="L53" s="180"/>
      <c r="M53" s="182"/>
      <c r="P53" s="180"/>
    </row>
    <row r="54" spans="2:21">
      <c r="E54" s="182"/>
      <c r="F54" s="182"/>
      <c r="G54" s="182"/>
      <c r="H54" s="180"/>
      <c r="I54" s="182"/>
      <c r="J54" s="182"/>
      <c r="K54" s="182"/>
      <c r="L54" s="180"/>
      <c r="M54" s="182"/>
      <c r="P54" s="180"/>
    </row>
    <row r="55" spans="2:21">
      <c r="G55" s="181"/>
      <c r="H55" s="181"/>
      <c r="I55" s="181"/>
      <c r="J55" s="181"/>
      <c r="K55" s="181"/>
      <c r="L55" s="181"/>
      <c r="M55" s="181"/>
      <c r="N55" s="181"/>
      <c r="P55" s="181"/>
    </row>
    <row r="56" spans="2:21">
      <c r="G56" s="181"/>
      <c r="H56" s="181"/>
      <c r="I56" s="181"/>
      <c r="J56" s="181"/>
      <c r="K56" s="181"/>
      <c r="L56" s="181"/>
      <c r="M56" s="181"/>
      <c r="N56" s="181"/>
      <c r="P56" s="181"/>
    </row>
    <row r="57" spans="2:21">
      <c r="G57" s="181"/>
      <c r="H57" s="181"/>
      <c r="I57" s="181"/>
      <c r="J57" s="181"/>
      <c r="K57" s="181"/>
      <c r="L57" s="181"/>
      <c r="M57" s="181"/>
      <c r="N57" s="181"/>
    </row>
  </sheetData>
  <mergeCells count="17">
    <mergeCell ref="B1:C1"/>
    <mergeCell ref="B2:C7"/>
    <mergeCell ref="B8:D8"/>
    <mergeCell ref="B9:C14"/>
    <mergeCell ref="B15:D15"/>
    <mergeCell ref="B38:D38"/>
    <mergeCell ref="B16:C22"/>
    <mergeCell ref="B39:C39"/>
    <mergeCell ref="E49:U49"/>
    <mergeCell ref="B24:C29"/>
    <mergeCell ref="B23:D23"/>
    <mergeCell ref="B49:D49"/>
    <mergeCell ref="B30:D30"/>
    <mergeCell ref="B40:C45"/>
    <mergeCell ref="B46:D46"/>
    <mergeCell ref="B31:C36"/>
    <mergeCell ref="B37:D37"/>
  </mergeCells>
  <phoneticPr fontId="8" type="noConversion"/>
  <pageMargins left="0.7" right="0.7" top="0.75" bottom="0.75" header="0.3" footer="0.3"/>
  <ignoredErrors>
    <ignoredError sqref="H8:I8 H15:I15 I23 H30:I30 H37:I38 H46:I46" formula="1"/>
  </ignoredError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AU134"/>
  <sheetViews>
    <sheetView workbookViewId="0">
      <pane xSplit="4" ySplit="2" topLeftCell="E55" activePane="bottomRight" state="frozen"/>
      <selection pane="topRight" activeCell="E1" sqref="E1"/>
      <selection pane="bottomLeft" activeCell="A3" sqref="A3"/>
      <selection pane="bottomRight" activeCell="R71" sqref="R71:T71"/>
    </sheetView>
  </sheetViews>
  <sheetFormatPr defaultColWidth="8.87890625" defaultRowHeight="12.75" outlineLevelRow="2" outlineLevelCol="1"/>
  <cols>
    <col min="1" max="3" width="1.3515625" style="3" customWidth="1"/>
    <col min="4" max="4" width="21.1171875" style="3" customWidth="1"/>
    <col min="5" max="5" width="1.64453125" style="7" customWidth="1"/>
    <col min="6" max="6" width="10.234375" style="3" customWidth="1" outlineLevel="1"/>
    <col min="7" max="8" width="10.87890625" style="3" customWidth="1" outlineLevel="1"/>
    <col min="9" max="9" width="10.87890625" style="3" bestFit="1" customWidth="1"/>
    <col min="10" max="10" width="10.234375" style="3" customWidth="1" outlineLevel="1"/>
    <col min="11" max="12" width="10.87890625" style="3" customWidth="1" outlineLevel="1"/>
    <col min="13" max="13" width="10.87890625" style="3" bestFit="1" customWidth="1"/>
    <col min="14" max="14" width="10.234375" style="3" customWidth="1" outlineLevel="1"/>
    <col min="15" max="16" width="10.87890625" style="3" customWidth="1" outlineLevel="1"/>
    <col min="17" max="17" width="10.87890625" style="3" bestFit="1" customWidth="1"/>
    <col min="18" max="20" width="10.234375" style="3" customWidth="1" outlineLevel="1"/>
    <col min="21" max="22" width="10.87890625" style="3" bestFit="1" customWidth="1"/>
    <col min="23" max="16384" width="8.87890625" style="3"/>
  </cols>
  <sheetData>
    <row r="1" spans="1:47" ht="13.9" thickBot="1">
      <c r="A1" s="1"/>
      <c r="B1" s="1"/>
      <c r="C1" s="1"/>
      <c r="D1" s="38"/>
      <c r="E1" s="2"/>
      <c r="F1" s="18" t="s">
        <v>69</v>
      </c>
      <c r="G1" s="18" t="s">
        <v>70</v>
      </c>
      <c r="H1" s="18" t="s">
        <v>71</v>
      </c>
      <c r="I1" s="18" t="s">
        <v>72</v>
      </c>
      <c r="J1" s="18" t="s">
        <v>74</v>
      </c>
      <c r="K1" s="18" t="s">
        <v>75</v>
      </c>
      <c r="L1" s="18" t="s">
        <v>76</v>
      </c>
      <c r="M1" s="18" t="s">
        <v>77</v>
      </c>
      <c r="N1" s="18" t="s">
        <v>80</v>
      </c>
      <c r="O1" s="18" t="s">
        <v>81</v>
      </c>
      <c r="P1" s="18" t="s">
        <v>82</v>
      </c>
      <c r="Q1" s="18" t="s">
        <v>83</v>
      </c>
      <c r="R1" s="18" t="s">
        <v>88</v>
      </c>
      <c r="S1" s="18" t="s">
        <v>91</v>
      </c>
      <c r="T1" s="18" t="s">
        <v>92</v>
      </c>
      <c r="U1" s="18" t="s">
        <v>89</v>
      </c>
      <c r="V1" s="18">
        <v>2026</v>
      </c>
      <c r="AU1" s="4"/>
    </row>
    <row r="2" spans="1:47" ht="13.15">
      <c r="A2" s="5"/>
      <c r="B2" s="5"/>
      <c r="C2" s="5"/>
      <c r="D2" s="6"/>
      <c r="E2" s="2"/>
      <c r="F2" s="19" t="s">
        <v>24</v>
      </c>
      <c r="G2" s="19" t="s">
        <v>24</v>
      </c>
      <c r="H2" s="19" t="s">
        <v>24</v>
      </c>
      <c r="I2" s="20" t="s">
        <v>25</v>
      </c>
      <c r="J2" s="19" t="s">
        <v>24</v>
      </c>
      <c r="K2" s="19" t="s">
        <v>24</v>
      </c>
      <c r="L2" s="19" t="s">
        <v>24</v>
      </c>
      <c r="M2" s="20" t="s">
        <v>25</v>
      </c>
      <c r="N2" s="19" t="s">
        <v>24</v>
      </c>
      <c r="O2" s="19" t="s">
        <v>24</v>
      </c>
      <c r="P2" s="19" t="s">
        <v>24</v>
      </c>
      <c r="Q2" s="20" t="s">
        <v>25</v>
      </c>
      <c r="R2" s="19" t="s">
        <v>24</v>
      </c>
      <c r="S2" s="19" t="s">
        <v>24</v>
      </c>
      <c r="T2" s="19" t="s">
        <v>24</v>
      </c>
      <c r="U2" s="20" t="s">
        <v>25</v>
      </c>
      <c r="V2" s="20" t="s">
        <v>25</v>
      </c>
    </row>
    <row r="3" spans="1:47" s="111" customFormat="1" ht="12.75" customHeight="1">
      <c r="A3" s="447" t="s">
        <v>159</v>
      </c>
      <c r="B3" s="448"/>
      <c r="C3" s="448"/>
      <c r="D3" s="449"/>
      <c r="E3" s="2"/>
      <c r="F3" s="43"/>
      <c r="G3" s="43"/>
      <c r="H3" s="43"/>
      <c r="I3" s="34"/>
      <c r="J3" s="43"/>
      <c r="K3" s="43"/>
      <c r="L3" s="43"/>
      <c r="M3" s="34"/>
      <c r="N3" s="43"/>
      <c r="O3" s="43"/>
      <c r="P3" s="43"/>
      <c r="Q3" s="34"/>
      <c r="R3" s="43"/>
      <c r="S3" s="43"/>
      <c r="T3" s="43"/>
      <c r="U3" s="34"/>
      <c r="V3" s="34"/>
    </row>
    <row r="4" spans="1:47" s="111" customFormat="1" ht="12.75" customHeight="1">
      <c r="A4" s="450"/>
      <c r="B4" s="112" t="s">
        <v>160</v>
      </c>
      <c r="C4" s="112"/>
      <c r="D4" s="113"/>
      <c r="E4" s="2"/>
      <c r="F4" s="43"/>
      <c r="G4" s="43"/>
      <c r="H4" s="43"/>
      <c r="I4" s="34"/>
      <c r="J4" s="43"/>
      <c r="K4" s="43"/>
      <c r="L4" s="43"/>
      <c r="M4" s="34"/>
      <c r="N4" s="43"/>
      <c r="O4" s="43"/>
      <c r="P4" s="43"/>
      <c r="Q4" s="34"/>
      <c r="R4" s="43"/>
      <c r="S4" s="43"/>
      <c r="T4" s="43"/>
      <c r="U4" s="34"/>
      <c r="V4" s="34"/>
    </row>
    <row r="5" spans="1:47" s="111" customFormat="1" ht="12.75" customHeight="1" outlineLevel="1">
      <c r="A5" s="450"/>
      <c r="B5" s="451"/>
      <c r="C5" s="114"/>
      <c r="D5" s="115" t="s">
        <v>161</v>
      </c>
      <c r="E5" s="7">
        <v>1</v>
      </c>
      <c r="F5" s="43"/>
      <c r="G5" s="43"/>
      <c r="H5" s="43"/>
      <c r="I5" s="34">
        <f t="shared" ref="I5:I10" si="0">H5+G5+F5</f>
        <v>0</v>
      </c>
      <c r="J5" s="43"/>
      <c r="K5" s="43"/>
      <c r="L5" s="43"/>
      <c r="M5" s="34">
        <f t="shared" ref="M5:M10" si="1">L5+K5+J5</f>
        <v>0</v>
      </c>
      <c r="N5" s="43"/>
      <c r="O5" s="43"/>
      <c r="P5" s="43"/>
      <c r="Q5" s="34">
        <f t="shared" ref="Q5:Q10" si="2">P5+O5+N5</f>
        <v>0</v>
      </c>
      <c r="R5" s="43"/>
      <c r="S5" s="43"/>
      <c r="T5" s="43"/>
      <c r="U5" s="34">
        <f t="shared" ref="U5:U10" si="3">T5+S5+R5</f>
        <v>0</v>
      </c>
      <c r="V5" s="34">
        <f>U5+Q5+M5+I5</f>
        <v>0</v>
      </c>
    </row>
    <row r="6" spans="1:47" s="111" customFormat="1" ht="12.75" customHeight="1" outlineLevel="1">
      <c r="A6" s="450"/>
      <c r="B6" s="451"/>
      <c r="C6" s="116"/>
      <c r="D6" s="117" t="s">
        <v>162</v>
      </c>
      <c r="E6" s="7">
        <v>1</v>
      </c>
      <c r="F6" s="43"/>
      <c r="G6" s="43"/>
      <c r="H6" s="43"/>
      <c r="I6" s="34">
        <f t="shared" si="0"/>
        <v>0</v>
      </c>
      <c r="J6" s="43"/>
      <c r="K6" s="43"/>
      <c r="L6" s="43"/>
      <c r="M6" s="34">
        <f t="shared" si="1"/>
        <v>0</v>
      </c>
      <c r="N6" s="43"/>
      <c r="O6" s="43"/>
      <c r="P6" s="43"/>
      <c r="Q6" s="34">
        <f t="shared" si="2"/>
        <v>0</v>
      </c>
      <c r="R6" s="43"/>
      <c r="S6" s="43"/>
      <c r="T6" s="43"/>
      <c r="U6" s="34">
        <f t="shared" si="3"/>
        <v>0</v>
      </c>
      <c r="V6" s="34">
        <f>U6+Q6+M6+I6</f>
        <v>0</v>
      </c>
    </row>
    <row r="7" spans="1:47" s="111" customFormat="1" ht="12.75" customHeight="1" outlineLevel="1">
      <c r="A7" s="450"/>
      <c r="B7" s="451"/>
      <c r="C7" s="116"/>
      <c r="D7" s="117" t="s">
        <v>163</v>
      </c>
      <c r="E7" s="7">
        <v>1</v>
      </c>
      <c r="F7" s="43"/>
      <c r="G7" s="43"/>
      <c r="H7" s="43"/>
      <c r="I7" s="34">
        <f t="shared" si="0"/>
        <v>0</v>
      </c>
      <c r="J7" s="43"/>
      <c r="K7" s="43"/>
      <c r="L7" s="43"/>
      <c r="M7" s="34">
        <f t="shared" si="1"/>
        <v>0</v>
      </c>
      <c r="N7" s="43"/>
      <c r="O7" s="43"/>
      <c r="P7" s="43"/>
      <c r="Q7" s="34">
        <f t="shared" si="2"/>
        <v>0</v>
      </c>
      <c r="R7" s="43"/>
      <c r="S7" s="43"/>
      <c r="T7" s="43"/>
      <c r="U7" s="34">
        <f t="shared" si="3"/>
        <v>0</v>
      </c>
      <c r="V7" s="34">
        <f t="shared" ref="V7:V10" si="4">U7+Q7+M7+I7</f>
        <v>0</v>
      </c>
    </row>
    <row r="8" spans="1:47" s="111" customFormat="1" ht="12.75" customHeight="1" outlineLevel="1">
      <c r="A8" s="450"/>
      <c r="B8" s="451"/>
      <c r="C8" s="116"/>
      <c r="D8" s="118" t="s">
        <v>164</v>
      </c>
      <c r="E8" s="7"/>
      <c r="F8" s="43"/>
      <c r="G8" s="43"/>
      <c r="H8" s="43"/>
      <c r="I8" s="34">
        <f t="shared" si="0"/>
        <v>0</v>
      </c>
      <c r="J8" s="43"/>
      <c r="K8" s="43"/>
      <c r="L8" s="43"/>
      <c r="M8" s="34">
        <f t="shared" si="1"/>
        <v>0</v>
      </c>
      <c r="N8" s="43"/>
      <c r="O8" s="43"/>
      <c r="P8" s="43"/>
      <c r="Q8" s="34">
        <f t="shared" si="2"/>
        <v>0</v>
      </c>
      <c r="R8" s="43"/>
      <c r="S8" s="43"/>
      <c r="T8" s="43"/>
      <c r="U8" s="34">
        <f t="shared" si="3"/>
        <v>0</v>
      </c>
      <c r="V8" s="34">
        <f t="shared" si="4"/>
        <v>0</v>
      </c>
    </row>
    <row r="9" spans="1:47" s="111" customFormat="1" ht="12.75" customHeight="1" outlineLevel="1">
      <c r="A9" s="450"/>
      <c r="B9" s="451"/>
      <c r="C9" s="116"/>
      <c r="D9" s="117" t="s">
        <v>166</v>
      </c>
      <c r="E9" s="7"/>
      <c r="F9" s="43">
        <v>1600000</v>
      </c>
      <c r="G9" s="43">
        <v>30000000</v>
      </c>
      <c r="H9" s="43">
        <v>30000000</v>
      </c>
      <c r="I9" s="34">
        <f t="shared" si="0"/>
        <v>61600000</v>
      </c>
      <c r="J9" s="43">
        <v>30000000</v>
      </c>
      <c r="K9" s="43">
        <v>30000000</v>
      </c>
      <c r="L9" s="43">
        <v>30000000</v>
      </c>
      <c r="M9" s="34">
        <f t="shared" si="1"/>
        <v>90000000</v>
      </c>
      <c r="N9" s="43">
        <v>30000000</v>
      </c>
      <c r="O9" s="43">
        <v>30000000</v>
      </c>
      <c r="P9" s="43">
        <v>30000000</v>
      </c>
      <c r="Q9" s="34">
        <f t="shared" si="2"/>
        <v>90000000</v>
      </c>
      <c r="R9" s="43">
        <v>30000000</v>
      </c>
      <c r="S9" s="43">
        <v>30000000</v>
      </c>
      <c r="T9" s="43">
        <v>30000000</v>
      </c>
      <c r="U9" s="34">
        <f t="shared" si="3"/>
        <v>90000000</v>
      </c>
      <c r="V9" s="34">
        <f t="shared" si="4"/>
        <v>331600000</v>
      </c>
    </row>
    <row r="10" spans="1:47" s="111" customFormat="1" ht="12.75" customHeight="1" outlineLevel="1">
      <c r="A10" s="450"/>
      <c r="B10" s="451"/>
      <c r="C10" s="116"/>
      <c r="D10" s="117" t="s">
        <v>165</v>
      </c>
      <c r="E10" s="7"/>
      <c r="F10" s="43">
        <v>0</v>
      </c>
      <c r="G10" s="43"/>
      <c r="H10" s="43"/>
      <c r="I10" s="34">
        <f t="shared" si="0"/>
        <v>0</v>
      </c>
      <c r="J10" s="43"/>
      <c r="K10" s="43"/>
      <c r="L10" s="43"/>
      <c r="M10" s="34">
        <f t="shared" si="1"/>
        <v>0</v>
      </c>
      <c r="N10" s="43"/>
      <c r="O10" s="43"/>
      <c r="P10" s="43"/>
      <c r="Q10" s="34">
        <f t="shared" si="2"/>
        <v>0</v>
      </c>
      <c r="R10" s="43"/>
      <c r="S10" s="43"/>
      <c r="T10" s="43"/>
      <c r="U10" s="34">
        <f t="shared" si="3"/>
        <v>0</v>
      </c>
      <c r="V10" s="34">
        <f t="shared" si="4"/>
        <v>0</v>
      </c>
    </row>
    <row r="11" spans="1:47" s="111" customFormat="1" ht="6.75" customHeight="1">
      <c r="A11" s="450"/>
      <c r="B11" s="4"/>
      <c r="C11" s="4"/>
      <c r="D11" s="119"/>
      <c r="E11" s="120"/>
      <c r="F11" s="43"/>
      <c r="G11" s="43"/>
      <c r="H11" s="43"/>
      <c r="I11" s="34"/>
      <c r="J11" s="43"/>
      <c r="K11" s="43"/>
      <c r="L11" s="43"/>
      <c r="M11" s="34"/>
      <c r="N11" s="43"/>
      <c r="O11" s="43"/>
      <c r="P11" s="43"/>
      <c r="Q11" s="34"/>
      <c r="R11" s="43"/>
      <c r="S11" s="43"/>
      <c r="T11" s="43"/>
      <c r="U11" s="34"/>
      <c r="V11" s="34"/>
    </row>
    <row r="12" spans="1:47" s="111" customFormat="1" ht="12.75" customHeight="1">
      <c r="A12" s="447" t="s">
        <v>167</v>
      </c>
      <c r="B12" s="448"/>
      <c r="C12" s="448"/>
      <c r="D12" s="449"/>
      <c r="E12" s="8"/>
      <c r="F12" s="44">
        <f t="shared" ref="F12:Q12" si="5">SUM(F5:F10)</f>
        <v>1600000</v>
      </c>
      <c r="G12" s="44">
        <f t="shared" si="5"/>
        <v>30000000</v>
      </c>
      <c r="H12" s="44">
        <f t="shared" si="5"/>
        <v>30000000</v>
      </c>
      <c r="I12" s="35">
        <f t="shared" si="5"/>
        <v>61600000</v>
      </c>
      <c r="J12" s="44">
        <f t="shared" ref="J12:L12" si="6">SUM(J5:J10)</f>
        <v>30000000</v>
      </c>
      <c r="K12" s="44">
        <f t="shared" si="6"/>
        <v>30000000</v>
      </c>
      <c r="L12" s="44">
        <f t="shared" si="6"/>
        <v>30000000</v>
      </c>
      <c r="M12" s="35">
        <f t="shared" si="5"/>
        <v>90000000</v>
      </c>
      <c r="N12" s="44">
        <f t="shared" ref="N12:P12" si="7">SUM(N5:N10)</f>
        <v>30000000</v>
      </c>
      <c r="O12" s="44">
        <f t="shared" si="7"/>
        <v>30000000</v>
      </c>
      <c r="P12" s="44">
        <f t="shared" si="7"/>
        <v>30000000</v>
      </c>
      <c r="Q12" s="35">
        <f t="shared" si="5"/>
        <v>90000000</v>
      </c>
      <c r="R12" s="44">
        <f t="shared" ref="R12:T12" si="8">SUM(R5:R10)</f>
        <v>30000000</v>
      </c>
      <c r="S12" s="44">
        <f t="shared" si="8"/>
        <v>30000000</v>
      </c>
      <c r="T12" s="44">
        <f t="shared" si="8"/>
        <v>30000000</v>
      </c>
      <c r="U12" s="35">
        <f t="shared" ref="U12:V12" si="9">SUM(U5:U10)</f>
        <v>90000000</v>
      </c>
      <c r="V12" s="35">
        <f t="shared" si="9"/>
        <v>331600000</v>
      </c>
    </row>
    <row r="13" spans="1:47" s="111" customFormat="1" ht="5.25" customHeight="1">
      <c r="A13" s="121"/>
      <c r="B13" s="3"/>
      <c r="C13" s="3"/>
      <c r="D13" s="119"/>
      <c r="E13" s="4"/>
      <c r="F13" s="43"/>
      <c r="G13" s="43"/>
      <c r="H13" s="43"/>
      <c r="I13" s="34"/>
      <c r="J13" s="43"/>
      <c r="K13" s="43"/>
      <c r="L13" s="43"/>
      <c r="M13" s="34"/>
      <c r="N13" s="43"/>
      <c r="O13" s="43"/>
      <c r="P13" s="43"/>
      <c r="Q13" s="34"/>
      <c r="R13" s="43"/>
      <c r="S13" s="43"/>
      <c r="T13" s="43"/>
      <c r="U13" s="34"/>
      <c r="V13" s="34"/>
    </row>
    <row r="14" spans="1:47" s="111" customFormat="1" ht="12.75" customHeight="1">
      <c r="A14" s="452" t="s">
        <v>168</v>
      </c>
      <c r="B14" s="453"/>
      <c r="C14" s="453"/>
      <c r="D14" s="454"/>
      <c r="E14" s="7"/>
      <c r="F14" s="43"/>
      <c r="G14" s="43"/>
      <c r="H14" s="43"/>
      <c r="I14" s="34"/>
      <c r="J14" s="43"/>
      <c r="K14" s="43"/>
      <c r="L14" s="43"/>
      <c r="M14" s="34"/>
      <c r="N14" s="43"/>
      <c r="O14" s="43"/>
      <c r="P14" s="43"/>
      <c r="Q14" s="34"/>
      <c r="R14" s="43"/>
      <c r="S14" s="43"/>
      <c r="T14" s="43"/>
      <c r="U14" s="34"/>
      <c r="V14" s="34"/>
    </row>
    <row r="15" spans="1:47" s="111" customFormat="1" ht="12.75" customHeight="1" outlineLevel="1">
      <c r="A15" s="465"/>
      <c r="B15" s="3"/>
      <c r="C15" s="466" t="s">
        <v>169</v>
      </c>
      <c r="D15" s="467"/>
      <c r="E15" s="7"/>
      <c r="F15" s="43"/>
      <c r="G15" s="43"/>
      <c r="H15" s="43"/>
      <c r="I15" s="34"/>
      <c r="J15" s="43"/>
      <c r="K15" s="43"/>
      <c r="L15" s="43"/>
      <c r="M15" s="34"/>
      <c r="N15" s="43"/>
      <c r="O15" s="43"/>
      <c r="P15" s="43"/>
      <c r="Q15" s="34"/>
      <c r="R15" s="43"/>
      <c r="S15" s="43"/>
      <c r="T15" s="43"/>
      <c r="U15" s="34"/>
      <c r="V15" s="34"/>
    </row>
    <row r="16" spans="1:47" s="111" customFormat="1" ht="12.75" customHeight="1" outlineLevel="1">
      <c r="A16" s="465"/>
      <c r="B16" s="3"/>
      <c r="C16" s="116"/>
      <c r="D16" s="117" t="s">
        <v>170</v>
      </c>
      <c r="E16" s="7">
        <v>0</v>
      </c>
      <c r="F16" s="43"/>
      <c r="G16" s="43"/>
      <c r="H16" s="43"/>
      <c r="I16" s="34">
        <f t="shared" ref="I16:I22" si="10">H16+G16+F16</f>
        <v>0</v>
      </c>
      <c r="J16" s="43"/>
      <c r="K16" s="43"/>
      <c r="L16" s="43"/>
      <c r="M16" s="34">
        <f t="shared" ref="M16:M22" si="11">L16+K16+J16</f>
        <v>0</v>
      </c>
      <c r="N16" s="43"/>
      <c r="O16" s="43"/>
      <c r="P16" s="43"/>
      <c r="Q16" s="34">
        <f t="shared" ref="Q16:Q22" si="12">P16+O16+N16</f>
        <v>0</v>
      </c>
      <c r="R16" s="43"/>
      <c r="S16" s="43"/>
      <c r="T16" s="43"/>
      <c r="U16" s="34">
        <f t="shared" ref="U16:U22" si="13">T16+S16+R16</f>
        <v>0</v>
      </c>
      <c r="V16" s="34">
        <f t="shared" ref="V16:V22" si="14">U16+Q16+M16+I16</f>
        <v>0</v>
      </c>
    </row>
    <row r="17" spans="1:23" s="111" customFormat="1" ht="12.75" customHeight="1" outlineLevel="1">
      <c r="A17" s="465"/>
      <c r="B17" s="3"/>
      <c r="C17" s="116"/>
      <c r="D17" s="117" t="s">
        <v>171</v>
      </c>
      <c r="E17" s="7"/>
      <c r="F17" s="43"/>
      <c r="G17" s="43"/>
      <c r="H17" s="43"/>
      <c r="I17" s="34">
        <f t="shared" si="10"/>
        <v>0</v>
      </c>
      <c r="J17" s="43"/>
      <c r="K17" s="43"/>
      <c r="L17" s="43"/>
      <c r="M17" s="34">
        <f t="shared" si="11"/>
        <v>0</v>
      </c>
      <c r="N17" s="43"/>
      <c r="O17" s="43"/>
      <c r="P17" s="43"/>
      <c r="Q17" s="34">
        <f t="shared" si="12"/>
        <v>0</v>
      </c>
      <c r="R17" s="43"/>
      <c r="S17" s="43"/>
      <c r="T17" s="43"/>
      <c r="U17" s="34">
        <f t="shared" si="13"/>
        <v>0</v>
      </c>
      <c r="V17" s="34">
        <f t="shared" si="14"/>
        <v>0</v>
      </c>
    </row>
    <row r="18" spans="1:23" s="111" customFormat="1" ht="12.75" customHeight="1" outlineLevel="1">
      <c r="A18" s="465"/>
      <c r="B18" s="3"/>
      <c r="C18" s="116"/>
      <c r="D18" s="117" t="s">
        <v>172</v>
      </c>
      <c r="E18" s="7"/>
      <c r="F18" s="43"/>
      <c r="G18" s="43"/>
      <c r="H18" s="43"/>
      <c r="I18" s="34">
        <f t="shared" si="10"/>
        <v>0</v>
      </c>
      <c r="J18" s="43"/>
      <c r="K18" s="43"/>
      <c r="L18" s="43"/>
      <c r="M18" s="34">
        <f t="shared" si="11"/>
        <v>0</v>
      </c>
      <c r="N18" s="43"/>
      <c r="O18" s="43"/>
      <c r="P18" s="43"/>
      <c r="Q18" s="34">
        <f t="shared" si="12"/>
        <v>0</v>
      </c>
      <c r="R18" s="43"/>
      <c r="S18" s="43"/>
      <c r="T18" s="43"/>
      <c r="U18" s="34">
        <f t="shared" si="13"/>
        <v>0</v>
      </c>
      <c r="V18" s="34">
        <f t="shared" si="14"/>
        <v>0</v>
      </c>
    </row>
    <row r="19" spans="1:23" s="111" customFormat="1" ht="12.75" customHeight="1" outlineLevel="1">
      <c r="A19" s="465"/>
      <c r="B19" s="3"/>
      <c r="C19" s="116"/>
      <c r="D19" s="117" t="s">
        <v>173</v>
      </c>
      <c r="E19" s="7"/>
      <c r="F19" s="43"/>
      <c r="G19" s="43"/>
      <c r="H19" s="43"/>
      <c r="I19" s="34">
        <f t="shared" si="10"/>
        <v>0</v>
      </c>
      <c r="J19" s="43"/>
      <c r="K19" s="43"/>
      <c r="L19" s="43"/>
      <c r="M19" s="34">
        <f t="shared" si="11"/>
        <v>0</v>
      </c>
      <c r="N19" s="43"/>
      <c r="O19" s="43"/>
      <c r="P19" s="43"/>
      <c r="Q19" s="34">
        <f t="shared" si="12"/>
        <v>0</v>
      </c>
      <c r="R19" s="43"/>
      <c r="S19" s="43"/>
      <c r="T19" s="43"/>
      <c r="U19" s="34">
        <f t="shared" si="13"/>
        <v>0</v>
      </c>
      <c r="V19" s="34">
        <f t="shared" si="14"/>
        <v>0</v>
      </c>
    </row>
    <row r="20" spans="1:23" s="111" customFormat="1" ht="12.75" customHeight="1" outlineLevel="1">
      <c r="A20" s="465"/>
      <c r="B20" s="3"/>
      <c r="C20" s="116"/>
      <c r="D20" s="118" t="s">
        <v>174</v>
      </c>
      <c r="E20" s="7">
        <v>0</v>
      </c>
      <c r="F20" s="43"/>
      <c r="G20" s="43"/>
      <c r="H20" s="43"/>
      <c r="I20" s="34">
        <f t="shared" si="10"/>
        <v>0</v>
      </c>
      <c r="J20" s="43"/>
      <c r="K20" s="43"/>
      <c r="L20" s="43"/>
      <c r="M20" s="34">
        <f t="shared" si="11"/>
        <v>0</v>
      </c>
      <c r="N20" s="43"/>
      <c r="O20" s="43"/>
      <c r="P20" s="43"/>
      <c r="Q20" s="34">
        <f t="shared" si="12"/>
        <v>0</v>
      </c>
      <c r="R20" s="43"/>
      <c r="S20" s="43"/>
      <c r="T20" s="43"/>
      <c r="U20" s="34">
        <f t="shared" si="13"/>
        <v>0</v>
      </c>
      <c r="V20" s="34">
        <f t="shared" si="14"/>
        <v>0</v>
      </c>
    </row>
    <row r="21" spans="1:23" s="111" customFormat="1" ht="12.75" customHeight="1" outlineLevel="1">
      <c r="A21" s="465"/>
      <c r="B21" s="3"/>
      <c r="C21" s="468" t="s">
        <v>175</v>
      </c>
      <c r="D21" s="469"/>
      <c r="E21" s="7"/>
      <c r="F21" s="43"/>
      <c r="G21" s="43"/>
      <c r="H21" s="43"/>
      <c r="I21" s="34">
        <f t="shared" si="10"/>
        <v>0</v>
      </c>
      <c r="J21" s="43"/>
      <c r="K21" s="43"/>
      <c r="L21" s="43"/>
      <c r="M21" s="34">
        <f t="shared" si="11"/>
        <v>0</v>
      </c>
      <c r="N21" s="43"/>
      <c r="O21" s="43"/>
      <c r="P21" s="43"/>
      <c r="Q21" s="34">
        <f t="shared" si="12"/>
        <v>0</v>
      </c>
      <c r="R21" s="43"/>
      <c r="S21" s="43"/>
      <c r="T21" s="43"/>
      <c r="U21" s="34">
        <f t="shared" si="13"/>
        <v>0</v>
      </c>
      <c r="V21" s="34">
        <f t="shared" si="14"/>
        <v>0</v>
      </c>
    </row>
    <row r="22" spans="1:23" s="111" customFormat="1" ht="12.75" customHeight="1" outlineLevel="1">
      <c r="A22" s="465"/>
      <c r="B22" s="3"/>
      <c r="C22" s="468" t="s">
        <v>176</v>
      </c>
      <c r="D22" s="469"/>
      <c r="E22" s="7"/>
      <c r="F22" s="43"/>
      <c r="G22" s="43"/>
      <c r="H22" s="43"/>
      <c r="I22" s="34">
        <f t="shared" si="10"/>
        <v>0</v>
      </c>
      <c r="J22" s="43"/>
      <c r="K22" s="43"/>
      <c r="L22" s="43"/>
      <c r="M22" s="34">
        <f t="shared" si="11"/>
        <v>0</v>
      </c>
      <c r="N22" s="43"/>
      <c r="O22" s="43"/>
      <c r="P22" s="43"/>
      <c r="Q22" s="34">
        <f t="shared" si="12"/>
        <v>0</v>
      </c>
      <c r="R22" s="43"/>
      <c r="S22" s="43"/>
      <c r="T22" s="43"/>
      <c r="U22" s="34">
        <f t="shared" si="13"/>
        <v>0</v>
      </c>
      <c r="V22" s="34">
        <f t="shared" si="14"/>
        <v>0</v>
      </c>
    </row>
    <row r="23" spans="1:23" s="111" customFormat="1" ht="12.75" customHeight="1" outlineLevel="1">
      <c r="A23" s="465"/>
      <c r="B23" s="3"/>
      <c r="C23" s="457" t="s">
        <v>203</v>
      </c>
      <c r="D23" s="470"/>
      <c r="E23" s="7"/>
      <c r="F23" s="96">
        <v>23000</v>
      </c>
      <c r="G23" s="96">
        <v>20000</v>
      </c>
      <c r="H23" s="96">
        <v>20000</v>
      </c>
      <c r="I23" s="34">
        <f>H23+G23+F23</f>
        <v>63000</v>
      </c>
      <c r="J23" s="96">
        <v>20000</v>
      </c>
      <c r="K23" s="96">
        <v>20000</v>
      </c>
      <c r="L23" s="96">
        <v>20000</v>
      </c>
      <c r="M23" s="34">
        <f>L23+K23+J23</f>
        <v>60000</v>
      </c>
      <c r="N23" s="96">
        <v>20000</v>
      </c>
      <c r="O23" s="96">
        <v>20000</v>
      </c>
      <c r="P23" s="96">
        <v>20000</v>
      </c>
      <c r="Q23" s="34">
        <f>P23+O23+N23</f>
        <v>60000</v>
      </c>
      <c r="R23" s="96">
        <v>20000</v>
      </c>
      <c r="S23" s="96">
        <v>20000</v>
      </c>
      <c r="T23" s="96">
        <v>20000</v>
      </c>
      <c r="U23" s="34">
        <f>T23+S23+R23</f>
        <v>60000</v>
      </c>
      <c r="V23" s="34">
        <f>U23+Q23+M23+I23</f>
        <v>243000</v>
      </c>
    </row>
    <row r="24" spans="1:23" s="111" customFormat="1" ht="12.75" customHeight="1" outlineLevel="1">
      <c r="A24" s="465"/>
      <c r="B24" s="3"/>
      <c r="C24" s="457" t="s">
        <v>184</v>
      </c>
      <c r="D24" s="458"/>
      <c r="E24" s="7"/>
      <c r="F24" s="96">
        <f>30000+33000</f>
        <v>63000</v>
      </c>
      <c r="G24" s="96">
        <v>60000</v>
      </c>
      <c r="H24" s="96">
        <v>60000</v>
      </c>
      <c r="I24" s="34">
        <f t="shared" ref="I24:I25" si="15">H24+G24+F24</f>
        <v>183000</v>
      </c>
      <c r="J24" s="96">
        <v>60000</v>
      </c>
      <c r="K24" s="96">
        <v>60000</v>
      </c>
      <c r="L24" s="96">
        <v>60000</v>
      </c>
      <c r="M24" s="34">
        <f t="shared" ref="M24:M25" si="16">L24+K24+J24</f>
        <v>180000</v>
      </c>
      <c r="N24" s="96">
        <v>60000</v>
      </c>
      <c r="O24" s="96">
        <v>60000</v>
      </c>
      <c r="P24" s="96">
        <v>60000</v>
      </c>
      <c r="Q24" s="34">
        <f t="shared" ref="Q24:Q25" si="17">P24+O24+N24</f>
        <v>180000</v>
      </c>
      <c r="R24" s="96">
        <v>60000</v>
      </c>
      <c r="S24" s="96">
        <v>60000</v>
      </c>
      <c r="T24" s="96">
        <v>60000</v>
      </c>
      <c r="U24" s="34">
        <f t="shared" ref="U24:U25" si="18">T24+S24+R24</f>
        <v>180000</v>
      </c>
      <c r="V24" s="34">
        <f t="shared" ref="V24:V25" si="19">U24+Q24+M24+I24</f>
        <v>723000</v>
      </c>
    </row>
    <row r="25" spans="1:23" s="111" customFormat="1" ht="12.75" customHeight="1" outlineLevel="1">
      <c r="A25" s="465"/>
      <c r="B25" s="3"/>
      <c r="C25" s="457" t="s">
        <v>183</v>
      </c>
      <c r="D25" s="458"/>
      <c r="E25" s="7">
        <v>0</v>
      </c>
      <c r="F25" s="43"/>
      <c r="G25" s="43"/>
      <c r="H25" s="43"/>
      <c r="I25" s="34">
        <f t="shared" si="15"/>
        <v>0</v>
      </c>
      <c r="J25" s="43"/>
      <c r="K25" s="43"/>
      <c r="L25" s="43"/>
      <c r="M25" s="34">
        <f t="shared" si="16"/>
        <v>0</v>
      </c>
      <c r="N25" s="43"/>
      <c r="O25" s="43"/>
      <c r="P25" s="43"/>
      <c r="Q25" s="34">
        <f t="shared" si="17"/>
        <v>0</v>
      </c>
      <c r="R25" s="43"/>
      <c r="S25" s="43"/>
      <c r="T25" s="43"/>
      <c r="U25" s="34">
        <f t="shared" si="18"/>
        <v>0</v>
      </c>
      <c r="V25" s="34">
        <f t="shared" si="19"/>
        <v>0</v>
      </c>
    </row>
    <row r="26" spans="1:23" s="111" customFormat="1" ht="12.75" customHeight="1">
      <c r="A26" s="459" t="s">
        <v>177</v>
      </c>
      <c r="B26" s="460"/>
      <c r="C26" s="460"/>
      <c r="D26" s="461"/>
      <c r="E26" s="8"/>
      <c r="F26" s="44">
        <f t="shared" ref="F26:Q26" si="20">SUM(F16:F25)</f>
        <v>86000</v>
      </c>
      <c r="G26" s="44">
        <f t="shared" si="20"/>
        <v>80000</v>
      </c>
      <c r="H26" s="44">
        <f t="shared" si="20"/>
        <v>80000</v>
      </c>
      <c r="I26" s="35">
        <f t="shared" si="20"/>
        <v>246000</v>
      </c>
      <c r="J26" s="44">
        <f t="shared" ref="J26:L26" si="21">SUM(J16:J25)</f>
        <v>80000</v>
      </c>
      <c r="K26" s="44">
        <f t="shared" si="21"/>
        <v>80000</v>
      </c>
      <c r="L26" s="44">
        <f t="shared" si="21"/>
        <v>80000</v>
      </c>
      <c r="M26" s="35">
        <f t="shared" si="20"/>
        <v>240000</v>
      </c>
      <c r="N26" s="44">
        <f t="shared" ref="N26:P26" si="22">SUM(N16:N25)</f>
        <v>80000</v>
      </c>
      <c r="O26" s="44">
        <f t="shared" si="22"/>
        <v>80000</v>
      </c>
      <c r="P26" s="44">
        <f t="shared" si="22"/>
        <v>80000</v>
      </c>
      <c r="Q26" s="35">
        <f t="shared" si="20"/>
        <v>240000</v>
      </c>
      <c r="R26" s="44">
        <f t="shared" ref="R26:T26" si="23">SUM(R16:R25)</f>
        <v>80000</v>
      </c>
      <c r="S26" s="44">
        <f t="shared" si="23"/>
        <v>80000</v>
      </c>
      <c r="T26" s="44">
        <f t="shared" si="23"/>
        <v>80000</v>
      </c>
      <c r="U26" s="35">
        <f t="shared" ref="U26:V26" si="24">SUM(U16:U25)</f>
        <v>240000</v>
      </c>
      <c r="V26" s="35">
        <f t="shared" si="24"/>
        <v>966000</v>
      </c>
    </row>
    <row r="27" spans="1:23" s="111" customFormat="1" ht="8.25" customHeight="1">
      <c r="A27" s="122"/>
      <c r="B27" s="123"/>
      <c r="C27" s="123"/>
      <c r="D27" s="124"/>
      <c r="E27" s="8"/>
      <c r="F27" s="43"/>
      <c r="G27" s="43"/>
      <c r="H27" s="43"/>
      <c r="I27" s="34"/>
      <c r="J27" s="43"/>
      <c r="K27" s="43"/>
      <c r="L27" s="43"/>
      <c r="M27" s="34"/>
      <c r="N27" s="43"/>
      <c r="O27" s="43"/>
      <c r="P27" s="43"/>
      <c r="Q27" s="34"/>
      <c r="R27" s="43"/>
      <c r="S27" s="43"/>
      <c r="T27" s="43"/>
      <c r="U27" s="34"/>
      <c r="V27" s="34"/>
    </row>
    <row r="28" spans="1:23" s="111" customFormat="1" ht="12.75" customHeight="1">
      <c r="A28" s="462" t="s">
        <v>178</v>
      </c>
      <c r="B28" s="463"/>
      <c r="C28" s="463"/>
      <c r="D28" s="464"/>
      <c r="E28" s="8"/>
      <c r="F28" s="43"/>
      <c r="G28" s="43"/>
      <c r="H28" s="43"/>
      <c r="I28" s="34"/>
      <c r="J28" s="43"/>
      <c r="K28" s="43"/>
      <c r="L28" s="43"/>
      <c r="M28" s="34"/>
      <c r="N28" s="43"/>
      <c r="O28" s="43"/>
      <c r="P28" s="43"/>
      <c r="Q28" s="34"/>
      <c r="R28" s="43"/>
      <c r="S28" s="43"/>
      <c r="T28" s="43"/>
      <c r="U28" s="34"/>
      <c r="V28" s="34"/>
    </row>
    <row r="29" spans="1:23" s="111" customFormat="1" ht="12.75" customHeight="1">
      <c r="A29" s="125"/>
      <c r="B29" s="4"/>
      <c r="C29" s="455" t="s">
        <v>179</v>
      </c>
      <c r="D29" s="456"/>
      <c r="E29" s="8"/>
      <c r="F29" s="44">
        <f t="shared" ref="F29:Q29" si="25">F12-F26</f>
        <v>1514000</v>
      </c>
      <c r="G29" s="44">
        <f t="shared" si="25"/>
        <v>29920000</v>
      </c>
      <c r="H29" s="44">
        <f t="shared" si="25"/>
        <v>29920000</v>
      </c>
      <c r="I29" s="35">
        <f t="shared" si="25"/>
        <v>61354000</v>
      </c>
      <c r="J29" s="44">
        <f t="shared" ref="J29:L29" si="26">J12-J26</f>
        <v>29920000</v>
      </c>
      <c r="K29" s="44">
        <f t="shared" si="26"/>
        <v>29920000</v>
      </c>
      <c r="L29" s="44">
        <f t="shared" si="26"/>
        <v>29920000</v>
      </c>
      <c r="M29" s="35">
        <f t="shared" si="25"/>
        <v>89760000</v>
      </c>
      <c r="N29" s="44">
        <f t="shared" ref="N29:P29" si="27">N12-N26</f>
        <v>29920000</v>
      </c>
      <c r="O29" s="44">
        <f t="shared" si="27"/>
        <v>29920000</v>
      </c>
      <c r="P29" s="44">
        <f t="shared" si="27"/>
        <v>29920000</v>
      </c>
      <c r="Q29" s="35">
        <f t="shared" si="25"/>
        <v>89760000</v>
      </c>
      <c r="R29" s="44">
        <f t="shared" ref="R29:T29" si="28">R12-R26</f>
        <v>29920000</v>
      </c>
      <c r="S29" s="44">
        <f t="shared" si="28"/>
        <v>29920000</v>
      </c>
      <c r="T29" s="44">
        <f t="shared" si="28"/>
        <v>29920000</v>
      </c>
      <c r="U29" s="35">
        <f t="shared" ref="U29:V29" si="29">U12-U26</f>
        <v>89760000</v>
      </c>
      <c r="V29" s="35">
        <f t="shared" si="29"/>
        <v>330634000</v>
      </c>
    </row>
    <row r="30" spans="1:23" s="111" customFormat="1" ht="12.75" customHeight="1">
      <c r="A30" s="121"/>
      <c r="B30" s="3"/>
      <c r="C30" s="3"/>
      <c r="D30" s="118" t="s">
        <v>180</v>
      </c>
      <c r="E30" s="7"/>
      <c r="F30" s="126">
        <f t="shared" ref="F30:Q30" si="30">IF(F12=0,0,F29/F12)</f>
        <v>0.94625000000000004</v>
      </c>
      <c r="G30" s="126">
        <f t="shared" si="30"/>
        <v>0.99733333333333329</v>
      </c>
      <c r="H30" s="126">
        <f t="shared" si="30"/>
        <v>0.99733333333333329</v>
      </c>
      <c r="I30" s="127">
        <f t="shared" si="30"/>
        <v>0.99600649350649351</v>
      </c>
      <c r="J30" s="126">
        <f t="shared" ref="J30:L30" si="31">IF(J12=0,0,J29/J12)</f>
        <v>0.99733333333333329</v>
      </c>
      <c r="K30" s="126">
        <f t="shared" si="31"/>
        <v>0.99733333333333329</v>
      </c>
      <c r="L30" s="126">
        <f t="shared" si="31"/>
        <v>0.99733333333333329</v>
      </c>
      <c r="M30" s="127">
        <f t="shared" si="30"/>
        <v>0.99733333333333329</v>
      </c>
      <c r="N30" s="126">
        <f t="shared" ref="N30:P30" si="32">IF(N12=0,0,N29/N12)</f>
        <v>0.99733333333333329</v>
      </c>
      <c r="O30" s="126">
        <f t="shared" si="32"/>
        <v>0.99733333333333329</v>
      </c>
      <c r="P30" s="126">
        <f t="shared" si="32"/>
        <v>0.99733333333333329</v>
      </c>
      <c r="Q30" s="127">
        <f t="shared" si="30"/>
        <v>0.99733333333333329</v>
      </c>
      <c r="R30" s="126">
        <f t="shared" ref="R30:T30" si="33">IF(R12=0,0,R29/R12)</f>
        <v>0.99733333333333329</v>
      </c>
      <c r="S30" s="126">
        <f t="shared" si="33"/>
        <v>0.99733333333333329</v>
      </c>
      <c r="T30" s="126">
        <f t="shared" si="33"/>
        <v>0.99733333333333329</v>
      </c>
      <c r="U30" s="127">
        <f t="shared" ref="U30:V30" si="34">IF(U12=0,0,U29/U12)</f>
        <v>0.99733333333333329</v>
      </c>
      <c r="V30" s="127">
        <f t="shared" si="34"/>
        <v>0.997086851628468</v>
      </c>
      <c r="W30" s="128"/>
    </row>
    <row r="31" spans="1:23" ht="13.15" outlineLevel="1">
      <c r="A31" s="21" t="s">
        <v>49</v>
      </c>
      <c r="B31" s="22"/>
      <c r="C31" s="22"/>
      <c r="D31" s="22"/>
      <c r="F31" s="43"/>
      <c r="G31" s="43"/>
      <c r="H31" s="43"/>
      <c r="I31" s="34"/>
      <c r="J31" s="43"/>
      <c r="K31" s="43"/>
      <c r="L31" s="43"/>
      <c r="M31" s="34"/>
      <c r="N31" s="43"/>
      <c r="O31" s="43"/>
      <c r="P31" s="43"/>
      <c r="Q31" s="34"/>
      <c r="R31" s="43"/>
      <c r="S31" s="43"/>
      <c r="T31" s="43"/>
      <c r="U31" s="34"/>
      <c r="V31" s="34"/>
    </row>
    <row r="32" spans="1:23" ht="13.5" outlineLevel="2">
      <c r="A32" s="22"/>
      <c r="B32" s="22"/>
      <c r="C32" s="23" t="s">
        <v>37</v>
      </c>
      <c r="D32" s="24"/>
      <c r="E32" s="8"/>
      <c r="F32" s="43"/>
      <c r="G32" s="43"/>
      <c r="H32" s="43"/>
      <c r="I32" s="34"/>
      <c r="J32" s="43"/>
      <c r="K32" s="43"/>
      <c r="L32" s="43"/>
      <c r="M32" s="34"/>
      <c r="N32" s="43"/>
      <c r="O32" s="43"/>
      <c r="P32" s="43"/>
      <c r="Q32" s="34"/>
      <c r="R32" s="43"/>
      <c r="S32" s="43"/>
      <c r="T32" s="43"/>
      <c r="U32" s="34"/>
      <c r="V32" s="34"/>
    </row>
    <row r="33" spans="1:22" ht="13.15" outlineLevel="2">
      <c r="A33" s="22"/>
      <c r="B33" s="22"/>
      <c r="C33" s="22"/>
      <c r="D33" s="25" t="s">
        <v>27</v>
      </c>
      <c r="E33" s="7">
        <v>0</v>
      </c>
      <c r="F33" s="43">
        <v>20000000</v>
      </c>
      <c r="G33" s="43">
        <v>20000000</v>
      </c>
      <c r="H33" s="43">
        <v>20000000</v>
      </c>
      <c r="I33" s="34">
        <f>SUM(F33:H33)</f>
        <v>60000000</v>
      </c>
      <c r="J33" s="43">
        <v>20000000</v>
      </c>
      <c r="K33" s="43">
        <v>20000000</v>
      </c>
      <c r="L33" s="43">
        <v>20000000</v>
      </c>
      <c r="M33" s="34">
        <f>SUM(J33:L33)</f>
        <v>60000000</v>
      </c>
      <c r="N33" s="43">
        <v>20000000</v>
      </c>
      <c r="O33" s="43">
        <v>20000000</v>
      </c>
      <c r="P33" s="43">
        <v>20000000</v>
      </c>
      <c r="Q33" s="34">
        <f>SUM(N33:P33)</f>
        <v>60000000</v>
      </c>
      <c r="R33" s="43">
        <v>20000000</v>
      </c>
      <c r="S33" s="43">
        <v>20000000</v>
      </c>
      <c r="T33" s="43">
        <v>20000000</v>
      </c>
      <c r="U33" s="34">
        <f>SUM(R33:T33)</f>
        <v>60000000</v>
      </c>
      <c r="V33" s="34">
        <f t="shared" ref="V33:V37" si="35">I33+M33+Q33+U33</f>
        <v>240000000</v>
      </c>
    </row>
    <row r="34" spans="1:22" ht="13.15" outlineLevel="2">
      <c r="A34" s="22"/>
      <c r="B34" s="22"/>
      <c r="C34" s="22"/>
      <c r="D34" s="25" t="s">
        <v>73</v>
      </c>
      <c r="F34" s="43">
        <v>0</v>
      </c>
      <c r="G34" s="43">
        <v>0</v>
      </c>
      <c r="H34" s="43">
        <v>0</v>
      </c>
      <c r="I34" s="34">
        <f>SUM(F34:H34)</f>
        <v>0</v>
      </c>
      <c r="J34" s="43">
        <v>0</v>
      </c>
      <c r="K34" s="43">
        <v>0</v>
      </c>
      <c r="L34" s="43">
        <v>0</v>
      </c>
      <c r="M34" s="34">
        <f>SUM(J34:L34)</f>
        <v>0</v>
      </c>
      <c r="N34" s="43">
        <v>0</v>
      </c>
      <c r="O34" s="43">
        <v>0</v>
      </c>
      <c r="P34" s="43">
        <v>0</v>
      </c>
      <c r="Q34" s="34">
        <f>SUM(N34:P34)</f>
        <v>0</v>
      </c>
      <c r="R34" s="43">
        <v>0</v>
      </c>
      <c r="S34" s="43">
        <v>0</v>
      </c>
      <c r="T34" s="43">
        <v>0</v>
      </c>
      <c r="U34" s="34">
        <f>SUM(R34:T34)</f>
        <v>0</v>
      </c>
      <c r="V34" s="34">
        <f t="shared" si="35"/>
        <v>0</v>
      </c>
    </row>
    <row r="35" spans="1:22" ht="13.15" outlineLevel="2">
      <c r="A35" s="22"/>
      <c r="B35" s="22"/>
      <c r="C35" s="22"/>
      <c r="D35" s="25" t="s">
        <v>55</v>
      </c>
      <c r="E35" s="7">
        <v>0</v>
      </c>
      <c r="F35" s="43"/>
      <c r="G35" s="43"/>
      <c r="H35" s="43"/>
      <c r="I35" s="34">
        <f>SUM(F35:H35)</f>
        <v>0</v>
      </c>
      <c r="J35" s="43"/>
      <c r="K35" s="43"/>
      <c r="L35" s="43"/>
      <c r="M35" s="34">
        <f>SUM(J35:L35)</f>
        <v>0</v>
      </c>
      <c r="N35" s="43"/>
      <c r="O35" s="43"/>
      <c r="P35" s="43"/>
      <c r="Q35" s="34">
        <f>SUM(N35:P35)</f>
        <v>0</v>
      </c>
      <c r="R35" s="43"/>
      <c r="S35" s="43"/>
      <c r="T35" s="43"/>
      <c r="U35" s="34">
        <f>SUM(R35:T35)</f>
        <v>0</v>
      </c>
      <c r="V35" s="34">
        <f t="shared" si="35"/>
        <v>0</v>
      </c>
    </row>
    <row r="36" spans="1:22" ht="13.15" outlineLevel="2">
      <c r="A36" s="22"/>
      <c r="B36" s="22"/>
      <c r="C36" s="22"/>
      <c r="D36" s="25" t="s">
        <v>96</v>
      </c>
      <c r="E36" s="7">
        <v>0</v>
      </c>
      <c r="F36" s="43">
        <v>3000000</v>
      </c>
      <c r="G36" s="43">
        <v>3000000</v>
      </c>
      <c r="H36" s="43">
        <v>3000000</v>
      </c>
      <c r="I36" s="34">
        <f>SUM(F36:H36)</f>
        <v>9000000</v>
      </c>
      <c r="J36" s="43">
        <v>3000000</v>
      </c>
      <c r="K36" s="43">
        <v>3000000</v>
      </c>
      <c r="L36" s="43">
        <v>3000000</v>
      </c>
      <c r="M36" s="34">
        <f>SUM(J36:L36)</f>
        <v>9000000</v>
      </c>
      <c r="N36" s="43">
        <v>3000000</v>
      </c>
      <c r="O36" s="43">
        <v>3000000</v>
      </c>
      <c r="P36" s="43">
        <v>3000000</v>
      </c>
      <c r="Q36" s="34">
        <f>SUM(N36:P36)</f>
        <v>9000000</v>
      </c>
      <c r="R36" s="43">
        <v>3000000</v>
      </c>
      <c r="S36" s="43">
        <v>3000000</v>
      </c>
      <c r="T36" s="43">
        <v>3000000</v>
      </c>
      <c r="U36" s="34">
        <f>SUM(R36:T36)</f>
        <v>9000000</v>
      </c>
      <c r="V36" s="34">
        <f t="shared" si="35"/>
        <v>36000000</v>
      </c>
    </row>
    <row r="37" spans="1:22" ht="13.15" outlineLevel="1">
      <c r="A37" s="24"/>
      <c r="B37" s="24" t="s">
        <v>0</v>
      </c>
      <c r="C37" s="24"/>
      <c r="D37" s="24"/>
      <c r="E37" s="8"/>
      <c r="F37" s="44">
        <f t="shared" ref="F37" si="36">SUM(F33:F36)</f>
        <v>23000000</v>
      </c>
      <c r="G37" s="44">
        <f t="shared" ref="G37:H37" si="37">SUM(G33:G36)</f>
        <v>23000000</v>
      </c>
      <c r="H37" s="44">
        <f t="shared" si="37"/>
        <v>23000000</v>
      </c>
      <c r="I37" s="35">
        <f>SUM(I33:I36)</f>
        <v>69000000</v>
      </c>
      <c r="J37" s="44">
        <f t="shared" ref="J37:L37" si="38">SUM(J33:J36)</f>
        <v>23000000</v>
      </c>
      <c r="K37" s="44">
        <f t="shared" si="38"/>
        <v>23000000</v>
      </c>
      <c r="L37" s="44">
        <f t="shared" si="38"/>
        <v>23000000</v>
      </c>
      <c r="M37" s="35">
        <f>SUM(M33:M36)</f>
        <v>69000000</v>
      </c>
      <c r="N37" s="44">
        <f t="shared" ref="N37:P37" si="39">SUM(N33:N36)</f>
        <v>23000000</v>
      </c>
      <c r="O37" s="44">
        <f t="shared" si="39"/>
        <v>23000000</v>
      </c>
      <c r="P37" s="44">
        <f t="shared" si="39"/>
        <v>23000000</v>
      </c>
      <c r="Q37" s="35">
        <f>SUM(Q33:Q36)</f>
        <v>69000000</v>
      </c>
      <c r="R37" s="44">
        <f t="shared" ref="R37:T37" si="40">SUM(R33:R36)</f>
        <v>23000000</v>
      </c>
      <c r="S37" s="44">
        <f t="shared" si="40"/>
        <v>23000000</v>
      </c>
      <c r="T37" s="44">
        <f t="shared" si="40"/>
        <v>23000000</v>
      </c>
      <c r="U37" s="35">
        <f>SUM(U33:U36)</f>
        <v>69000000</v>
      </c>
      <c r="V37" s="35">
        <f t="shared" si="35"/>
        <v>276000000</v>
      </c>
    </row>
    <row r="38" spans="1:22" ht="13.15" outlineLevel="2">
      <c r="A38" s="22"/>
      <c r="B38" s="22"/>
      <c r="C38" s="23" t="s">
        <v>38</v>
      </c>
      <c r="D38" s="22"/>
      <c r="F38" s="43"/>
      <c r="G38" s="43"/>
      <c r="H38" s="43"/>
      <c r="I38" s="34"/>
      <c r="J38" s="43"/>
      <c r="K38" s="43"/>
      <c r="L38" s="43"/>
      <c r="M38" s="34"/>
      <c r="N38" s="43"/>
      <c r="O38" s="43"/>
      <c r="P38" s="43"/>
      <c r="Q38" s="34"/>
      <c r="R38" s="43"/>
      <c r="S38" s="43"/>
      <c r="T38" s="43"/>
      <c r="U38" s="34"/>
      <c r="V38" s="34"/>
    </row>
    <row r="39" spans="1:22" ht="13.15" outlineLevel="2">
      <c r="A39" s="22"/>
      <c r="B39" s="22"/>
      <c r="C39" s="22"/>
      <c r="D39" s="25" t="s">
        <v>30</v>
      </c>
      <c r="E39" s="7">
        <v>0</v>
      </c>
      <c r="F39" s="43">
        <v>1000000</v>
      </c>
      <c r="G39" s="43">
        <v>1000000</v>
      </c>
      <c r="H39" s="43">
        <v>1000000</v>
      </c>
      <c r="I39" s="34">
        <f t="shared" ref="I39:I50" si="41">SUM(F39:H39)</f>
        <v>3000000</v>
      </c>
      <c r="J39" s="43">
        <v>1000000</v>
      </c>
      <c r="K39" s="43">
        <v>1000000</v>
      </c>
      <c r="L39" s="43">
        <v>1000000</v>
      </c>
      <c r="M39" s="34">
        <f t="shared" ref="M39:M50" si="42">SUM(J39:L39)</f>
        <v>3000000</v>
      </c>
      <c r="N39" s="43">
        <v>1000000</v>
      </c>
      <c r="O39" s="43">
        <v>1000000</v>
      </c>
      <c r="P39" s="43">
        <v>1000000</v>
      </c>
      <c r="Q39" s="34">
        <f t="shared" ref="Q39:Q50" si="43">SUM(N39:P39)</f>
        <v>3000000</v>
      </c>
      <c r="R39" s="43">
        <v>1000000</v>
      </c>
      <c r="S39" s="43">
        <v>1000000</v>
      </c>
      <c r="T39" s="43">
        <v>1000000</v>
      </c>
      <c r="U39" s="34">
        <f t="shared" ref="U39:U50" si="44">SUM(R39:T39)</f>
        <v>3000000</v>
      </c>
      <c r="V39" s="34">
        <f t="shared" ref="V39:V53" si="45">I39+M39+Q39+U39</f>
        <v>12000000</v>
      </c>
    </row>
    <row r="40" spans="1:22" ht="13.15" outlineLevel="2">
      <c r="A40" s="22"/>
      <c r="B40" s="22"/>
      <c r="C40" s="22"/>
      <c r="D40" s="25" t="s">
        <v>31</v>
      </c>
      <c r="E40" s="7">
        <v>0</v>
      </c>
      <c r="F40" s="43">
        <v>1000000</v>
      </c>
      <c r="G40" s="43">
        <v>1000000</v>
      </c>
      <c r="H40" s="43">
        <v>1000000</v>
      </c>
      <c r="I40" s="34">
        <f t="shared" si="41"/>
        <v>3000000</v>
      </c>
      <c r="J40" s="43">
        <v>1000000</v>
      </c>
      <c r="K40" s="43">
        <v>1000000</v>
      </c>
      <c r="L40" s="43">
        <v>1000000</v>
      </c>
      <c r="M40" s="34">
        <f t="shared" si="42"/>
        <v>3000000</v>
      </c>
      <c r="N40" s="43">
        <v>1000000</v>
      </c>
      <c r="O40" s="43">
        <v>1000000</v>
      </c>
      <c r="P40" s="43">
        <v>1000000</v>
      </c>
      <c r="Q40" s="34">
        <f t="shared" si="43"/>
        <v>3000000</v>
      </c>
      <c r="R40" s="43">
        <v>1000000</v>
      </c>
      <c r="S40" s="43">
        <v>1000000</v>
      </c>
      <c r="T40" s="43">
        <v>1000000</v>
      </c>
      <c r="U40" s="34">
        <f t="shared" si="44"/>
        <v>3000000</v>
      </c>
      <c r="V40" s="34">
        <f t="shared" si="45"/>
        <v>12000000</v>
      </c>
    </row>
    <row r="41" spans="1:22" ht="13.15" outlineLevel="2">
      <c r="A41" s="22"/>
      <c r="B41" s="22"/>
      <c r="C41" s="22"/>
      <c r="D41" s="25" t="s">
        <v>32</v>
      </c>
      <c r="E41" s="7">
        <v>0</v>
      </c>
      <c r="F41" s="43">
        <v>200000</v>
      </c>
      <c r="G41" s="43">
        <v>200000</v>
      </c>
      <c r="H41" s="43">
        <v>200000</v>
      </c>
      <c r="I41" s="34">
        <f t="shared" si="41"/>
        <v>600000</v>
      </c>
      <c r="J41" s="43">
        <v>200000</v>
      </c>
      <c r="K41" s="43">
        <v>200000</v>
      </c>
      <c r="L41" s="43">
        <v>200000</v>
      </c>
      <c r="M41" s="34">
        <f t="shared" si="42"/>
        <v>600000</v>
      </c>
      <c r="N41" s="43">
        <v>200000</v>
      </c>
      <c r="O41" s="43">
        <v>200000</v>
      </c>
      <c r="P41" s="43">
        <v>200000</v>
      </c>
      <c r="Q41" s="34">
        <f t="shared" si="43"/>
        <v>600000</v>
      </c>
      <c r="R41" s="43">
        <v>200000</v>
      </c>
      <c r="S41" s="43">
        <v>200000</v>
      </c>
      <c r="T41" s="43">
        <v>200000</v>
      </c>
      <c r="U41" s="34">
        <f t="shared" si="44"/>
        <v>600000</v>
      </c>
      <c r="V41" s="34">
        <f t="shared" si="45"/>
        <v>2400000</v>
      </c>
    </row>
    <row r="42" spans="1:22" ht="13.15" outlineLevel="2">
      <c r="A42" s="22"/>
      <c r="B42" s="22"/>
      <c r="C42" s="22"/>
      <c r="D42" s="25" t="s">
        <v>98</v>
      </c>
      <c r="E42" s="7">
        <v>0</v>
      </c>
      <c r="F42" s="43">
        <v>120000</v>
      </c>
      <c r="G42" s="43">
        <v>120000</v>
      </c>
      <c r="H42" s="43">
        <v>120000</v>
      </c>
      <c r="I42" s="34">
        <f t="shared" si="41"/>
        <v>360000</v>
      </c>
      <c r="J42" s="43">
        <v>120000</v>
      </c>
      <c r="K42" s="43">
        <v>120000</v>
      </c>
      <c r="L42" s="43">
        <v>120000</v>
      </c>
      <c r="M42" s="34">
        <f t="shared" si="42"/>
        <v>360000</v>
      </c>
      <c r="N42" s="43">
        <v>120000</v>
      </c>
      <c r="O42" s="43">
        <v>120000</v>
      </c>
      <c r="P42" s="43">
        <v>120000</v>
      </c>
      <c r="Q42" s="34">
        <f t="shared" si="43"/>
        <v>360000</v>
      </c>
      <c r="R42" s="43">
        <v>120000</v>
      </c>
      <c r="S42" s="43">
        <v>120000</v>
      </c>
      <c r="T42" s="43">
        <v>120000</v>
      </c>
      <c r="U42" s="34">
        <f t="shared" ref="U42" si="46">SUM(R42:T42)</f>
        <v>360000</v>
      </c>
      <c r="V42" s="34">
        <f t="shared" si="45"/>
        <v>1440000</v>
      </c>
    </row>
    <row r="43" spans="1:22" ht="13.15" outlineLevel="2">
      <c r="A43" s="22"/>
      <c r="B43" s="22"/>
      <c r="C43" s="22"/>
      <c r="D43" s="25" t="s">
        <v>56</v>
      </c>
      <c r="E43" s="7">
        <v>0</v>
      </c>
      <c r="F43" s="43">
        <v>8000</v>
      </c>
      <c r="G43" s="43">
        <v>8000</v>
      </c>
      <c r="H43" s="43">
        <v>8000</v>
      </c>
      <c r="I43" s="34">
        <f t="shared" si="41"/>
        <v>24000</v>
      </c>
      <c r="J43" s="43">
        <v>8000</v>
      </c>
      <c r="K43" s="43">
        <v>8000</v>
      </c>
      <c r="L43" s="43">
        <v>8000</v>
      </c>
      <c r="M43" s="34">
        <f t="shared" si="42"/>
        <v>24000</v>
      </c>
      <c r="N43" s="43">
        <v>8000</v>
      </c>
      <c r="O43" s="43">
        <v>8000</v>
      </c>
      <c r="P43" s="43">
        <v>8000</v>
      </c>
      <c r="Q43" s="34">
        <f t="shared" si="43"/>
        <v>24000</v>
      </c>
      <c r="R43" s="43">
        <v>8000</v>
      </c>
      <c r="S43" s="43">
        <v>8000</v>
      </c>
      <c r="T43" s="43">
        <v>8000</v>
      </c>
      <c r="U43" s="34">
        <f t="shared" si="44"/>
        <v>24000</v>
      </c>
      <c r="V43" s="34">
        <f t="shared" si="45"/>
        <v>96000</v>
      </c>
    </row>
    <row r="44" spans="1:22" ht="13.15" outlineLevel="2">
      <c r="A44" s="22"/>
      <c r="B44" s="22"/>
      <c r="C44" s="22"/>
      <c r="D44" s="25" t="s">
        <v>57</v>
      </c>
      <c r="F44" s="43">
        <v>37000</v>
      </c>
      <c r="G44" s="43">
        <v>37000</v>
      </c>
      <c r="H44" s="43">
        <v>37000</v>
      </c>
      <c r="I44" s="34">
        <f t="shared" si="41"/>
        <v>111000</v>
      </c>
      <c r="J44" s="43">
        <v>37000</v>
      </c>
      <c r="K44" s="43">
        <v>37000</v>
      </c>
      <c r="L44" s="43">
        <v>37000</v>
      </c>
      <c r="M44" s="34">
        <f t="shared" si="42"/>
        <v>111000</v>
      </c>
      <c r="N44" s="43">
        <v>37000</v>
      </c>
      <c r="O44" s="43">
        <v>37000</v>
      </c>
      <c r="P44" s="43">
        <v>37000</v>
      </c>
      <c r="Q44" s="34">
        <f t="shared" si="43"/>
        <v>111000</v>
      </c>
      <c r="R44" s="43">
        <v>37000</v>
      </c>
      <c r="S44" s="43">
        <v>37000</v>
      </c>
      <c r="T44" s="43">
        <v>37000</v>
      </c>
      <c r="U44" s="34">
        <f t="shared" si="44"/>
        <v>111000</v>
      </c>
      <c r="V44" s="34">
        <f t="shared" si="45"/>
        <v>444000</v>
      </c>
    </row>
    <row r="45" spans="1:22" ht="13.15" outlineLevel="2">
      <c r="A45" s="22"/>
      <c r="B45" s="22"/>
      <c r="C45" s="22"/>
      <c r="D45" s="25" t="s">
        <v>54</v>
      </c>
      <c r="E45" s="7">
        <v>0</v>
      </c>
      <c r="F45" s="43"/>
      <c r="G45" s="43"/>
      <c r="H45" s="43"/>
      <c r="I45" s="34">
        <f t="shared" si="41"/>
        <v>0</v>
      </c>
      <c r="J45" s="43"/>
      <c r="K45" s="43"/>
      <c r="L45" s="43"/>
      <c r="M45" s="34">
        <f t="shared" si="42"/>
        <v>0</v>
      </c>
      <c r="N45" s="43"/>
      <c r="O45" s="43"/>
      <c r="P45" s="43"/>
      <c r="Q45" s="34">
        <f t="shared" si="43"/>
        <v>0</v>
      </c>
      <c r="R45" s="43"/>
      <c r="S45" s="43"/>
      <c r="T45" s="43"/>
      <c r="U45" s="34">
        <f t="shared" si="44"/>
        <v>0</v>
      </c>
      <c r="V45" s="34">
        <f t="shared" si="45"/>
        <v>0</v>
      </c>
    </row>
    <row r="46" spans="1:22" ht="13.15" outlineLevel="2">
      <c r="A46" s="22"/>
      <c r="B46" s="22"/>
      <c r="C46" s="22"/>
      <c r="D46" s="25" t="s">
        <v>34</v>
      </c>
      <c r="E46" s="7">
        <v>0</v>
      </c>
      <c r="F46" s="43"/>
      <c r="G46" s="43"/>
      <c r="H46" s="43"/>
      <c r="I46" s="34">
        <f t="shared" si="41"/>
        <v>0</v>
      </c>
      <c r="J46" s="43"/>
      <c r="K46" s="43"/>
      <c r="L46" s="43"/>
      <c r="M46" s="34">
        <f t="shared" si="42"/>
        <v>0</v>
      </c>
      <c r="N46" s="43"/>
      <c r="O46" s="43"/>
      <c r="P46" s="43"/>
      <c r="Q46" s="34">
        <f t="shared" si="43"/>
        <v>0</v>
      </c>
      <c r="R46" s="43"/>
      <c r="S46" s="43"/>
      <c r="T46" s="43"/>
      <c r="U46" s="34">
        <f t="shared" si="44"/>
        <v>0</v>
      </c>
      <c r="V46" s="34">
        <f t="shared" si="45"/>
        <v>0</v>
      </c>
    </row>
    <row r="47" spans="1:22" ht="13.15" outlineLevel="2">
      <c r="A47" s="22"/>
      <c r="B47" s="22"/>
      <c r="C47" s="22"/>
      <c r="D47" s="25" t="s">
        <v>65</v>
      </c>
      <c r="E47" s="7">
        <v>0</v>
      </c>
      <c r="F47" s="43"/>
      <c r="G47" s="43"/>
      <c r="H47" s="43"/>
      <c r="I47" s="34">
        <f t="shared" si="41"/>
        <v>0</v>
      </c>
      <c r="J47" s="43"/>
      <c r="K47" s="43"/>
      <c r="L47" s="43"/>
      <c r="M47" s="34">
        <f t="shared" si="42"/>
        <v>0</v>
      </c>
      <c r="N47" s="43"/>
      <c r="O47" s="43"/>
      <c r="P47" s="43"/>
      <c r="Q47" s="34">
        <f t="shared" si="43"/>
        <v>0</v>
      </c>
      <c r="R47" s="43"/>
      <c r="S47" s="43"/>
      <c r="T47" s="43"/>
      <c r="U47" s="34">
        <f t="shared" si="44"/>
        <v>0</v>
      </c>
      <c r="V47" s="34">
        <f t="shared" si="45"/>
        <v>0</v>
      </c>
    </row>
    <row r="48" spans="1:22" ht="13.15" outlineLevel="2">
      <c r="A48" s="22"/>
      <c r="B48" s="22"/>
      <c r="C48" s="22"/>
      <c r="D48" s="25" t="s">
        <v>64</v>
      </c>
      <c r="E48" s="7">
        <v>0</v>
      </c>
      <c r="F48" s="43"/>
      <c r="G48" s="43"/>
      <c r="H48" s="43"/>
      <c r="I48" s="34">
        <f t="shared" si="41"/>
        <v>0</v>
      </c>
      <c r="J48" s="43"/>
      <c r="K48" s="43"/>
      <c r="L48" s="43"/>
      <c r="M48" s="34">
        <f t="shared" si="42"/>
        <v>0</v>
      </c>
      <c r="N48" s="43"/>
      <c r="O48" s="43"/>
      <c r="P48" s="43"/>
      <c r="Q48" s="34">
        <f t="shared" si="43"/>
        <v>0</v>
      </c>
      <c r="R48" s="43"/>
      <c r="S48" s="43"/>
      <c r="T48" s="43"/>
      <c r="U48" s="34">
        <f t="shared" si="44"/>
        <v>0</v>
      </c>
      <c r="V48" s="34">
        <f t="shared" si="45"/>
        <v>0</v>
      </c>
    </row>
    <row r="49" spans="1:22" ht="13.15" outlineLevel="2">
      <c r="A49" s="22"/>
      <c r="B49" s="22"/>
      <c r="C49" s="22"/>
      <c r="D49" s="25" t="s">
        <v>112</v>
      </c>
      <c r="F49" s="43">
        <v>150000</v>
      </c>
      <c r="G49" s="43">
        <v>150000</v>
      </c>
      <c r="H49" s="43">
        <v>150000</v>
      </c>
      <c r="I49" s="34">
        <f t="shared" si="41"/>
        <v>450000</v>
      </c>
      <c r="J49" s="43">
        <v>150000</v>
      </c>
      <c r="K49" s="43">
        <v>150000</v>
      </c>
      <c r="L49" s="43">
        <v>150000</v>
      </c>
      <c r="M49" s="34">
        <f t="shared" si="42"/>
        <v>450000</v>
      </c>
      <c r="N49" s="43">
        <v>150000</v>
      </c>
      <c r="O49" s="43">
        <v>150000</v>
      </c>
      <c r="P49" s="43">
        <v>150000</v>
      </c>
      <c r="Q49" s="34">
        <f t="shared" si="43"/>
        <v>450000</v>
      </c>
      <c r="R49" s="43">
        <v>150000</v>
      </c>
      <c r="S49" s="43">
        <v>150000</v>
      </c>
      <c r="T49" s="43">
        <v>150000</v>
      </c>
      <c r="U49" s="34">
        <f t="shared" si="44"/>
        <v>450000</v>
      </c>
      <c r="V49" s="34">
        <f t="shared" si="45"/>
        <v>1800000</v>
      </c>
    </row>
    <row r="50" spans="1:22" ht="13.15" outlineLevel="2">
      <c r="A50" s="22"/>
      <c r="B50" s="22"/>
      <c r="C50" s="22"/>
      <c r="D50" s="25" t="s">
        <v>119</v>
      </c>
      <c r="F50" s="43">
        <v>133000</v>
      </c>
      <c r="G50" s="43">
        <v>133000</v>
      </c>
      <c r="H50" s="43">
        <v>133000</v>
      </c>
      <c r="I50" s="34">
        <f t="shared" si="41"/>
        <v>399000</v>
      </c>
      <c r="J50" s="43">
        <v>133000</v>
      </c>
      <c r="K50" s="43">
        <v>133000</v>
      </c>
      <c r="L50" s="43">
        <v>133000</v>
      </c>
      <c r="M50" s="34">
        <f t="shared" si="42"/>
        <v>399000</v>
      </c>
      <c r="N50" s="43">
        <v>133000</v>
      </c>
      <c r="O50" s="43">
        <v>133000</v>
      </c>
      <c r="P50" s="43">
        <v>133000</v>
      </c>
      <c r="Q50" s="34">
        <f t="shared" si="43"/>
        <v>399000</v>
      </c>
      <c r="R50" s="43">
        <v>133000</v>
      </c>
      <c r="S50" s="43">
        <v>133000</v>
      </c>
      <c r="T50" s="43">
        <v>133000</v>
      </c>
      <c r="U50" s="34">
        <f t="shared" si="44"/>
        <v>399000</v>
      </c>
      <c r="V50" s="34">
        <f t="shared" si="45"/>
        <v>1596000</v>
      </c>
    </row>
    <row r="51" spans="1:22" ht="13.15" outlineLevel="1">
      <c r="A51" s="24"/>
      <c r="B51" s="24" t="s">
        <v>1</v>
      </c>
      <c r="C51" s="24"/>
      <c r="D51" s="24"/>
      <c r="E51" s="8"/>
      <c r="F51" s="44">
        <f t="shared" ref="F51:H51" si="47">SUM(F39:F50)</f>
        <v>2648000</v>
      </c>
      <c r="G51" s="44">
        <f t="shared" si="47"/>
        <v>2648000</v>
      </c>
      <c r="H51" s="44">
        <f t="shared" si="47"/>
        <v>2648000</v>
      </c>
      <c r="I51" s="35">
        <f>SUM(I39:I50)</f>
        <v>7944000</v>
      </c>
      <c r="J51" s="44">
        <f t="shared" ref="J51:L51" si="48">SUM(J39:J50)</f>
        <v>2648000</v>
      </c>
      <c r="K51" s="44">
        <f t="shared" si="48"/>
        <v>2648000</v>
      </c>
      <c r="L51" s="44">
        <f t="shared" si="48"/>
        <v>2648000</v>
      </c>
      <c r="M51" s="35">
        <f>SUM(M39:M50)</f>
        <v>7944000</v>
      </c>
      <c r="N51" s="44">
        <f t="shared" ref="N51:P51" si="49">SUM(N39:N50)</f>
        <v>2648000</v>
      </c>
      <c r="O51" s="44">
        <f t="shared" si="49"/>
        <v>2648000</v>
      </c>
      <c r="P51" s="44">
        <f t="shared" si="49"/>
        <v>2648000</v>
      </c>
      <c r="Q51" s="35">
        <f>SUM(Q39:Q50)</f>
        <v>7944000</v>
      </c>
      <c r="R51" s="44">
        <f t="shared" ref="R51:T51" si="50">SUM(R39:R50)</f>
        <v>2648000</v>
      </c>
      <c r="S51" s="44">
        <f t="shared" si="50"/>
        <v>2648000</v>
      </c>
      <c r="T51" s="44">
        <f t="shared" si="50"/>
        <v>2648000</v>
      </c>
      <c r="U51" s="35">
        <f>SUM(U39:U50)</f>
        <v>7944000</v>
      </c>
      <c r="V51" s="35">
        <f t="shared" si="45"/>
        <v>31776000</v>
      </c>
    </row>
    <row r="52" spans="1:22" ht="13.15" outlineLevel="1">
      <c r="A52" s="24"/>
      <c r="B52" s="24" t="s">
        <v>2</v>
      </c>
      <c r="C52" s="24"/>
      <c r="D52" s="24"/>
      <c r="E52" s="8"/>
      <c r="F52" s="44">
        <f>F37+F51</f>
        <v>25648000</v>
      </c>
      <c r="G52" s="44">
        <f>G37+G51</f>
        <v>25648000</v>
      </c>
      <c r="H52" s="44">
        <f>H37+H51</f>
        <v>25648000</v>
      </c>
      <c r="I52" s="35">
        <f>I51+I37</f>
        <v>76944000</v>
      </c>
      <c r="J52" s="44">
        <f>J37+J51</f>
        <v>25648000</v>
      </c>
      <c r="K52" s="44">
        <f>K37+K51</f>
        <v>25648000</v>
      </c>
      <c r="L52" s="44">
        <f>L37+L51</f>
        <v>25648000</v>
      </c>
      <c r="M52" s="35">
        <f>M51+M37</f>
        <v>76944000</v>
      </c>
      <c r="N52" s="44">
        <f>N37+N51</f>
        <v>25648000</v>
      </c>
      <c r="O52" s="44">
        <f>O37+O51</f>
        <v>25648000</v>
      </c>
      <c r="P52" s="44">
        <f>P37+P51</f>
        <v>25648000</v>
      </c>
      <c r="Q52" s="35">
        <f>Q51+Q37</f>
        <v>76944000</v>
      </c>
      <c r="R52" s="44">
        <f>R37+R51</f>
        <v>25648000</v>
      </c>
      <c r="S52" s="44">
        <f>S37+S51</f>
        <v>25648000</v>
      </c>
      <c r="T52" s="44">
        <f>T37+T51</f>
        <v>25648000</v>
      </c>
      <c r="U52" s="35">
        <f>U51+U37</f>
        <v>76944000</v>
      </c>
      <c r="V52" s="35">
        <f t="shared" si="45"/>
        <v>307776000</v>
      </c>
    </row>
    <row r="53" spans="1:22" s="4" customFormat="1" ht="13.15" outlineLevel="1">
      <c r="A53" s="24"/>
      <c r="B53" s="24" t="s">
        <v>3</v>
      </c>
      <c r="C53" s="24"/>
      <c r="D53" s="24"/>
      <c r="E53" s="8">
        <v>0</v>
      </c>
      <c r="F53" s="44">
        <v>0</v>
      </c>
      <c r="G53" s="44">
        <v>0</v>
      </c>
      <c r="H53" s="44">
        <v>0</v>
      </c>
      <c r="I53" s="35">
        <v>0</v>
      </c>
      <c r="J53" s="44">
        <v>0</v>
      </c>
      <c r="K53" s="44">
        <v>0</v>
      </c>
      <c r="L53" s="44">
        <v>0</v>
      </c>
      <c r="M53" s="35">
        <v>0</v>
      </c>
      <c r="N53" s="44">
        <v>0</v>
      </c>
      <c r="O53" s="44">
        <v>0</v>
      </c>
      <c r="P53" s="44">
        <v>0</v>
      </c>
      <c r="Q53" s="35">
        <v>0</v>
      </c>
      <c r="R53" s="44">
        <v>0</v>
      </c>
      <c r="S53" s="44">
        <v>0</v>
      </c>
      <c r="T53" s="44">
        <v>0</v>
      </c>
      <c r="U53" s="35">
        <v>0</v>
      </c>
      <c r="V53" s="35">
        <f t="shared" si="45"/>
        <v>0</v>
      </c>
    </row>
    <row r="54" spans="1:22" ht="13.15" outlineLevel="2">
      <c r="A54" s="22"/>
      <c r="B54" s="23" t="s">
        <v>39</v>
      </c>
      <c r="C54" s="22"/>
      <c r="D54" s="22"/>
      <c r="F54" s="43"/>
      <c r="G54" s="43"/>
      <c r="H54" s="43"/>
      <c r="I54" s="34"/>
      <c r="J54" s="43"/>
      <c r="K54" s="43"/>
      <c r="L54" s="43"/>
      <c r="M54" s="34"/>
      <c r="N54" s="43"/>
      <c r="O54" s="43"/>
      <c r="P54" s="43"/>
      <c r="Q54" s="34"/>
      <c r="R54" s="43"/>
      <c r="S54" s="43"/>
      <c r="T54" s="43"/>
      <c r="U54" s="34"/>
      <c r="V54" s="34"/>
    </row>
    <row r="55" spans="1:22" ht="13.15" outlineLevel="2">
      <c r="A55" s="22"/>
      <c r="B55" s="22"/>
      <c r="C55" s="25" t="s">
        <v>58</v>
      </c>
      <c r="D55" s="22"/>
      <c r="E55" s="7">
        <v>0</v>
      </c>
      <c r="F55" s="43"/>
      <c r="G55" s="43"/>
      <c r="H55" s="43"/>
      <c r="I55" s="34">
        <f t="shared" ref="I55:I65" si="51">SUM(F55:H55)</f>
        <v>0</v>
      </c>
      <c r="J55" s="43"/>
      <c r="K55" s="43"/>
      <c r="L55" s="43"/>
      <c r="M55" s="34">
        <f t="shared" ref="M55:M65" si="52">SUM(J55:L55)</f>
        <v>0</v>
      </c>
      <c r="N55" s="43"/>
      <c r="O55" s="43"/>
      <c r="P55" s="43"/>
      <c r="Q55" s="34">
        <f t="shared" ref="Q55:Q65" si="53">SUM(N55:P55)</f>
        <v>0</v>
      </c>
      <c r="R55" s="43"/>
      <c r="S55" s="43"/>
      <c r="T55" s="43"/>
      <c r="U55" s="34">
        <f t="shared" ref="U55:U65" si="54">SUM(R55:T55)</f>
        <v>0</v>
      </c>
      <c r="V55" s="34">
        <f t="shared" ref="V55:V66" si="55">I55+M55+Q55+U55</f>
        <v>0</v>
      </c>
    </row>
    <row r="56" spans="1:22" ht="13.15" outlineLevel="2">
      <c r="A56" s="22"/>
      <c r="B56" s="22"/>
      <c r="C56" s="25" t="s">
        <v>59</v>
      </c>
      <c r="D56" s="22"/>
      <c r="F56" s="43">
        <v>113000</v>
      </c>
      <c r="G56" s="43">
        <v>113000</v>
      </c>
      <c r="H56" s="43">
        <v>113000</v>
      </c>
      <c r="I56" s="34">
        <f t="shared" si="51"/>
        <v>339000</v>
      </c>
      <c r="J56" s="43">
        <v>113000</v>
      </c>
      <c r="K56" s="43">
        <v>113000</v>
      </c>
      <c r="L56" s="43">
        <v>113000</v>
      </c>
      <c r="M56" s="34">
        <f t="shared" si="52"/>
        <v>339000</v>
      </c>
      <c r="N56" s="43">
        <v>113000</v>
      </c>
      <c r="O56" s="43">
        <v>113000</v>
      </c>
      <c r="P56" s="43">
        <v>113000</v>
      </c>
      <c r="Q56" s="34">
        <f t="shared" si="53"/>
        <v>339000</v>
      </c>
      <c r="R56" s="43">
        <v>113000</v>
      </c>
      <c r="S56" s="43">
        <v>113000</v>
      </c>
      <c r="T56" s="43">
        <v>113000</v>
      </c>
      <c r="U56" s="34">
        <f t="shared" si="54"/>
        <v>339000</v>
      </c>
      <c r="V56" s="34">
        <f t="shared" si="55"/>
        <v>1356000</v>
      </c>
    </row>
    <row r="57" spans="1:22" ht="13.15" outlineLevel="2">
      <c r="A57" s="22"/>
      <c r="B57" s="22"/>
      <c r="C57" s="25" t="s">
        <v>60</v>
      </c>
      <c r="D57" s="22"/>
      <c r="F57" s="43">
        <v>15000</v>
      </c>
      <c r="G57" s="43">
        <v>15000</v>
      </c>
      <c r="H57" s="43">
        <v>15000</v>
      </c>
      <c r="I57" s="34">
        <f t="shared" si="51"/>
        <v>45000</v>
      </c>
      <c r="J57" s="43">
        <v>15000</v>
      </c>
      <c r="K57" s="43">
        <v>15000</v>
      </c>
      <c r="L57" s="43">
        <v>15000</v>
      </c>
      <c r="M57" s="34">
        <f t="shared" si="52"/>
        <v>45000</v>
      </c>
      <c r="N57" s="43">
        <v>15000</v>
      </c>
      <c r="O57" s="43">
        <v>15000</v>
      </c>
      <c r="P57" s="43">
        <v>15000</v>
      </c>
      <c r="Q57" s="34">
        <f t="shared" si="53"/>
        <v>45000</v>
      </c>
      <c r="R57" s="43">
        <v>15000</v>
      </c>
      <c r="S57" s="43">
        <v>15000</v>
      </c>
      <c r="T57" s="43">
        <v>15000</v>
      </c>
      <c r="U57" s="34">
        <f t="shared" si="54"/>
        <v>45000</v>
      </c>
      <c r="V57" s="34">
        <f t="shared" si="55"/>
        <v>180000</v>
      </c>
    </row>
    <row r="58" spans="1:22" ht="13.15" outlineLevel="2">
      <c r="A58" s="22"/>
      <c r="B58" s="22"/>
      <c r="C58" s="25" t="s">
        <v>61</v>
      </c>
      <c r="D58" s="22"/>
      <c r="F58" s="43">
        <v>317000</v>
      </c>
      <c r="G58" s="43">
        <v>317000</v>
      </c>
      <c r="H58" s="43">
        <v>317000</v>
      </c>
      <c r="I58" s="34">
        <f t="shared" si="51"/>
        <v>951000</v>
      </c>
      <c r="J58" s="43">
        <v>317000</v>
      </c>
      <c r="K58" s="43">
        <v>317000</v>
      </c>
      <c r="L58" s="43">
        <v>317000</v>
      </c>
      <c r="M58" s="34">
        <f t="shared" si="52"/>
        <v>951000</v>
      </c>
      <c r="N58" s="43">
        <v>317000</v>
      </c>
      <c r="O58" s="43">
        <v>317000</v>
      </c>
      <c r="P58" s="43">
        <v>317000</v>
      </c>
      <c r="Q58" s="34">
        <f t="shared" si="53"/>
        <v>951000</v>
      </c>
      <c r="R58" s="43">
        <v>317000</v>
      </c>
      <c r="S58" s="43">
        <v>317000</v>
      </c>
      <c r="T58" s="43">
        <v>317000</v>
      </c>
      <c r="U58" s="34">
        <f t="shared" si="54"/>
        <v>951000</v>
      </c>
      <c r="V58" s="34">
        <f t="shared" si="55"/>
        <v>3804000</v>
      </c>
    </row>
    <row r="59" spans="1:22" ht="13.15" outlineLevel="2">
      <c r="A59" s="22"/>
      <c r="B59" s="22"/>
      <c r="C59" s="25" t="s">
        <v>62</v>
      </c>
      <c r="D59" s="22"/>
      <c r="F59" s="43">
        <v>512000</v>
      </c>
      <c r="G59" s="43">
        <v>512000</v>
      </c>
      <c r="H59" s="43">
        <v>512000</v>
      </c>
      <c r="I59" s="34">
        <f t="shared" si="51"/>
        <v>1536000</v>
      </c>
      <c r="J59" s="43">
        <v>512000</v>
      </c>
      <c r="K59" s="43">
        <v>512000</v>
      </c>
      <c r="L59" s="43">
        <v>512000</v>
      </c>
      <c r="M59" s="34">
        <f t="shared" si="52"/>
        <v>1536000</v>
      </c>
      <c r="N59" s="43">
        <v>512000</v>
      </c>
      <c r="O59" s="43">
        <v>512000</v>
      </c>
      <c r="P59" s="43">
        <v>512000</v>
      </c>
      <c r="Q59" s="34">
        <f t="shared" si="53"/>
        <v>1536000</v>
      </c>
      <c r="R59" s="43">
        <v>512000</v>
      </c>
      <c r="S59" s="43">
        <v>512000</v>
      </c>
      <c r="T59" s="43">
        <v>512000</v>
      </c>
      <c r="U59" s="34">
        <f t="shared" si="54"/>
        <v>1536000</v>
      </c>
      <c r="V59" s="34">
        <f t="shared" si="55"/>
        <v>6144000</v>
      </c>
    </row>
    <row r="60" spans="1:22" ht="13.15" outlineLevel="2">
      <c r="A60" s="22"/>
      <c r="B60" s="22"/>
      <c r="C60" s="25" t="s">
        <v>118</v>
      </c>
      <c r="D60" s="22"/>
      <c r="F60" s="43">
        <v>111000</v>
      </c>
      <c r="G60" s="43">
        <v>111000</v>
      </c>
      <c r="H60" s="43">
        <v>111000</v>
      </c>
      <c r="I60" s="34">
        <f t="shared" si="51"/>
        <v>333000</v>
      </c>
      <c r="J60" s="43">
        <v>111000</v>
      </c>
      <c r="K60" s="43">
        <v>111000</v>
      </c>
      <c r="L60" s="43">
        <v>111000</v>
      </c>
      <c r="M60" s="34">
        <f t="shared" si="52"/>
        <v>333000</v>
      </c>
      <c r="N60" s="43">
        <v>111000</v>
      </c>
      <c r="O60" s="43">
        <v>111000</v>
      </c>
      <c r="P60" s="43">
        <v>111000</v>
      </c>
      <c r="Q60" s="34">
        <f t="shared" si="53"/>
        <v>333000</v>
      </c>
      <c r="R60" s="43">
        <v>111000</v>
      </c>
      <c r="S60" s="43">
        <v>111000</v>
      </c>
      <c r="T60" s="43">
        <v>111000</v>
      </c>
      <c r="U60" s="34">
        <f t="shared" si="54"/>
        <v>333000</v>
      </c>
      <c r="V60" s="34">
        <f t="shared" si="55"/>
        <v>1332000</v>
      </c>
    </row>
    <row r="61" spans="1:22" ht="13.15" outlineLevel="2">
      <c r="A61" s="22"/>
      <c r="B61" s="22"/>
      <c r="C61" s="25" t="s">
        <v>157</v>
      </c>
      <c r="D61" s="22"/>
      <c r="F61" s="43"/>
      <c r="G61" s="43"/>
      <c r="H61" s="43"/>
      <c r="I61" s="34">
        <f t="shared" si="51"/>
        <v>0</v>
      </c>
      <c r="J61" s="43"/>
      <c r="K61" s="43"/>
      <c r="L61" s="43"/>
      <c r="M61" s="34">
        <f t="shared" si="52"/>
        <v>0</v>
      </c>
      <c r="N61" s="43"/>
      <c r="O61" s="43"/>
      <c r="P61" s="43"/>
      <c r="Q61" s="34">
        <f t="shared" si="53"/>
        <v>0</v>
      </c>
      <c r="R61" s="43"/>
      <c r="S61" s="43"/>
      <c r="T61" s="43"/>
      <c r="U61" s="34">
        <f t="shared" si="54"/>
        <v>0</v>
      </c>
      <c r="V61" s="34">
        <f t="shared" si="55"/>
        <v>0</v>
      </c>
    </row>
    <row r="62" spans="1:22" ht="13.15" outlineLevel="2">
      <c r="A62" s="22"/>
      <c r="B62" s="22"/>
      <c r="C62" s="25" t="s">
        <v>28</v>
      </c>
      <c r="D62" s="22"/>
      <c r="E62" s="7">
        <v>0</v>
      </c>
      <c r="F62" s="43"/>
      <c r="G62" s="43"/>
      <c r="H62" s="43"/>
      <c r="I62" s="34">
        <f t="shared" si="51"/>
        <v>0</v>
      </c>
      <c r="J62" s="43"/>
      <c r="K62" s="43"/>
      <c r="L62" s="43"/>
      <c r="M62" s="34">
        <f t="shared" si="52"/>
        <v>0</v>
      </c>
      <c r="N62" s="43"/>
      <c r="O62" s="43"/>
      <c r="P62" s="43"/>
      <c r="Q62" s="34">
        <f t="shared" si="53"/>
        <v>0</v>
      </c>
      <c r="R62" s="43"/>
      <c r="S62" s="43"/>
      <c r="T62" s="43"/>
      <c r="U62" s="34">
        <f t="shared" si="54"/>
        <v>0</v>
      </c>
      <c r="V62" s="34">
        <f t="shared" si="55"/>
        <v>0</v>
      </c>
    </row>
    <row r="63" spans="1:22" ht="13.15" outlineLevel="2">
      <c r="A63" s="22"/>
      <c r="B63" s="22"/>
      <c r="C63" s="25" t="s">
        <v>35</v>
      </c>
      <c r="D63" s="22"/>
      <c r="E63" s="7">
        <v>0</v>
      </c>
      <c r="F63" s="43"/>
      <c r="G63" s="43"/>
      <c r="H63" s="43"/>
      <c r="I63" s="34">
        <f t="shared" si="51"/>
        <v>0</v>
      </c>
      <c r="J63" s="43"/>
      <c r="K63" s="43"/>
      <c r="L63" s="43"/>
      <c r="M63" s="34">
        <f t="shared" si="52"/>
        <v>0</v>
      </c>
      <c r="N63" s="43"/>
      <c r="O63" s="43"/>
      <c r="P63" s="43"/>
      <c r="Q63" s="34">
        <f t="shared" si="53"/>
        <v>0</v>
      </c>
      <c r="R63" s="43"/>
      <c r="S63" s="43"/>
      <c r="T63" s="43"/>
      <c r="U63" s="34">
        <f t="shared" si="54"/>
        <v>0</v>
      </c>
      <c r="V63" s="34">
        <f t="shared" si="55"/>
        <v>0</v>
      </c>
    </row>
    <row r="64" spans="1:22" ht="13.15" outlineLevel="2">
      <c r="A64" s="22"/>
      <c r="B64" s="22"/>
      <c r="C64" s="25" t="s">
        <v>52</v>
      </c>
      <c r="D64" s="22"/>
      <c r="E64" s="7">
        <v>0</v>
      </c>
      <c r="F64" s="43">
        <v>167000</v>
      </c>
      <c r="G64" s="43">
        <v>167000</v>
      </c>
      <c r="H64" s="43">
        <v>167000</v>
      </c>
      <c r="I64" s="34">
        <f t="shared" si="51"/>
        <v>501000</v>
      </c>
      <c r="J64" s="43">
        <v>167000</v>
      </c>
      <c r="K64" s="43">
        <v>167000</v>
      </c>
      <c r="L64" s="43">
        <v>167000</v>
      </c>
      <c r="M64" s="34">
        <f t="shared" si="52"/>
        <v>501000</v>
      </c>
      <c r="N64" s="43">
        <v>167000</v>
      </c>
      <c r="O64" s="43">
        <v>167000</v>
      </c>
      <c r="P64" s="43">
        <v>167000</v>
      </c>
      <c r="Q64" s="34">
        <f t="shared" si="53"/>
        <v>501000</v>
      </c>
      <c r="R64" s="43">
        <v>167000</v>
      </c>
      <c r="S64" s="43">
        <v>167000</v>
      </c>
      <c r="T64" s="43">
        <v>167000</v>
      </c>
      <c r="U64" s="34">
        <f t="shared" si="54"/>
        <v>501000</v>
      </c>
      <c r="V64" s="34">
        <f t="shared" si="55"/>
        <v>2004000</v>
      </c>
    </row>
    <row r="65" spans="1:22" ht="13.15" outlineLevel="2">
      <c r="A65" s="22"/>
      <c r="B65" s="22"/>
      <c r="C65" s="25" t="s">
        <v>36</v>
      </c>
      <c r="D65" s="22"/>
      <c r="E65" s="7">
        <v>0</v>
      </c>
      <c r="F65" s="43">
        <v>20000</v>
      </c>
      <c r="G65" s="43">
        <v>20000</v>
      </c>
      <c r="H65" s="43">
        <v>20000</v>
      </c>
      <c r="I65" s="34">
        <f t="shared" si="51"/>
        <v>60000</v>
      </c>
      <c r="J65" s="43">
        <v>20000</v>
      </c>
      <c r="K65" s="43">
        <v>20000</v>
      </c>
      <c r="L65" s="43">
        <v>20000</v>
      </c>
      <c r="M65" s="34">
        <f t="shared" si="52"/>
        <v>60000</v>
      </c>
      <c r="N65" s="43">
        <v>20000</v>
      </c>
      <c r="O65" s="43">
        <v>20000</v>
      </c>
      <c r="P65" s="43">
        <v>20000</v>
      </c>
      <c r="Q65" s="34">
        <f t="shared" si="53"/>
        <v>60000</v>
      </c>
      <c r="R65" s="43">
        <v>20000</v>
      </c>
      <c r="S65" s="43">
        <v>20000</v>
      </c>
      <c r="T65" s="43">
        <v>20000</v>
      </c>
      <c r="U65" s="34">
        <f t="shared" si="54"/>
        <v>60000</v>
      </c>
      <c r="V65" s="34">
        <f t="shared" si="55"/>
        <v>240000</v>
      </c>
    </row>
    <row r="66" spans="1:22" ht="13.15" outlineLevel="1">
      <c r="A66" s="24"/>
      <c r="B66" s="24" t="s">
        <v>4</v>
      </c>
      <c r="C66" s="24"/>
      <c r="D66" s="24"/>
      <c r="E66" s="8"/>
      <c r="F66" s="44">
        <f t="shared" ref="F66:H66" si="56">SUM(F55:F65)</f>
        <v>1255000</v>
      </c>
      <c r="G66" s="44">
        <f t="shared" si="56"/>
        <v>1255000</v>
      </c>
      <c r="H66" s="44">
        <f t="shared" si="56"/>
        <v>1255000</v>
      </c>
      <c r="I66" s="35">
        <f>SUM(I55:I65)</f>
        <v>3765000</v>
      </c>
      <c r="J66" s="44">
        <f t="shared" ref="J66:L66" si="57">SUM(J55:J65)</f>
        <v>1255000</v>
      </c>
      <c r="K66" s="44">
        <f t="shared" si="57"/>
        <v>1255000</v>
      </c>
      <c r="L66" s="44">
        <f t="shared" si="57"/>
        <v>1255000</v>
      </c>
      <c r="M66" s="35">
        <f>SUM(M55:M65)</f>
        <v>3765000</v>
      </c>
      <c r="N66" s="44">
        <f t="shared" ref="N66:P66" si="58">SUM(N55:N65)</f>
        <v>1255000</v>
      </c>
      <c r="O66" s="44">
        <f t="shared" si="58"/>
        <v>1255000</v>
      </c>
      <c r="P66" s="44">
        <f t="shared" si="58"/>
        <v>1255000</v>
      </c>
      <c r="Q66" s="35">
        <f>SUM(Q55:Q65)</f>
        <v>3765000</v>
      </c>
      <c r="R66" s="44">
        <f t="shared" ref="R66:T66" si="59">SUM(R55:R65)</f>
        <v>1255000</v>
      </c>
      <c r="S66" s="44">
        <f t="shared" si="59"/>
        <v>1255000</v>
      </c>
      <c r="T66" s="44">
        <f t="shared" si="59"/>
        <v>1255000</v>
      </c>
      <c r="U66" s="35">
        <f>SUM(U55:U65)</f>
        <v>3765000</v>
      </c>
      <c r="V66" s="35">
        <f t="shared" si="55"/>
        <v>15060000</v>
      </c>
    </row>
    <row r="67" spans="1:22" ht="13.15" outlineLevel="2">
      <c r="A67" s="24"/>
      <c r="B67" s="26" t="s">
        <v>5</v>
      </c>
      <c r="C67" s="27"/>
      <c r="D67" s="27"/>
      <c r="E67" s="9"/>
      <c r="F67" s="129"/>
      <c r="G67" s="129"/>
      <c r="H67" s="129"/>
      <c r="I67" s="36"/>
      <c r="J67" s="129"/>
      <c r="K67" s="129"/>
      <c r="L67" s="129"/>
      <c r="M67" s="36"/>
      <c r="N67" s="129"/>
      <c r="O67" s="129"/>
      <c r="P67" s="129"/>
      <c r="Q67" s="36"/>
      <c r="R67" s="129"/>
      <c r="S67" s="129"/>
      <c r="T67" s="129"/>
      <c r="U67" s="36"/>
      <c r="V67" s="35" t="s">
        <v>86</v>
      </c>
    </row>
    <row r="68" spans="1:22" ht="13.15" outlineLevel="2">
      <c r="A68" s="24"/>
      <c r="B68" s="27"/>
      <c r="C68" s="28" t="s">
        <v>47</v>
      </c>
      <c r="D68" s="27"/>
      <c r="E68" s="9">
        <v>0</v>
      </c>
      <c r="F68" s="43"/>
      <c r="G68" s="43"/>
      <c r="H68" s="43"/>
      <c r="I68" s="34">
        <f>SUM(F68:H68)</f>
        <v>0</v>
      </c>
      <c r="J68" s="43"/>
      <c r="K68" s="43"/>
      <c r="L68" s="43"/>
      <c r="M68" s="34">
        <f>SUM(J68:L68)</f>
        <v>0</v>
      </c>
      <c r="N68" s="43"/>
      <c r="O68" s="43"/>
      <c r="P68" s="43"/>
      <c r="Q68" s="34">
        <f>SUM(N68:P68)</f>
        <v>0</v>
      </c>
      <c r="R68" s="43"/>
      <c r="S68" s="43"/>
      <c r="T68" s="43"/>
      <c r="U68" s="34">
        <f>SUM(R68:T68)</f>
        <v>0</v>
      </c>
      <c r="V68" s="34">
        <f>I68+M68+Q68+U68</f>
        <v>0</v>
      </c>
    </row>
    <row r="69" spans="1:22" ht="13.15" outlineLevel="2">
      <c r="A69" s="24"/>
      <c r="B69" s="27"/>
      <c r="C69" s="28" t="s">
        <v>48</v>
      </c>
      <c r="D69" s="27"/>
      <c r="E69" s="9">
        <v>0</v>
      </c>
      <c r="F69" s="43"/>
      <c r="G69" s="43"/>
      <c r="H69" s="43"/>
      <c r="I69" s="34">
        <f>SUM(F69:H69)</f>
        <v>0</v>
      </c>
      <c r="J69" s="43"/>
      <c r="K69" s="43"/>
      <c r="L69" s="43"/>
      <c r="M69" s="34">
        <f>SUM(J69:L69)</f>
        <v>0</v>
      </c>
      <c r="N69" s="43"/>
      <c r="O69" s="43"/>
      <c r="P69" s="43"/>
      <c r="Q69" s="34">
        <f>SUM(N69:P69)</f>
        <v>0</v>
      </c>
      <c r="R69" s="43"/>
      <c r="S69" s="43"/>
      <c r="T69" s="43"/>
      <c r="U69" s="34">
        <f>SUM(R69:T69)</f>
        <v>0</v>
      </c>
      <c r="V69" s="34">
        <f>I69+M69+Q69+U69</f>
        <v>0</v>
      </c>
    </row>
    <row r="70" spans="1:22" ht="13.15" outlineLevel="2">
      <c r="A70" s="24"/>
      <c r="B70" s="27"/>
      <c r="C70" s="28" t="s">
        <v>26</v>
      </c>
      <c r="D70" s="27"/>
      <c r="E70" s="9">
        <v>0</v>
      </c>
      <c r="F70" s="43"/>
      <c r="G70" s="43"/>
      <c r="H70" s="43"/>
      <c r="I70" s="34">
        <f>SUM(F70:H70)</f>
        <v>0</v>
      </c>
      <c r="J70" s="43"/>
      <c r="K70" s="43"/>
      <c r="L70" s="43"/>
      <c r="M70" s="34">
        <f>SUM(J70:L70)</f>
        <v>0</v>
      </c>
      <c r="N70" s="43"/>
      <c r="O70" s="43"/>
      <c r="P70" s="43"/>
      <c r="Q70" s="34">
        <f>SUM(N70:P70)</f>
        <v>0</v>
      </c>
      <c r="R70" s="43"/>
      <c r="S70" s="43"/>
      <c r="T70" s="43"/>
      <c r="U70" s="34">
        <f>SUM(R70:T70)</f>
        <v>0</v>
      </c>
      <c r="V70" s="34">
        <f>I70+M70+Q70+U70</f>
        <v>0</v>
      </c>
    </row>
    <row r="71" spans="1:22" ht="13.15" outlineLevel="1">
      <c r="A71" s="24"/>
      <c r="B71" s="29" t="s">
        <v>6</v>
      </c>
      <c r="C71" s="30"/>
      <c r="D71" s="30"/>
      <c r="E71" s="10"/>
      <c r="F71" s="45">
        <f>SUM(F68:F70)</f>
        <v>0</v>
      </c>
      <c r="G71" s="45">
        <f>SUM(G68:G70)</f>
        <v>0</v>
      </c>
      <c r="H71" s="45">
        <f>SUM(H68:H70)</f>
        <v>0</v>
      </c>
      <c r="I71" s="35">
        <f t="shared" ref="I71:T71" si="60">SUM(I68:I70)</f>
        <v>0</v>
      </c>
      <c r="J71" s="45">
        <f t="shared" si="60"/>
        <v>0</v>
      </c>
      <c r="K71" s="45">
        <f t="shared" si="60"/>
        <v>0</v>
      </c>
      <c r="L71" s="45">
        <f t="shared" si="60"/>
        <v>0</v>
      </c>
      <c r="M71" s="35">
        <f t="shared" si="60"/>
        <v>0</v>
      </c>
      <c r="N71" s="45">
        <f t="shared" si="60"/>
        <v>0</v>
      </c>
      <c r="O71" s="45">
        <f t="shared" si="60"/>
        <v>0</v>
      </c>
      <c r="P71" s="45">
        <f t="shared" si="60"/>
        <v>0</v>
      </c>
      <c r="Q71" s="35">
        <f t="shared" si="60"/>
        <v>0</v>
      </c>
      <c r="R71" s="45">
        <f t="shared" si="60"/>
        <v>0</v>
      </c>
      <c r="S71" s="45">
        <f t="shared" si="60"/>
        <v>0</v>
      </c>
      <c r="T71" s="45">
        <f t="shared" si="60"/>
        <v>0</v>
      </c>
      <c r="U71" s="35">
        <f t="shared" ref="U71" si="61">SUM(U68:U70)</f>
        <v>0</v>
      </c>
      <c r="V71" s="35">
        <f>I71+M71+Q71+U71</f>
        <v>0</v>
      </c>
    </row>
    <row r="72" spans="1:22" ht="13.15" outlineLevel="2">
      <c r="A72" s="24"/>
      <c r="B72" s="26" t="s">
        <v>7</v>
      </c>
      <c r="C72" s="27"/>
      <c r="D72" s="27"/>
      <c r="E72" s="9"/>
      <c r="F72" s="129"/>
      <c r="G72" s="129"/>
      <c r="H72" s="129"/>
      <c r="I72" s="36"/>
      <c r="J72" s="129"/>
      <c r="K72" s="129"/>
      <c r="L72" s="129"/>
      <c r="M72" s="36"/>
      <c r="N72" s="129"/>
      <c r="O72" s="129"/>
      <c r="P72" s="129"/>
      <c r="Q72" s="36"/>
      <c r="R72" s="129"/>
      <c r="S72" s="129"/>
      <c r="T72" s="129"/>
      <c r="U72" s="36"/>
      <c r="V72" s="36"/>
    </row>
    <row r="73" spans="1:22" ht="13.15" outlineLevel="2">
      <c r="A73" s="24"/>
      <c r="B73" s="27"/>
      <c r="C73" s="28" t="s">
        <v>40</v>
      </c>
      <c r="D73" s="27"/>
      <c r="E73" s="9">
        <v>0</v>
      </c>
      <c r="F73" s="43"/>
      <c r="G73" s="43"/>
      <c r="H73" s="43"/>
      <c r="I73" s="34">
        <f>SUM(F73:H73)</f>
        <v>0</v>
      </c>
      <c r="J73" s="43"/>
      <c r="K73" s="43"/>
      <c r="L73" s="43"/>
      <c r="M73" s="34">
        <f>SUM(J73:L73)</f>
        <v>0</v>
      </c>
      <c r="N73" s="43"/>
      <c r="O73" s="43"/>
      <c r="P73" s="43"/>
      <c r="Q73" s="34">
        <f>SUM(N73:P73)</f>
        <v>0</v>
      </c>
      <c r="R73" s="43"/>
      <c r="S73" s="43"/>
      <c r="T73" s="43"/>
      <c r="U73" s="34">
        <f>SUM(R73:T73)</f>
        <v>0</v>
      </c>
      <c r="V73" s="34">
        <f>I73+M73+Q73+U73</f>
        <v>0</v>
      </c>
    </row>
    <row r="74" spans="1:22" ht="13.15" outlineLevel="2">
      <c r="A74" s="24"/>
      <c r="B74" s="27"/>
      <c r="C74" s="27" t="s">
        <v>8</v>
      </c>
      <c r="D74" s="27"/>
      <c r="E74" s="9">
        <v>0</v>
      </c>
      <c r="F74" s="43"/>
      <c r="G74" s="43"/>
      <c r="H74" s="43"/>
      <c r="I74" s="34">
        <f>SUM(F74:H74)</f>
        <v>0</v>
      </c>
      <c r="J74" s="43"/>
      <c r="K74" s="43"/>
      <c r="L74" s="43"/>
      <c r="M74" s="34">
        <f>SUM(J74:L74)</f>
        <v>0</v>
      </c>
      <c r="N74" s="43"/>
      <c r="O74" s="43"/>
      <c r="P74" s="43"/>
      <c r="Q74" s="34">
        <f>SUM(N74:P74)</f>
        <v>0</v>
      </c>
      <c r="R74" s="43"/>
      <c r="S74" s="43"/>
      <c r="T74" s="43"/>
      <c r="U74" s="34">
        <f>SUM(R74:T74)</f>
        <v>0</v>
      </c>
      <c r="V74" s="34">
        <f>I74+M74+Q74+U74</f>
        <v>0</v>
      </c>
    </row>
    <row r="75" spans="1:22" ht="13.15" outlineLevel="2">
      <c r="A75" s="24"/>
      <c r="B75" s="27"/>
      <c r="C75" s="27" t="s">
        <v>9</v>
      </c>
      <c r="D75" s="27"/>
      <c r="E75" s="9">
        <v>0</v>
      </c>
      <c r="F75" s="43"/>
      <c r="G75" s="43"/>
      <c r="H75" s="43"/>
      <c r="I75" s="34">
        <f>SUM(F75:H75)</f>
        <v>0</v>
      </c>
      <c r="J75" s="43"/>
      <c r="K75" s="43"/>
      <c r="L75" s="43"/>
      <c r="M75" s="34">
        <f>SUM(J75:L75)</f>
        <v>0</v>
      </c>
      <c r="N75" s="43"/>
      <c r="O75" s="43"/>
      <c r="P75" s="43"/>
      <c r="Q75" s="34">
        <f>SUM(N75:P75)</f>
        <v>0</v>
      </c>
      <c r="R75" s="43"/>
      <c r="S75" s="43"/>
      <c r="T75" s="43"/>
      <c r="U75" s="34">
        <f>SUM(R75:T75)</f>
        <v>0</v>
      </c>
      <c r="V75" s="34">
        <f>I75+M75+Q75+U75</f>
        <v>0</v>
      </c>
    </row>
    <row r="76" spans="1:22" ht="13.15" outlineLevel="1">
      <c r="A76" s="24"/>
      <c r="B76" s="29" t="s">
        <v>10</v>
      </c>
      <c r="C76" s="30"/>
      <c r="D76" s="30"/>
      <c r="E76" s="10"/>
      <c r="F76" s="45">
        <f t="shared" ref="F76" si="62">SUM(F73:F75)</f>
        <v>0</v>
      </c>
      <c r="G76" s="45">
        <f t="shared" ref="G76:H76" si="63">SUM(G73:G75)</f>
        <v>0</v>
      </c>
      <c r="H76" s="45">
        <f t="shared" si="63"/>
        <v>0</v>
      </c>
      <c r="I76" s="35">
        <f>SUM(I73:I75)</f>
        <v>0</v>
      </c>
      <c r="J76" s="45">
        <f t="shared" ref="J76:L76" si="64">SUM(J73:J75)</f>
        <v>0</v>
      </c>
      <c r="K76" s="45">
        <f t="shared" si="64"/>
        <v>0</v>
      </c>
      <c r="L76" s="45">
        <f t="shared" si="64"/>
        <v>0</v>
      </c>
      <c r="M76" s="35">
        <f>SUM(M73:M75)</f>
        <v>0</v>
      </c>
      <c r="N76" s="45">
        <f t="shared" ref="N76:P76" si="65">SUM(N73:N75)</f>
        <v>0</v>
      </c>
      <c r="O76" s="45">
        <f t="shared" si="65"/>
        <v>0</v>
      </c>
      <c r="P76" s="45">
        <f t="shared" si="65"/>
        <v>0</v>
      </c>
      <c r="Q76" s="35">
        <f>SUM(Q73:Q75)</f>
        <v>0</v>
      </c>
      <c r="R76" s="45">
        <f t="shared" ref="R76:T76" si="66">SUM(R73:R75)</f>
        <v>0</v>
      </c>
      <c r="S76" s="45">
        <f t="shared" si="66"/>
        <v>0</v>
      </c>
      <c r="T76" s="45">
        <f t="shared" si="66"/>
        <v>0</v>
      </c>
      <c r="U76" s="35">
        <f>SUM(U73:U75)</f>
        <v>0</v>
      </c>
      <c r="V76" s="35">
        <f>I76+M76+Q76+U76</f>
        <v>0</v>
      </c>
    </row>
    <row r="77" spans="1:22" ht="13.15">
      <c r="A77" s="31"/>
      <c r="B77" s="32"/>
      <c r="C77" s="31"/>
      <c r="D77" s="32" t="s">
        <v>11</v>
      </c>
      <c r="E77" s="9"/>
      <c r="F77" s="139">
        <f>F52+F53+F66+F71+F76</f>
        <v>26903000</v>
      </c>
      <c r="G77" s="139">
        <f>G52+G53+G66+G71+G76</f>
        <v>26903000</v>
      </c>
      <c r="H77" s="139">
        <f>H52+H53+H66+H71+H76</f>
        <v>26903000</v>
      </c>
      <c r="I77" s="139">
        <f>I76+I71+I66+I53+I52</f>
        <v>80709000</v>
      </c>
      <c r="J77" s="139">
        <f>J52+J53+J66+J71+J76</f>
        <v>26903000</v>
      </c>
      <c r="K77" s="139">
        <f>K52+K53+K66+K71+K76</f>
        <v>26903000</v>
      </c>
      <c r="L77" s="139">
        <f>L52+L53+L66+L71+L76</f>
        <v>26903000</v>
      </c>
      <c r="M77" s="139">
        <f>M76+M71+M66+M53+M52</f>
        <v>80709000</v>
      </c>
      <c r="N77" s="139">
        <f>N52+N53+N66+N71+N76</f>
        <v>26903000</v>
      </c>
      <c r="O77" s="139">
        <f>O52+O53+O66+O71+O76</f>
        <v>26903000</v>
      </c>
      <c r="P77" s="139">
        <f>P52+P53+P66+P71+P76</f>
        <v>26903000</v>
      </c>
      <c r="Q77" s="139">
        <f>Q76+Q71+Q66+Q53+Q52</f>
        <v>80709000</v>
      </c>
      <c r="R77" s="139">
        <f>R52+R53+R66+R71+R76</f>
        <v>26903000</v>
      </c>
      <c r="S77" s="139">
        <f>S52+S53+S66+S71+S76</f>
        <v>26903000</v>
      </c>
      <c r="T77" s="139">
        <f>T52+T53+T66+T71+T76</f>
        <v>26903000</v>
      </c>
      <c r="U77" s="35">
        <f>U76+U71+U66+U53+U52</f>
        <v>80709000</v>
      </c>
      <c r="V77" s="35">
        <f>I77+M77+Q77+U77</f>
        <v>322836000</v>
      </c>
    </row>
    <row r="78" spans="1:22" ht="13.15" outlineLevel="1">
      <c r="A78" s="32" t="s">
        <v>12</v>
      </c>
      <c r="B78" s="32"/>
      <c r="C78" s="33"/>
      <c r="D78" s="33"/>
      <c r="E78" s="9"/>
      <c r="F78" s="44"/>
      <c r="G78" s="44"/>
      <c r="H78" s="44"/>
      <c r="I78" s="35"/>
      <c r="J78" s="44"/>
      <c r="K78" s="44"/>
      <c r="L78" s="44"/>
      <c r="M78" s="35"/>
      <c r="N78" s="44"/>
      <c r="O78" s="44"/>
      <c r="P78" s="44"/>
      <c r="Q78" s="35"/>
      <c r="R78" s="44"/>
      <c r="S78" s="44"/>
      <c r="T78" s="44"/>
      <c r="U78" s="35"/>
      <c r="V78" s="35"/>
    </row>
    <row r="79" spans="1:22" ht="13.15" outlineLevel="2">
      <c r="A79" s="24"/>
      <c r="B79" s="26" t="s">
        <v>13</v>
      </c>
      <c r="C79" s="27"/>
      <c r="D79" s="27"/>
      <c r="E79" s="9"/>
      <c r="F79" s="129"/>
      <c r="G79" s="129"/>
      <c r="H79" s="129"/>
      <c r="I79" s="36"/>
      <c r="J79" s="129"/>
      <c r="K79" s="129"/>
      <c r="L79" s="129"/>
      <c r="M79" s="36"/>
      <c r="N79" s="129"/>
      <c r="O79" s="129"/>
      <c r="P79" s="129"/>
      <c r="Q79" s="36"/>
      <c r="R79" s="129"/>
      <c r="S79" s="129"/>
      <c r="T79" s="129"/>
      <c r="U79" s="36"/>
      <c r="V79" s="36"/>
    </row>
    <row r="80" spans="1:22" ht="13.15" outlineLevel="2">
      <c r="A80" s="24"/>
      <c r="B80" s="27"/>
      <c r="C80" s="28" t="s">
        <v>66</v>
      </c>
      <c r="D80" s="27"/>
      <c r="E80" s="9">
        <v>0</v>
      </c>
      <c r="F80" s="96"/>
      <c r="G80" s="96"/>
      <c r="H80" s="96"/>
      <c r="I80" s="34">
        <f t="shared" ref="I80:I87" si="67">SUM(F80:H80)</f>
        <v>0</v>
      </c>
      <c r="J80" s="96"/>
      <c r="K80" s="96"/>
      <c r="L80" s="96"/>
      <c r="M80" s="34">
        <f t="shared" ref="M80:M87" si="68">SUM(J80:L80)</f>
        <v>0</v>
      </c>
      <c r="N80" s="96"/>
      <c r="O80" s="96"/>
      <c r="P80" s="96"/>
      <c r="Q80" s="34">
        <f t="shared" ref="Q80:Q87" si="69">SUM(N80:P80)</f>
        <v>0</v>
      </c>
      <c r="R80" s="96"/>
      <c r="S80" s="96"/>
      <c r="T80" s="96"/>
      <c r="U80" s="34">
        <f t="shared" ref="U80:U87" si="70">SUM(R80:T80)</f>
        <v>0</v>
      </c>
      <c r="V80" s="34">
        <f t="shared" ref="V80:V97" si="71">I80+M80+Q80+U80</f>
        <v>0</v>
      </c>
    </row>
    <row r="81" spans="1:22" ht="13.15" outlineLevel="2">
      <c r="A81" s="24"/>
      <c r="B81" s="27"/>
      <c r="C81" s="28" t="s">
        <v>67</v>
      </c>
      <c r="D81" s="27"/>
      <c r="E81" s="9">
        <v>0</v>
      </c>
      <c r="F81" s="96"/>
      <c r="G81" s="96"/>
      <c r="H81" s="96"/>
      <c r="I81" s="34">
        <f t="shared" si="67"/>
        <v>0</v>
      </c>
      <c r="J81" s="96"/>
      <c r="K81" s="96"/>
      <c r="L81" s="96"/>
      <c r="M81" s="34">
        <f t="shared" si="68"/>
        <v>0</v>
      </c>
      <c r="N81" s="96"/>
      <c r="O81" s="96"/>
      <c r="P81" s="96"/>
      <c r="Q81" s="34">
        <f t="shared" si="69"/>
        <v>0</v>
      </c>
      <c r="R81" s="96"/>
      <c r="S81" s="96"/>
      <c r="T81" s="96"/>
      <c r="U81" s="34">
        <f t="shared" si="70"/>
        <v>0</v>
      </c>
      <c r="V81" s="34">
        <f t="shared" si="71"/>
        <v>0</v>
      </c>
    </row>
    <row r="82" spans="1:22" ht="13.15" outlineLevel="2">
      <c r="A82" s="24"/>
      <c r="B82" s="27"/>
      <c r="C82" s="28" t="s">
        <v>100</v>
      </c>
      <c r="D82" s="27"/>
      <c r="E82" s="9">
        <v>0</v>
      </c>
      <c r="F82" s="96"/>
      <c r="G82" s="96"/>
      <c r="H82" s="96"/>
      <c r="I82" s="34">
        <f t="shared" si="67"/>
        <v>0</v>
      </c>
      <c r="J82" s="96"/>
      <c r="K82" s="96"/>
      <c r="L82" s="96"/>
      <c r="M82" s="34">
        <f t="shared" si="68"/>
        <v>0</v>
      </c>
      <c r="N82" s="96"/>
      <c r="O82" s="96"/>
      <c r="P82" s="96"/>
      <c r="Q82" s="34">
        <f t="shared" si="69"/>
        <v>0</v>
      </c>
      <c r="R82" s="96"/>
      <c r="S82" s="96"/>
      <c r="T82" s="96"/>
      <c r="U82" s="34">
        <f t="shared" si="70"/>
        <v>0</v>
      </c>
      <c r="V82" s="34">
        <f t="shared" si="71"/>
        <v>0</v>
      </c>
    </row>
    <row r="83" spans="1:22" ht="13.15" outlineLevel="2">
      <c r="A83" s="24"/>
      <c r="B83" s="27"/>
      <c r="C83" s="28" t="s">
        <v>99</v>
      </c>
      <c r="D83" s="27"/>
      <c r="E83" s="9"/>
      <c r="F83" s="96"/>
      <c r="G83" s="96"/>
      <c r="H83" s="96"/>
      <c r="I83" s="34">
        <f t="shared" si="67"/>
        <v>0</v>
      </c>
      <c r="J83" s="96"/>
      <c r="K83" s="96"/>
      <c r="L83" s="96"/>
      <c r="M83" s="34">
        <f t="shared" si="68"/>
        <v>0</v>
      </c>
      <c r="N83" s="96"/>
      <c r="O83" s="96"/>
      <c r="P83" s="96"/>
      <c r="Q83" s="34">
        <f t="shared" si="69"/>
        <v>0</v>
      </c>
      <c r="R83" s="96"/>
      <c r="S83" s="96"/>
      <c r="T83" s="96"/>
      <c r="U83" s="34">
        <f t="shared" si="70"/>
        <v>0</v>
      </c>
      <c r="V83" s="34">
        <f t="shared" si="71"/>
        <v>0</v>
      </c>
    </row>
    <row r="84" spans="1:22" ht="13.15" outlineLevel="2">
      <c r="A84" s="24"/>
      <c r="B84" s="27"/>
      <c r="C84" s="28" t="s">
        <v>101</v>
      </c>
      <c r="D84" s="27"/>
      <c r="E84" s="9"/>
      <c r="F84" s="96"/>
      <c r="G84" s="96"/>
      <c r="H84" s="96"/>
      <c r="I84" s="34">
        <f t="shared" si="67"/>
        <v>0</v>
      </c>
      <c r="J84" s="96"/>
      <c r="K84" s="96"/>
      <c r="L84" s="96"/>
      <c r="M84" s="34">
        <f t="shared" si="68"/>
        <v>0</v>
      </c>
      <c r="N84" s="96"/>
      <c r="O84" s="96"/>
      <c r="P84" s="96"/>
      <c r="Q84" s="34">
        <f t="shared" si="69"/>
        <v>0</v>
      </c>
      <c r="R84" s="96"/>
      <c r="S84" s="96"/>
      <c r="T84" s="96"/>
      <c r="U84" s="34">
        <f t="shared" si="70"/>
        <v>0</v>
      </c>
      <c r="V84" s="34">
        <f t="shared" si="71"/>
        <v>0</v>
      </c>
    </row>
    <row r="85" spans="1:22" ht="13.15" outlineLevel="2">
      <c r="A85" s="24"/>
      <c r="B85" s="27"/>
      <c r="C85" s="28" t="s">
        <v>41</v>
      </c>
      <c r="D85" s="27"/>
      <c r="E85" s="9">
        <v>0</v>
      </c>
      <c r="F85" s="96"/>
      <c r="G85" s="96"/>
      <c r="H85" s="96"/>
      <c r="I85" s="34">
        <f t="shared" si="67"/>
        <v>0</v>
      </c>
      <c r="J85" s="96"/>
      <c r="K85" s="96"/>
      <c r="L85" s="96"/>
      <c r="M85" s="34">
        <f t="shared" si="68"/>
        <v>0</v>
      </c>
      <c r="N85" s="96"/>
      <c r="O85" s="96"/>
      <c r="P85" s="96"/>
      <c r="Q85" s="34">
        <f t="shared" si="69"/>
        <v>0</v>
      </c>
      <c r="R85" s="96"/>
      <c r="S85" s="96"/>
      <c r="T85" s="96"/>
      <c r="U85" s="34">
        <f t="shared" si="70"/>
        <v>0</v>
      </c>
      <c r="V85" s="34">
        <f t="shared" si="71"/>
        <v>0</v>
      </c>
    </row>
    <row r="86" spans="1:22" ht="13.15" outlineLevel="2">
      <c r="A86" s="24"/>
      <c r="B86" s="27"/>
      <c r="C86" s="28" t="s">
        <v>114</v>
      </c>
      <c r="D86" s="27"/>
      <c r="E86" s="9">
        <v>0</v>
      </c>
      <c r="F86" s="96"/>
      <c r="G86" s="96"/>
      <c r="H86" s="96"/>
      <c r="I86" s="34">
        <f t="shared" si="67"/>
        <v>0</v>
      </c>
      <c r="J86" s="96"/>
      <c r="K86" s="96"/>
      <c r="L86" s="96"/>
      <c r="M86" s="34">
        <f t="shared" si="68"/>
        <v>0</v>
      </c>
      <c r="N86" s="96"/>
      <c r="O86" s="96"/>
      <c r="P86" s="96"/>
      <c r="Q86" s="34">
        <f t="shared" si="69"/>
        <v>0</v>
      </c>
      <c r="R86" s="96"/>
      <c r="S86" s="96"/>
      <c r="T86" s="96"/>
      <c r="U86" s="34">
        <f t="shared" si="70"/>
        <v>0</v>
      </c>
      <c r="V86" s="34">
        <f t="shared" si="71"/>
        <v>0</v>
      </c>
    </row>
    <row r="87" spans="1:22" ht="13.15" outlineLevel="2">
      <c r="A87" s="24"/>
      <c r="B87" s="27"/>
      <c r="C87" s="28" t="s">
        <v>105</v>
      </c>
      <c r="D87" s="27"/>
      <c r="E87" s="9">
        <v>0</v>
      </c>
      <c r="F87" s="96">
        <v>3210000</v>
      </c>
      <c r="G87" s="96">
        <v>2000000</v>
      </c>
      <c r="H87" s="96">
        <v>2000000</v>
      </c>
      <c r="I87" s="34">
        <f t="shared" si="67"/>
        <v>7210000</v>
      </c>
      <c r="J87" s="96">
        <v>2000000</v>
      </c>
      <c r="K87" s="96">
        <v>2000000</v>
      </c>
      <c r="L87" s="96">
        <v>2000000</v>
      </c>
      <c r="M87" s="34">
        <f t="shared" si="68"/>
        <v>6000000</v>
      </c>
      <c r="N87" s="96">
        <v>2000000</v>
      </c>
      <c r="O87" s="96">
        <v>2000000</v>
      </c>
      <c r="P87" s="96">
        <v>2000000</v>
      </c>
      <c r="Q87" s="34">
        <f t="shared" si="69"/>
        <v>6000000</v>
      </c>
      <c r="R87" s="96">
        <v>2000000</v>
      </c>
      <c r="S87" s="96">
        <v>2000000</v>
      </c>
      <c r="T87" s="96">
        <v>2000000</v>
      </c>
      <c r="U87" s="34">
        <f t="shared" si="70"/>
        <v>6000000</v>
      </c>
      <c r="V87" s="34">
        <f t="shared" si="71"/>
        <v>25210000</v>
      </c>
    </row>
    <row r="88" spans="1:22" ht="13.15" outlineLevel="1">
      <c r="A88" s="24"/>
      <c r="B88" s="30" t="s">
        <v>14</v>
      </c>
      <c r="C88" s="30"/>
      <c r="D88" s="30"/>
      <c r="E88" s="10"/>
      <c r="F88" s="45">
        <f t="shared" ref="F88:Q89" si="72">SUM(F80:F87)</f>
        <v>3210000</v>
      </c>
      <c r="G88" s="45">
        <f t="shared" si="72"/>
        <v>2000000</v>
      </c>
      <c r="H88" s="45">
        <f t="shared" si="72"/>
        <v>2000000</v>
      </c>
      <c r="I88" s="35">
        <f t="shared" si="72"/>
        <v>7210000</v>
      </c>
      <c r="J88" s="45">
        <f t="shared" ref="J88:L88" si="73">SUM(J80:J87)</f>
        <v>2000000</v>
      </c>
      <c r="K88" s="45">
        <f t="shared" si="73"/>
        <v>2000000</v>
      </c>
      <c r="L88" s="45">
        <f t="shared" si="73"/>
        <v>2000000</v>
      </c>
      <c r="M88" s="35">
        <f t="shared" si="72"/>
        <v>6000000</v>
      </c>
      <c r="N88" s="45">
        <f t="shared" ref="N88:P88" si="74">SUM(N80:N87)</f>
        <v>2000000</v>
      </c>
      <c r="O88" s="45">
        <f t="shared" si="74"/>
        <v>2000000</v>
      </c>
      <c r="P88" s="45">
        <f t="shared" si="74"/>
        <v>2000000</v>
      </c>
      <c r="Q88" s="35">
        <f t="shared" si="72"/>
        <v>6000000</v>
      </c>
      <c r="R88" s="45">
        <f t="shared" ref="R88:T88" si="75">SUM(R80:R87)</f>
        <v>2000000</v>
      </c>
      <c r="S88" s="45">
        <f t="shared" si="75"/>
        <v>2000000</v>
      </c>
      <c r="T88" s="45">
        <f t="shared" si="75"/>
        <v>2000000</v>
      </c>
      <c r="U88" s="35">
        <f t="shared" ref="U88:U89" si="76">SUM(U80:U87)</f>
        <v>6000000</v>
      </c>
      <c r="V88" s="35">
        <f t="shared" si="71"/>
        <v>25210000</v>
      </c>
    </row>
    <row r="89" spans="1:22" s="4" customFormat="1" ht="13.15" outlineLevel="1">
      <c r="A89" s="24"/>
      <c r="B89" s="24" t="s">
        <v>15</v>
      </c>
      <c r="C89" s="24"/>
      <c r="D89" s="24"/>
      <c r="E89" s="8">
        <v>0</v>
      </c>
      <c r="F89" s="44">
        <v>0</v>
      </c>
      <c r="G89" s="44">
        <v>0</v>
      </c>
      <c r="H89" s="44">
        <v>0</v>
      </c>
      <c r="I89" s="35">
        <f t="shared" si="72"/>
        <v>14420000</v>
      </c>
      <c r="J89" s="44">
        <v>0</v>
      </c>
      <c r="K89" s="44">
        <v>0</v>
      </c>
      <c r="L89" s="44">
        <v>0</v>
      </c>
      <c r="M89" s="35">
        <f t="shared" si="72"/>
        <v>12000000</v>
      </c>
      <c r="N89" s="44">
        <v>0</v>
      </c>
      <c r="O89" s="44">
        <v>0</v>
      </c>
      <c r="P89" s="44">
        <v>0</v>
      </c>
      <c r="Q89" s="35">
        <f t="shared" si="72"/>
        <v>12000000</v>
      </c>
      <c r="R89" s="44">
        <v>0</v>
      </c>
      <c r="S89" s="44">
        <v>0</v>
      </c>
      <c r="T89" s="44">
        <v>0</v>
      </c>
      <c r="U89" s="35">
        <f t="shared" si="76"/>
        <v>12000000</v>
      </c>
      <c r="V89" s="35">
        <f t="shared" si="71"/>
        <v>50420000</v>
      </c>
    </row>
    <row r="90" spans="1:22" ht="13.15" outlineLevel="2">
      <c r="A90" s="24"/>
      <c r="B90" s="26" t="s">
        <v>16</v>
      </c>
      <c r="C90" s="27"/>
      <c r="D90" s="27"/>
      <c r="E90" s="9"/>
      <c r="F90" s="129"/>
      <c r="G90" s="129"/>
      <c r="H90" s="129"/>
      <c r="I90" s="34">
        <f t="shared" ref="I90:I96" si="77">SUM(F90:H90)</f>
        <v>0</v>
      </c>
      <c r="J90" s="129"/>
      <c r="K90" s="129"/>
      <c r="L90" s="129"/>
      <c r="M90" s="34">
        <f t="shared" ref="M90:M96" si="78">SUM(J90:L90)</f>
        <v>0</v>
      </c>
      <c r="N90" s="129"/>
      <c r="O90" s="129"/>
      <c r="P90" s="129"/>
      <c r="Q90" s="34">
        <f t="shared" ref="Q90:Q96" si="79">SUM(N90:P90)</f>
        <v>0</v>
      </c>
      <c r="R90" s="129"/>
      <c r="S90" s="129"/>
      <c r="T90" s="129"/>
      <c r="U90" s="34">
        <f t="shared" ref="U90:U96" si="80">SUM(R90:T90)</f>
        <v>0</v>
      </c>
      <c r="V90" s="34">
        <f t="shared" si="71"/>
        <v>0</v>
      </c>
    </row>
    <row r="91" spans="1:22" ht="13.15" outlineLevel="2">
      <c r="A91" s="24"/>
      <c r="B91" s="27"/>
      <c r="C91" s="28" t="s">
        <v>42</v>
      </c>
      <c r="D91" s="27"/>
      <c r="E91" s="9">
        <v>0</v>
      </c>
      <c r="F91" s="43"/>
      <c r="G91" s="43"/>
      <c r="H91" s="43"/>
      <c r="I91" s="34">
        <f t="shared" si="77"/>
        <v>0</v>
      </c>
      <c r="J91" s="43"/>
      <c r="K91" s="43"/>
      <c r="L91" s="43"/>
      <c r="M91" s="34">
        <f t="shared" si="78"/>
        <v>0</v>
      </c>
      <c r="N91" s="43"/>
      <c r="O91" s="43"/>
      <c r="P91" s="43"/>
      <c r="Q91" s="34">
        <f t="shared" si="79"/>
        <v>0</v>
      </c>
      <c r="R91" s="43"/>
      <c r="S91" s="43"/>
      <c r="T91" s="43"/>
      <c r="U91" s="34">
        <f t="shared" si="80"/>
        <v>0</v>
      </c>
      <c r="V91" s="34">
        <f t="shared" si="71"/>
        <v>0</v>
      </c>
    </row>
    <row r="92" spans="1:22" ht="13.15" outlineLevel="2">
      <c r="A92" s="24"/>
      <c r="B92" s="27"/>
      <c r="C92" s="28" t="s">
        <v>43</v>
      </c>
      <c r="D92" s="27"/>
      <c r="E92" s="9">
        <v>0</v>
      </c>
      <c r="F92" s="43"/>
      <c r="G92" s="43">
        <v>10000</v>
      </c>
      <c r="H92" s="43">
        <v>10000</v>
      </c>
      <c r="I92" s="34">
        <f t="shared" si="77"/>
        <v>20000</v>
      </c>
      <c r="J92" s="43">
        <v>10000</v>
      </c>
      <c r="K92" s="43">
        <v>10000</v>
      </c>
      <c r="L92" s="43">
        <v>10000</v>
      </c>
      <c r="M92" s="34">
        <f t="shared" si="78"/>
        <v>30000</v>
      </c>
      <c r="N92" s="43">
        <v>10000</v>
      </c>
      <c r="O92" s="43">
        <v>10000</v>
      </c>
      <c r="P92" s="43">
        <v>10000</v>
      </c>
      <c r="Q92" s="34">
        <f t="shared" si="79"/>
        <v>30000</v>
      </c>
      <c r="R92" s="43">
        <v>10000</v>
      </c>
      <c r="S92" s="43">
        <v>10000</v>
      </c>
      <c r="T92" s="43">
        <v>10000</v>
      </c>
      <c r="U92" s="34">
        <f t="shared" si="80"/>
        <v>30000</v>
      </c>
      <c r="V92" s="34">
        <f t="shared" si="71"/>
        <v>110000</v>
      </c>
    </row>
    <row r="93" spans="1:22" ht="13.15" outlineLevel="2">
      <c r="A93" s="24"/>
      <c r="B93" s="27"/>
      <c r="C93" s="28" t="s">
        <v>53</v>
      </c>
      <c r="D93" s="27"/>
      <c r="E93" s="9">
        <v>0</v>
      </c>
      <c r="F93" s="43"/>
      <c r="G93" s="43"/>
      <c r="H93" s="43"/>
      <c r="I93" s="34">
        <f t="shared" si="77"/>
        <v>0</v>
      </c>
      <c r="J93" s="43"/>
      <c r="K93" s="43"/>
      <c r="L93" s="43"/>
      <c r="M93" s="34">
        <f t="shared" si="78"/>
        <v>0</v>
      </c>
      <c r="N93" s="43"/>
      <c r="O93" s="43"/>
      <c r="P93" s="43"/>
      <c r="Q93" s="34">
        <f t="shared" si="79"/>
        <v>0</v>
      </c>
      <c r="R93" s="43"/>
      <c r="S93" s="43"/>
      <c r="T93" s="43"/>
      <c r="U93" s="34">
        <f t="shared" si="80"/>
        <v>0</v>
      </c>
      <c r="V93" s="34">
        <f t="shared" si="71"/>
        <v>0</v>
      </c>
    </row>
    <row r="94" spans="1:22" ht="13.15" outlineLevel="2">
      <c r="A94" s="24"/>
      <c r="B94" s="27"/>
      <c r="C94" s="28" t="s">
        <v>44</v>
      </c>
      <c r="D94" s="27"/>
      <c r="E94" s="9">
        <v>0</v>
      </c>
      <c r="F94" s="43">
        <v>3000</v>
      </c>
      <c r="G94" s="43"/>
      <c r="H94" s="43"/>
      <c r="I94" s="34">
        <f t="shared" si="77"/>
        <v>3000</v>
      </c>
      <c r="J94" s="43"/>
      <c r="K94" s="43"/>
      <c r="L94" s="43"/>
      <c r="M94" s="34">
        <f t="shared" si="78"/>
        <v>0</v>
      </c>
      <c r="N94" s="43"/>
      <c r="O94" s="43"/>
      <c r="P94" s="43"/>
      <c r="Q94" s="34">
        <f t="shared" si="79"/>
        <v>0</v>
      </c>
      <c r="R94" s="43"/>
      <c r="S94" s="43"/>
      <c r="T94" s="43"/>
      <c r="U94" s="34">
        <f t="shared" si="80"/>
        <v>0</v>
      </c>
      <c r="V94" s="34">
        <f t="shared" si="71"/>
        <v>3000</v>
      </c>
    </row>
    <row r="95" spans="1:22" ht="13.15" outlineLevel="2">
      <c r="A95" s="24"/>
      <c r="B95" s="27"/>
      <c r="C95" s="28" t="s">
        <v>51</v>
      </c>
      <c r="D95" s="27"/>
      <c r="E95" s="9">
        <v>0</v>
      </c>
      <c r="F95" s="43"/>
      <c r="G95" s="43"/>
      <c r="H95" s="43"/>
      <c r="I95" s="34">
        <f t="shared" si="77"/>
        <v>0</v>
      </c>
      <c r="J95" s="43"/>
      <c r="K95" s="43"/>
      <c r="L95" s="43"/>
      <c r="M95" s="34">
        <f t="shared" si="78"/>
        <v>0</v>
      </c>
      <c r="N95" s="43"/>
      <c r="O95" s="43"/>
      <c r="P95" s="43"/>
      <c r="Q95" s="34">
        <f t="shared" si="79"/>
        <v>0</v>
      </c>
      <c r="R95" s="43"/>
      <c r="S95" s="43"/>
      <c r="T95" s="43"/>
      <c r="U95" s="34">
        <f t="shared" si="80"/>
        <v>0</v>
      </c>
      <c r="V95" s="34">
        <f t="shared" si="71"/>
        <v>0</v>
      </c>
    </row>
    <row r="96" spans="1:22" ht="13.15" outlineLevel="2">
      <c r="A96" s="24"/>
      <c r="B96" s="27"/>
      <c r="C96" s="28" t="s">
        <v>50</v>
      </c>
      <c r="D96" s="27"/>
      <c r="E96" s="9">
        <v>0</v>
      </c>
      <c r="F96" s="43"/>
      <c r="G96" s="43"/>
      <c r="H96" s="43"/>
      <c r="I96" s="34">
        <f t="shared" si="77"/>
        <v>0</v>
      </c>
      <c r="J96" s="43"/>
      <c r="K96" s="43"/>
      <c r="L96" s="43"/>
      <c r="M96" s="34">
        <f t="shared" si="78"/>
        <v>0</v>
      </c>
      <c r="N96" s="43"/>
      <c r="O96" s="43"/>
      <c r="P96" s="43"/>
      <c r="Q96" s="34">
        <f t="shared" si="79"/>
        <v>0</v>
      </c>
      <c r="R96" s="43"/>
      <c r="S96" s="43"/>
      <c r="T96" s="43"/>
      <c r="U96" s="34">
        <f t="shared" si="80"/>
        <v>0</v>
      </c>
      <c r="V96" s="34">
        <f t="shared" si="71"/>
        <v>0</v>
      </c>
    </row>
    <row r="97" spans="1:22" ht="13.15" outlineLevel="1">
      <c r="A97" s="24"/>
      <c r="B97" s="24" t="s">
        <v>17</v>
      </c>
      <c r="C97" s="24"/>
      <c r="D97" s="24"/>
      <c r="E97" s="8"/>
      <c r="F97" s="44">
        <f t="shared" ref="F97:H97" si="81">SUM(F91:F96)</f>
        <v>3000</v>
      </c>
      <c r="G97" s="44">
        <f t="shared" si="81"/>
        <v>10000</v>
      </c>
      <c r="H97" s="44">
        <f t="shared" si="81"/>
        <v>10000</v>
      </c>
      <c r="I97" s="35">
        <f>SUM(I91:I96)</f>
        <v>23000</v>
      </c>
      <c r="J97" s="44">
        <f t="shared" ref="J97:L97" si="82">SUM(J91:J96)</f>
        <v>10000</v>
      </c>
      <c r="K97" s="44">
        <f t="shared" si="82"/>
        <v>10000</v>
      </c>
      <c r="L97" s="44">
        <f t="shared" si="82"/>
        <v>10000</v>
      </c>
      <c r="M97" s="35">
        <f>SUM(M91:M96)</f>
        <v>30000</v>
      </c>
      <c r="N97" s="44">
        <f t="shared" ref="N97:P97" si="83">SUM(N91:N96)</f>
        <v>10000</v>
      </c>
      <c r="O97" s="44">
        <f t="shared" si="83"/>
        <v>10000</v>
      </c>
      <c r="P97" s="44">
        <f t="shared" si="83"/>
        <v>10000</v>
      </c>
      <c r="Q97" s="35">
        <f>SUM(Q91:Q96)</f>
        <v>30000</v>
      </c>
      <c r="R97" s="44">
        <f t="shared" ref="R97:T97" si="84">SUM(R91:R96)</f>
        <v>10000</v>
      </c>
      <c r="S97" s="44">
        <f t="shared" si="84"/>
        <v>10000</v>
      </c>
      <c r="T97" s="44">
        <f t="shared" si="84"/>
        <v>10000</v>
      </c>
      <c r="U97" s="35">
        <f>SUM(U91:U96)</f>
        <v>30000</v>
      </c>
      <c r="V97" s="35">
        <f t="shared" si="71"/>
        <v>113000</v>
      </c>
    </row>
    <row r="98" spans="1:22" ht="13.15" outlineLevel="2">
      <c r="A98" s="24"/>
      <c r="B98" s="26" t="s">
        <v>18</v>
      </c>
      <c r="C98" s="27"/>
      <c r="D98" s="27"/>
      <c r="E98" s="9"/>
      <c r="F98" s="129"/>
      <c r="G98" s="129"/>
      <c r="H98" s="129"/>
      <c r="I98" s="36"/>
      <c r="J98" s="129"/>
      <c r="K98" s="129"/>
      <c r="L98" s="129"/>
      <c r="M98" s="36"/>
      <c r="N98" s="129"/>
      <c r="O98" s="129"/>
      <c r="P98" s="129"/>
      <c r="Q98" s="36"/>
      <c r="R98" s="129"/>
      <c r="S98" s="129"/>
      <c r="T98" s="129"/>
      <c r="U98" s="36"/>
      <c r="V98" s="36"/>
    </row>
    <row r="99" spans="1:22" ht="13.15" outlineLevel="2">
      <c r="A99" s="24"/>
      <c r="B99" s="27"/>
      <c r="C99" s="28" t="s">
        <v>68</v>
      </c>
      <c r="D99" s="27"/>
      <c r="E99" s="9">
        <v>0</v>
      </c>
      <c r="F99" s="96"/>
      <c r="G99" s="96"/>
      <c r="H99" s="96"/>
      <c r="I99" s="34">
        <f t="shared" ref="I99:I105" si="85">SUM(F99:H99)</f>
        <v>0</v>
      </c>
      <c r="J99" s="96"/>
      <c r="K99" s="96"/>
      <c r="L99" s="96"/>
      <c r="M99" s="34">
        <f t="shared" ref="M99:M105" si="86">SUM(J99:L99)</f>
        <v>0</v>
      </c>
      <c r="N99" s="96"/>
      <c r="O99" s="96"/>
      <c r="P99" s="96"/>
      <c r="Q99" s="34">
        <f t="shared" ref="Q99:Q105" si="87">SUM(N99:P99)</f>
        <v>0</v>
      </c>
      <c r="R99" s="96"/>
      <c r="S99" s="96"/>
      <c r="T99" s="96"/>
      <c r="U99" s="34">
        <f t="shared" ref="U99:U105" si="88">SUM(R99:T99)</f>
        <v>0</v>
      </c>
      <c r="V99" s="34">
        <f t="shared" ref="V99:V106" si="89">I99+M99+Q99+U99</f>
        <v>0</v>
      </c>
    </row>
    <row r="100" spans="1:22" ht="13.15" outlineLevel="2">
      <c r="A100" s="24"/>
      <c r="B100" s="27"/>
      <c r="C100" s="28" t="s">
        <v>45</v>
      </c>
      <c r="D100" s="27"/>
      <c r="E100" s="9">
        <v>0</v>
      </c>
      <c r="F100" s="96"/>
      <c r="G100" s="96"/>
      <c r="H100" s="96"/>
      <c r="I100" s="34">
        <f t="shared" si="85"/>
        <v>0</v>
      </c>
      <c r="J100" s="96"/>
      <c r="K100" s="96"/>
      <c r="L100" s="96"/>
      <c r="M100" s="34">
        <f t="shared" si="86"/>
        <v>0</v>
      </c>
      <c r="N100" s="96"/>
      <c r="O100" s="96"/>
      <c r="P100" s="96"/>
      <c r="Q100" s="34">
        <f t="shared" si="87"/>
        <v>0</v>
      </c>
      <c r="R100" s="96"/>
      <c r="S100" s="96"/>
      <c r="T100" s="96"/>
      <c r="U100" s="34">
        <f t="shared" si="88"/>
        <v>0</v>
      </c>
      <c r="V100" s="34">
        <f t="shared" si="89"/>
        <v>0</v>
      </c>
    </row>
    <row r="101" spans="1:22" ht="13.15" outlineLevel="2">
      <c r="A101" s="24"/>
      <c r="B101" s="27"/>
      <c r="C101" s="28" t="s">
        <v>94</v>
      </c>
      <c r="D101" s="27"/>
      <c r="E101" s="9">
        <v>0</v>
      </c>
      <c r="F101" s="96"/>
      <c r="G101" s="96"/>
      <c r="H101" s="96"/>
      <c r="I101" s="34">
        <f t="shared" si="85"/>
        <v>0</v>
      </c>
      <c r="J101" s="96"/>
      <c r="K101" s="96"/>
      <c r="L101" s="96"/>
      <c r="M101" s="34">
        <f t="shared" si="86"/>
        <v>0</v>
      </c>
      <c r="N101" s="96"/>
      <c r="O101" s="96"/>
      <c r="P101" s="96"/>
      <c r="Q101" s="34">
        <f t="shared" si="87"/>
        <v>0</v>
      </c>
      <c r="R101" s="96"/>
      <c r="S101" s="96"/>
      <c r="T101" s="96"/>
      <c r="U101" s="34">
        <f t="shared" si="88"/>
        <v>0</v>
      </c>
      <c r="V101" s="34">
        <f t="shared" si="89"/>
        <v>0</v>
      </c>
    </row>
    <row r="102" spans="1:22" ht="13.15" outlineLevel="2">
      <c r="A102" s="24"/>
      <c r="B102" s="27"/>
      <c r="C102" s="28" t="s">
        <v>46</v>
      </c>
      <c r="D102" s="27"/>
      <c r="E102" s="9">
        <v>0</v>
      </c>
      <c r="F102" s="96"/>
      <c r="G102" s="96"/>
      <c r="H102" s="96"/>
      <c r="I102" s="34">
        <f t="shared" si="85"/>
        <v>0</v>
      </c>
      <c r="J102" s="96"/>
      <c r="K102" s="96"/>
      <c r="L102" s="96"/>
      <c r="M102" s="34">
        <f t="shared" si="86"/>
        <v>0</v>
      </c>
      <c r="N102" s="96"/>
      <c r="O102" s="96"/>
      <c r="P102" s="96"/>
      <c r="Q102" s="34">
        <f t="shared" si="87"/>
        <v>0</v>
      </c>
      <c r="R102" s="96"/>
      <c r="S102" s="96"/>
      <c r="T102" s="96"/>
      <c r="U102" s="34">
        <f t="shared" si="88"/>
        <v>0</v>
      </c>
      <c r="V102" s="34">
        <f t="shared" si="89"/>
        <v>0</v>
      </c>
    </row>
    <row r="103" spans="1:22" ht="13.15" outlineLevel="2">
      <c r="A103" s="24"/>
      <c r="B103" s="27"/>
      <c r="C103" s="28" t="s">
        <v>111</v>
      </c>
      <c r="D103" s="27"/>
      <c r="E103" s="9">
        <v>0</v>
      </c>
      <c r="F103" s="96"/>
      <c r="G103" s="96"/>
      <c r="H103" s="96"/>
      <c r="I103" s="34">
        <f t="shared" si="85"/>
        <v>0</v>
      </c>
      <c r="J103" s="96"/>
      <c r="K103" s="96"/>
      <c r="L103" s="96"/>
      <c r="M103" s="34">
        <f t="shared" si="86"/>
        <v>0</v>
      </c>
      <c r="N103" s="96"/>
      <c r="O103" s="96"/>
      <c r="P103" s="96"/>
      <c r="Q103" s="34">
        <f t="shared" si="87"/>
        <v>0</v>
      </c>
      <c r="R103" s="96"/>
      <c r="S103" s="96"/>
      <c r="T103" s="96"/>
      <c r="U103" s="34">
        <f t="shared" si="88"/>
        <v>0</v>
      </c>
      <c r="V103" s="34">
        <f t="shared" si="89"/>
        <v>0</v>
      </c>
    </row>
    <row r="104" spans="1:22" ht="13.15" outlineLevel="2">
      <c r="A104" s="24"/>
      <c r="B104" s="27"/>
      <c r="C104" s="28" t="s">
        <v>115</v>
      </c>
      <c r="D104" s="27"/>
      <c r="E104" s="9">
        <v>0</v>
      </c>
      <c r="F104" s="96"/>
      <c r="G104" s="96"/>
      <c r="H104" s="96"/>
      <c r="I104" s="34">
        <f t="shared" si="85"/>
        <v>0</v>
      </c>
      <c r="J104" s="96"/>
      <c r="K104" s="96"/>
      <c r="L104" s="96"/>
      <c r="M104" s="34">
        <f t="shared" si="86"/>
        <v>0</v>
      </c>
      <c r="N104" s="96"/>
      <c r="O104" s="96"/>
      <c r="P104" s="96"/>
      <c r="Q104" s="34">
        <f t="shared" si="87"/>
        <v>0</v>
      </c>
      <c r="R104" s="96"/>
      <c r="S104" s="96"/>
      <c r="T104" s="96"/>
      <c r="U104" s="34">
        <f t="shared" si="88"/>
        <v>0</v>
      </c>
      <c r="V104" s="34">
        <f t="shared" si="89"/>
        <v>0</v>
      </c>
    </row>
    <row r="105" spans="1:22" ht="13.15" outlineLevel="2">
      <c r="A105" s="24"/>
      <c r="B105" s="27"/>
      <c r="C105" s="28" t="s">
        <v>26</v>
      </c>
      <c r="D105" s="27"/>
      <c r="E105" s="9"/>
      <c r="F105" s="96"/>
      <c r="G105" s="96">
        <v>100000</v>
      </c>
      <c r="H105" s="96">
        <v>100000</v>
      </c>
      <c r="I105" s="34">
        <f t="shared" si="85"/>
        <v>200000</v>
      </c>
      <c r="J105" s="96">
        <v>100000</v>
      </c>
      <c r="K105" s="96">
        <v>100000</v>
      </c>
      <c r="L105" s="96">
        <v>100000</v>
      </c>
      <c r="M105" s="34">
        <f t="shared" si="86"/>
        <v>300000</v>
      </c>
      <c r="N105" s="96">
        <v>100000</v>
      </c>
      <c r="O105" s="96">
        <v>100000</v>
      </c>
      <c r="P105" s="96">
        <v>100000</v>
      </c>
      <c r="Q105" s="34">
        <f t="shared" si="87"/>
        <v>300000</v>
      </c>
      <c r="R105" s="96">
        <v>100000</v>
      </c>
      <c r="S105" s="96">
        <v>100000</v>
      </c>
      <c r="T105" s="96">
        <v>100000</v>
      </c>
      <c r="U105" s="34">
        <f t="shared" si="88"/>
        <v>300000</v>
      </c>
      <c r="V105" s="34">
        <f t="shared" si="89"/>
        <v>1100000</v>
      </c>
    </row>
    <row r="106" spans="1:22" ht="13.15" outlineLevel="1">
      <c r="A106" s="24"/>
      <c r="B106" s="29" t="s">
        <v>19</v>
      </c>
      <c r="C106" s="30"/>
      <c r="D106" s="30"/>
      <c r="E106" s="10"/>
      <c r="F106" s="45">
        <f>SUM(F99:F105)</f>
        <v>0</v>
      </c>
      <c r="G106" s="45">
        <f>SUM(G99:G105)</f>
        <v>100000</v>
      </c>
      <c r="H106" s="45">
        <f>SUM(H99:H105)</f>
        <v>100000</v>
      </c>
      <c r="I106" s="35">
        <f t="shared" ref="I106" si="90">SUM(I99:I105)</f>
        <v>200000</v>
      </c>
      <c r="J106" s="45">
        <f>SUM(J99:J105)</f>
        <v>100000</v>
      </c>
      <c r="K106" s="45">
        <f>SUM(K99:K105)</f>
        <v>100000</v>
      </c>
      <c r="L106" s="45">
        <f>SUM(L99:L105)</f>
        <v>100000</v>
      </c>
      <c r="M106" s="35">
        <f t="shared" ref="M106" si="91">SUM(M99:M105)</f>
        <v>300000</v>
      </c>
      <c r="N106" s="45">
        <f>SUM(N99:N105)</f>
        <v>100000</v>
      </c>
      <c r="O106" s="45">
        <f>SUM(O99:O105)</f>
        <v>100000</v>
      </c>
      <c r="P106" s="45">
        <f>SUM(P99:P105)</f>
        <v>100000</v>
      </c>
      <c r="Q106" s="35">
        <f t="shared" ref="Q106" si="92">SUM(Q99:Q105)</f>
        <v>300000</v>
      </c>
      <c r="R106" s="45">
        <f>SUM(R99:R105)</f>
        <v>100000</v>
      </c>
      <c r="S106" s="45">
        <f>SUM(S99:S105)</f>
        <v>100000</v>
      </c>
      <c r="T106" s="45">
        <f>SUM(T99:T105)</f>
        <v>100000</v>
      </c>
      <c r="U106" s="35">
        <f t="shared" ref="U106" si="93">SUM(U99:U105)</f>
        <v>300000</v>
      </c>
      <c r="V106" s="35">
        <f t="shared" si="89"/>
        <v>1100000</v>
      </c>
    </row>
    <row r="107" spans="1:22" ht="13.15" outlineLevel="2">
      <c r="A107" s="24"/>
      <c r="B107" s="26" t="s">
        <v>20</v>
      </c>
      <c r="C107" s="27"/>
      <c r="D107" s="27"/>
      <c r="E107" s="9"/>
      <c r="F107" s="129"/>
      <c r="G107" s="129"/>
      <c r="H107" s="96"/>
      <c r="I107" s="36"/>
      <c r="J107" s="129"/>
      <c r="K107" s="129"/>
      <c r="L107" s="129"/>
      <c r="M107" s="36"/>
      <c r="N107" s="129"/>
      <c r="O107" s="129"/>
      <c r="P107" s="129"/>
      <c r="Q107" s="36"/>
      <c r="R107" s="129"/>
      <c r="S107" s="129"/>
      <c r="T107" s="129"/>
      <c r="U107" s="36"/>
      <c r="V107" s="36"/>
    </row>
    <row r="108" spans="1:22" ht="13.15" outlineLevel="2">
      <c r="A108" s="24"/>
      <c r="B108" s="27"/>
      <c r="C108" s="28" t="s">
        <v>29</v>
      </c>
      <c r="D108" s="27"/>
      <c r="E108" s="9">
        <v>0</v>
      </c>
      <c r="F108" s="96"/>
      <c r="G108" s="96"/>
      <c r="H108" s="96">
        <v>0</v>
      </c>
      <c r="I108" s="34">
        <f t="shared" ref="I108:I112" si="94">SUM(F108:H108)</f>
        <v>0</v>
      </c>
      <c r="J108" s="96"/>
      <c r="K108" s="96"/>
      <c r="L108" s="96"/>
      <c r="M108" s="34">
        <f t="shared" ref="M108:M112" si="95">SUM(J108:L108)</f>
        <v>0</v>
      </c>
      <c r="N108" s="96"/>
      <c r="O108" s="96"/>
      <c r="P108" s="96"/>
      <c r="Q108" s="34">
        <f t="shared" ref="Q108:Q112" si="96">SUM(N108:P108)</f>
        <v>0</v>
      </c>
      <c r="R108" s="96"/>
      <c r="S108" s="96"/>
      <c r="T108" s="96"/>
      <c r="U108" s="34">
        <f t="shared" ref="U108:U112" si="97">SUM(R108:T108)</f>
        <v>0</v>
      </c>
      <c r="V108" s="34">
        <f t="shared" ref="V108:V117" si="98">I108+M108+Q108+U108</f>
        <v>0</v>
      </c>
    </row>
    <row r="109" spans="1:22" ht="13.15" outlineLevel="2">
      <c r="A109" s="24"/>
      <c r="B109" s="27"/>
      <c r="C109" s="28" t="s">
        <v>33</v>
      </c>
      <c r="D109" s="27"/>
      <c r="E109" s="9">
        <v>0</v>
      </c>
      <c r="F109" s="96"/>
      <c r="G109" s="96"/>
      <c r="H109" s="96"/>
      <c r="I109" s="34">
        <f t="shared" si="94"/>
        <v>0</v>
      </c>
      <c r="J109" s="96"/>
      <c r="K109" s="96"/>
      <c r="L109" s="96"/>
      <c r="M109" s="34">
        <f t="shared" si="95"/>
        <v>0</v>
      </c>
      <c r="N109" s="96"/>
      <c r="O109" s="96"/>
      <c r="P109" s="96"/>
      <c r="Q109" s="34">
        <f t="shared" si="96"/>
        <v>0</v>
      </c>
      <c r="R109" s="96"/>
      <c r="S109" s="96"/>
      <c r="T109" s="96"/>
      <c r="U109" s="34">
        <f t="shared" si="97"/>
        <v>0</v>
      </c>
      <c r="V109" s="34">
        <f t="shared" si="98"/>
        <v>0</v>
      </c>
    </row>
    <row r="110" spans="1:22" ht="13.15" outlineLevel="2">
      <c r="A110" s="24"/>
      <c r="B110" s="27"/>
      <c r="C110" s="28" t="s">
        <v>95</v>
      </c>
      <c r="D110" s="27"/>
      <c r="E110" s="9"/>
      <c r="F110" s="96"/>
      <c r="G110" s="96"/>
      <c r="H110" s="96"/>
      <c r="I110" s="34">
        <f t="shared" si="94"/>
        <v>0</v>
      </c>
      <c r="J110" s="96"/>
      <c r="K110" s="96"/>
      <c r="L110" s="96"/>
      <c r="M110" s="34">
        <f t="shared" si="95"/>
        <v>0</v>
      </c>
      <c r="N110" s="96"/>
      <c r="O110" s="96"/>
      <c r="P110" s="96"/>
      <c r="Q110" s="34">
        <f t="shared" si="96"/>
        <v>0</v>
      </c>
      <c r="R110" s="96"/>
      <c r="S110" s="96"/>
      <c r="T110" s="96"/>
      <c r="U110" s="34">
        <f t="shared" si="97"/>
        <v>0</v>
      </c>
      <c r="V110" s="34">
        <f t="shared" si="98"/>
        <v>0</v>
      </c>
    </row>
    <row r="111" spans="1:22" ht="13.15" outlineLevel="2">
      <c r="A111" s="24"/>
      <c r="B111" s="27"/>
      <c r="C111" s="28" t="s">
        <v>63</v>
      </c>
      <c r="D111" s="27"/>
      <c r="E111" s="9"/>
      <c r="F111" s="96"/>
      <c r="G111" s="96"/>
      <c r="H111" s="96"/>
      <c r="I111" s="34">
        <f t="shared" si="94"/>
        <v>0</v>
      </c>
      <c r="J111" s="96"/>
      <c r="K111" s="96"/>
      <c r="L111" s="96"/>
      <c r="M111" s="34">
        <f t="shared" si="95"/>
        <v>0</v>
      </c>
      <c r="N111" s="96"/>
      <c r="O111" s="96"/>
      <c r="P111" s="96"/>
      <c r="Q111" s="34">
        <f t="shared" si="96"/>
        <v>0</v>
      </c>
      <c r="R111" s="96"/>
      <c r="S111" s="96"/>
      <c r="T111" s="96"/>
      <c r="U111" s="34">
        <f t="shared" si="97"/>
        <v>0</v>
      </c>
      <c r="V111" s="34">
        <f t="shared" si="98"/>
        <v>0</v>
      </c>
    </row>
    <row r="112" spans="1:22" ht="13.15" outlineLevel="2">
      <c r="A112" s="24"/>
      <c r="B112" s="27"/>
      <c r="C112" s="28" t="s">
        <v>153</v>
      </c>
      <c r="D112" s="27"/>
      <c r="E112" s="9">
        <v>0</v>
      </c>
      <c r="F112" s="96"/>
      <c r="G112" s="96"/>
      <c r="H112" s="96"/>
      <c r="I112" s="34">
        <f t="shared" si="94"/>
        <v>0</v>
      </c>
      <c r="J112" s="96"/>
      <c r="K112" s="96"/>
      <c r="L112" s="96"/>
      <c r="M112" s="34">
        <f t="shared" si="95"/>
        <v>0</v>
      </c>
      <c r="N112" s="96"/>
      <c r="O112" s="96"/>
      <c r="P112" s="96"/>
      <c r="Q112" s="34">
        <f t="shared" si="96"/>
        <v>0</v>
      </c>
      <c r="R112" s="96"/>
      <c r="S112" s="96"/>
      <c r="T112" s="96"/>
      <c r="U112" s="34">
        <f t="shared" si="97"/>
        <v>0</v>
      </c>
      <c r="V112" s="34">
        <f t="shared" si="98"/>
        <v>0</v>
      </c>
    </row>
    <row r="113" spans="1:22" ht="13.15" outlineLevel="1">
      <c r="A113" s="24"/>
      <c r="B113" s="30" t="s">
        <v>21</v>
      </c>
      <c r="C113" s="30"/>
      <c r="D113" s="30"/>
      <c r="E113" s="10"/>
      <c r="F113" s="45">
        <f t="shared" ref="F113:U113" si="99">SUM(F108:F112)</f>
        <v>0</v>
      </c>
      <c r="G113" s="45">
        <f t="shared" si="99"/>
        <v>0</v>
      </c>
      <c r="H113" s="45">
        <f t="shared" si="99"/>
        <v>0</v>
      </c>
      <c r="I113" s="35">
        <f t="shared" si="99"/>
        <v>0</v>
      </c>
      <c r="J113" s="45">
        <f t="shared" si="99"/>
        <v>0</v>
      </c>
      <c r="K113" s="45">
        <f t="shared" si="99"/>
        <v>0</v>
      </c>
      <c r="L113" s="45">
        <f t="shared" si="99"/>
        <v>0</v>
      </c>
      <c r="M113" s="35">
        <f t="shared" si="99"/>
        <v>0</v>
      </c>
      <c r="N113" s="45">
        <f t="shared" si="99"/>
        <v>0</v>
      </c>
      <c r="O113" s="45">
        <f t="shared" si="99"/>
        <v>0</v>
      </c>
      <c r="P113" s="45">
        <f t="shared" si="99"/>
        <v>0</v>
      </c>
      <c r="Q113" s="35">
        <f t="shared" si="99"/>
        <v>0</v>
      </c>
      <c r="R113" s="45">
        <f t="shared" si="99"/>
        <v>0</v>
      </c>
      <c r="S113" s="45">
        <f t="shared" si="99"/>
        <v>0</v>
      </c>
      <c r="T113" s="45">
        <f t="shared" si="99"/>
        <v>0</v>
      </c>
      <c r="U113" s="35">
        <f t="shared" si="99"/>
        <v>0</v>
      </c>
      <c r="V113" s="35">
        <f t="shared" si="98"/>
        <v>0</v>
      </c>
    </row>
    <row r="114" spans="1:22" ht="13.15">
      <c r="A114" s="24"/>
      <c r="B114" s="24"/>
      <c r="C114" s="24"/>
      <c r="D114" s="24" t="s">
        <v>22</v>
      </c>
      <c r="E114" s="8"/>
      <c r="F114" s="44">
        <f t="shared" ref="F114:U114" si="100">F88+F89+F97+F106+F113</f>
        <v>3213000</v>
      </c>
      <c r="G114" s="44">
        <f t="shared" si="100"/>
        <v>2110000</v>
      </c>
      <c r="H114" s="44">
        <f t="shared" si="100"/>
        <v>2110000</v>
      </c>
      <c r="I114" s="35">
        <f t="shared" si="100"/>
        <v>21853000</v>
      </c>
      <c r="J114" s="44">
        <f t="shared" si="100"/>
        <v>2110000</v>
      </c>
      <c r="K114" s="44">
        <f t="shared" si="100"/>
        <v>2110000</v>
      </c>
      <c r="L114" s="44">
        <f t="shared" si="100"/>
        <v>2110000</v>
      </c>
      <c r="M114" s="35">
        <f t="shared" si="100"/>
        <v>18330000</v>
      </c>
      <c r="N114" s="44">
        <f t="shared" si="100"/>
        <v>2110000</v>
      </c>
      <c r="O114" s="44">
        <f t="shared" si="100"/>
        <v>2110000</v>
      </c>
      <c r="P114" s="44">
        <f t="shared" si="100"/>
        <v>2110000</v>
      </c>
      <c r="Q114" s="35">
        <f t="shared" si="100"/>
        <v>18330000</v>
      </c>
      <c r="R114" s="44">
        <f t="shared" si="100"/>
        <v>2110000</v>
      </c>
      <c r="S114" s="44">
        <f t="shared" si="100"/>
        <v>2110000</v>
      </c>
      <c r="T114" s="44">
        <f t="shared" si="100"/>
        <v>2110000</v>
      </c>
      <c r="U114" s="35">
        <f t="shared" si="100"/>
        <v>18330000</v>
      </c>
      <c r="V114" s="35">
        <f t="shared" si="98"/>
        <v>76843000</v>
      </c>
    </row>
    <row r="115" spans="1:22" ht="13.9">
      <c r="A115" s="11" t="s">
        <v>23</v>
      </c>
      <c r="B115" s="11"/>
      <c r="C115" s="11"/>
      <c r="D115" s="11"/>
      <c r="E115" s="12"/>
      <c r="F115" s="46">
        <f t="shared" ref="F115:U115" si="101">F114+F77</f>
        <v>30116000</v>
      </c>
      <c r="G115" s="46">
        <f t="shared" si="101"/>
        <v>29013000</v>
      </c>
      <c r="H115" s="46">
        <f t="shared" si="101"/>
        <v>29013000</v>
      </c>
      <c r="I115" s="109">
        <f t="shared" si="101"/>
        <v>102562000</v>
      </c>
      <c r="J115" s="46">
        <f t="shared" si="101"/>
        <v>29013000</v>
      </c>
      <c r="K115" s="46">
        <f t="shared" si="101"/>
        <v>29013000</v>
      </c>
      <c r="L115" s="46">
        <f t="shared" si="101"/>
        <v>29013000</v>
      </c>
      <c r="M115" s="109">
        <f t="shared" si="101"/>
        <v>99039000</v>
      </c>
      <c r="N115" s="46">
        <f t="shared" si="101"/>
        <v>29013000</v>
      </c>
      <c r="O115" s="46">
        <f t="shared" si="101"/>
        <v>29013000</v>
      </c>
      <c r="P115" s="46">
        <f t="shared" si="101"/>
        <v>29013000</v>
      </c>
      <c r="Q115" s="109">
        <f t="shared" si="101"/>
        <v>99039000</v>
      </c>
      <c r="R115" s="46">
        <f t="shared" si="101"/>
        <v>29013000</v>
      </c>
      <c r="S115" s="46">
        <f t="shared" si="101"/>
        <v>29013000</v>
      </c>
      <c r="T115" s="46">
        <f t="shared" si="101"/>
        <v>29013000</v>
      </c>
      <c r="U115" s="109">
        <f t="shared" si="101"/>
        <v>99039000</v>
      </c>
      <c r="V115" s="40">
        <f>I115+M115+Q115+U115</f>
        <v>399679000</v>
      </c>
    </row>
    <row r="116" spans="1:22" s="111" customFormat="1" ht="12.75" customHeight="1">
      <c r="A116" s="462" t="s">
        <v>181</v>
      </c>
      <c r="B116" s="463"/>
      <c r="C116" s="463"/>
      <c r="D116" s="464"/>
      <c r="E116" s="8"/>
      <c r="F116" s="43"/>
      <c r="G116" s="43"/>
      <c r="H116" s="43"/>
      <c r="I116" s="34"/>
      <c r="J116" s="43"/>
      <c r="K116" s="43"/>
      <c r="L116" s="43"/>
      <c r="M116" s="34"/>
      <c r="N116" s="43"/>
      <c r="O116" s="43"/>
      <c r="P116" s="43"/>
      <c r="Q116" s="34"/>
      <c r="R116" s="43"/>
      <c r="S116" s="43"/>
      <c r="T116" s="43"/>
      <c r="U116" s="34"/>
      <c r="V116" s="34"/>
    </row>
    <row r="117" spans="1:22" s="111" customFormat="1" ht="12.75" customHeight="1">
      <c r="A117" s="125"/>
      <c r="B117" s="4"/>
      <c r="C117" s="455" t="s">
        <v>182</v>
      </c>
      <c r="D117" s="456"/>
      <c r="E117" s="8"/>
      <c r="F117" s="138">
        <f>F29-F77</f>
        <v>-25389000</v>
      </c>
      <c r="G117" s="138">
        <f>G29-G77-G102-G104</f>
        <v>3017000</v>
      </c>
      <c r="H117" s="138">
        <f>H29-H77-H102-H104</f>
        <v>3017000</v>
      </c>
      <c r="I117" s="35">
        <f>SUM(F117:H117)</f>
        <v>-19355000</v>
      </c>
      <c r="J117" s="138">
        <f>J29-J77-J102-J104</f>
        <v>3017000</v>
      </c>
      <c r="K117" s="138">
        <f>K29-K77-K102-K104</f>
        <v>3017000</v>
      </c>
      <c r="L117" s="138">
        <f>L29-L77-L102-L104</f>
        <v>3017000</v>
      </c>
      <c r="M117" s="35">
        <f>SUM(J117:L117)</f>
        <v>9051000</v>
      </c>
      <c r="N117" s="138">
        <f>N29-N77-N102-N104</f>
        <v>3017000</v>
      </c>
      <c r="O117" s="138">
        <f>O29-O77-O102-O104</f>
        <v>3017000</v>
      </c>
      <c r="P117" s="138">
        <f>P29-P77-P102-P104</f>
        <v>3017000</v>
      </c>
      <c r="Q117" s="35">
        <f>SUM(N117:P117)</f>
        <v>9051000</v>
      </c>
      <c r="R117" s="138">
        <f>R29-R77-R102-R104</f>
        <v>3017000</v>
      </c>
      <c r="S117" s="138">
        <f>S29-S77-S102-S104</f>
        <v>3017000</v>
      </c>
      <c r="T117" s="138">
        <f>T29-T77-T102-T104</f>
        <v>3017000</v>
      </c>
      <c r="U117" s="35">
        <f>SUM(R117:T117)</f>
        <v>9051000</v>
      </c>
      <c r="V117" s="35">
        <f t="shared" si="98"/>
        <v>7798000</v>
      </c>
    </row>
    <row r="118" spans="1:22" ht="13.15" thickBot="1">
      <c r="A118" s="14"/>
      <c r="B118" s="14"/>
      <c r="C118" s="14"/>
      <c r="D118" s="14"/>
      <c r="E118" s="15"/>
      <c r="F118" s="47"/>
      <c r="G118" s="47"/>
      <c r="H118" s="47"/>
      <c r="I118" s="37"/>
      <c r="J118" s="47"/>
      <c r="K118" s="47"/>
      <c r="L118" s="47"/>
      <c r="M118" s="37"/>
      <c r="N118" s="47"/>
      <c r="O118" s="47"/>
      <c r="P118" s="47"/>
      <c r="Q118" s="37"/>
      <c r="R118" s="47"/>
      <c r="S118" s="47"/>
      <c r="T118" s="47"/>
      <c r="U118" s="37"/>
      <c r="V118" s="37"/>
    </row>
    <row r="119" spans="1:22">
      <c r="A119" s="7"/>
      <c r="B119" s="7"/>
      <c r="C119" s="7"/>
      <c r="D119" s="7"/>
      <c r="F119" s="13"/>
      <c r="G119" s="13"/>
      <c r="H119" s="13"/>
      <c r="J119" s="13"/>
      <c r="K119" s="13"/>
      <c r="L119" s="13"/>
      <c r="N119" s="13" t="s">
        <v>86</v>
      </c>
      <c r="O119" s="13"/>
      <c r="P119" s="13"/>
      <c r="R119" s="13"/>
      <c r="S119" s="13"/>
      <c r="T119" s="13"/>
    </row>
    <row r="120" spans="1:22">
      <c r="D120" s="106" t="s">
        <v>232</v>
      </c>
      <c r="F120" s="194"/>
      <c r="G120" s="195"/>
      <c r="H120" s="193"/>
      <c r="I120" s="164"/>
      <c r="J120" s="195"/>
      <c r="L120" s="162"/>
      <c r="M120" s="164"/>
      <c r="N120" s="195"/>
      <c r="O120" s="195"/>
      <c r="P120" s="195"/>
      <c r="R120" s="195"/>
      <c r="S120" s="195"/>
      <c r="T120" s="195"/>
    </row>
    <row r="121" spans="1:22">
      <c r="D121" s="106" t="s">
        <v>233</v>
      </c>
      <c r="F121" s="190"/>
      <c r="G121" s="196"/>
      <c r="H121" s="197"/>
      <c r="I121" s="164"/>
      <c r="J121" s="197"/>
      <c r="K121" s="197"/>
      <c r="L121" s="162"/>
      <c r="M121" s="164"/>
      <c r="N121" s="162"/>
      <c r="O121" s="162"/>
      <c r="P121" s="195"/>
      <c r="R121" s="195"/>
      <c r="S121" s="195"/>
      <c r="T121" s="195"/>
    </row>
    <row r="122" spans="1:22" ht="13.15">
      <c r="D122" s="104" t="s">
        <v>239</v>
      </c>
      <c r="F122" s="140">
        <f>F77</f>
        <v>26903000</v>
      </c>
      <c r="G122" s="140">
        <f>G77</f>
        <v>26903000</v>
      </c>
      <c r="H122" s="140">
        <f>H77</f>
        <v>26903000</v>
      </c>
      <c r="I122" s="157">
        <f>F122+G122+H122</f>
        <v>80709000</v>
      </c>
      <c r="J122" s="140">
        <f>J77</f>
        <v>26903000</v>
      </c>
      <c r="K122" s="140">
        <f>K77</f>
        <v>26903000</v>
      </c>
      <c r="L122" s="140">
        <f>L77</f>
        <v>26903000</v>
      </c>
      <c r="M122" s="157">
        <f>J122+K122+L122</f>
        <v>80709000</v>
      </c>
      <c r="N122" s="140">
        <f>N77</f>
        <v>26903000</v>
      </c>
      <c r="O122" s="140">
        <f>O77</f>
        <v>26903000</v>
      </c>
      <c r="P122" s="140">
        <f>P77</f>
        <v>26903000</v>
      </c>
      <c r="Q122" s="157">
        <f>N122+O122+P122</f>
        <v>80709000</v>
      </c>
      <c r="R122" s="140">
        <f>R77</f>
        <v>26903000</v>
      </c>
      <c r="S122" s="140">
        <f>S77</f>
        <v>26903000</v>
      </c>
      <c r="T122" s="140">
        <f>T77</f>
        <v>26903000</v>
      </c>
      <c r="U122" s="157">
        <f>R122+S122+T122</f>
        <v>80709000</v>
      </c>
      <c r="V122" s="157">
        <f>I122+M122+Q122+U122</f>
        <v>322836000</v>
      </c>
    </row>
    <row r="123" spans="1:22" ht="13.15">
      <c r="D123" s="104" t="s">
        <v>285</v>
      </c>
      <c r="F123" s="140">
        <f>SYShin!F122</f>
        <v>6314000</v>
      </c>
      <c r="G123" s="140">
        <f>ROUND(SYShin!G122,-3)</f>
        <v>6344000</v>
      </c>
      <c r="H123" s="140">
        <f>ROUND(SYShin!H122,-3)</f>
        <v>6344000</v>
      </c>
      <c r="I123" s="157">
        <f>F123+G123+H123</f>
        <v>19002000</v>
      </c>
      <c r="J123" s="140">
        <f>ROUND(SYShin!J122,-3)</f>
        <v>6344000</v>
      </c>
      <c r="K123" s="140">
        <f>ROUND(SYShin!K122,-3)</f>
        <v>6344000</v>
      </c>
      <c r="L123" s="140">
        <f>ROUND(SYShin!L122,-3)</f>
        <v>6344000</v>
      </c>
      <c r="M123" s="157">
        <f>J123+K123+L123</f>
        <v>19032000</v>
      </c>
      <c r="N123" s="140">
        <f>ROUND(SYShin!N122,-3)</f>
        <v>6344000</v>
      </c>
      <c r="O123" s="140">
        <f>ROUND(SYShin!O122,-3)</f>
        <v>6344000</v>
      </c>
      <c r="P123" s="140">
        <f>ROUND(SYShin!P122,-3)</f>
        <v>6344000</v>
      </c>
      <c r="Q123" s="157">
        <f>N123+O123+P123</f>
        <v>19032000</v>
      </c>
      <c r="R123" s="140">
        <f>ROUND(SYShin!R122,-3)</f>
        <v>6344000</v>
      </c>
      <c r="S123" s="140">
        <f>ROUND(SYShin!S122,-3)</f>
        <v>6344000</v>
      </c>
      <c r="T123" s="140">
        <f>ROUND(SYShin!T122,-3)</f>
        <v>6344000</v>
      </c>
      <c r="U123" s="157">
        <f>R123+S123+T123</f>
        <v>19032000</v>
      </c>
      <c r="V123" s="157">
        <f>I123+M123+Q123+U123</f>
        <v>76098000</v>
      </c>
    </row>
    <row r="124" spans="1:22" ht="13.15">
      <c r="D124" s="104" t="s">
        <v>281</v>
      </c>
      <c r="F124" s="140">
        <f>F123+F122</f>
        <v>33217000</v>
      </c>
      <c r="G124" s="140">
        <f>G123+G122</f>
        <v>33247000</v>
      </c>
      <c r="H124" s="140">
        <f>H123+H122</f>
        <v>33247000</v>
      </c>
      <c r="I124" s="157">
        <f>F124+G124+H124</f>
        <v>99711000</v>
      </c>
      <c r="J124" s="140">
        <f>J123+J122</f>
        <v>33247000</v>
      </c>
      <c r="K124" s="140">
        <f>K123+K122</f>
        <v>33247000</v>
      </c>
      <c r="L124" s="140">
        <f>L123+L122</f>
        <v>33247000</v>
      </c>
      <c r="M124" s="157">
        <f>J124+K124+L124</f>
        <v>99741000</v>
      </c>
      <c r="N124" s="140">
        <f>N123+N122</f>
        <v>33247000</v>
      </c>
      <c r="O124" s="140">
        <f>O123+O122</f>
        <v>33247000</v>
      </c>
      <c r="P124" s="140">
        <f>P123+P122</f>
        <v>33247000</v>
      </c>
      <c r="Q124" s="157">
        <f>N124+O124+P124</f>
        <v>99741000</v>
      </c>
      <c r="R124" s="140">
        <f>R123+R122</f>
        <v>33247000</v>
      </c>
      <c r="S124" s="140">
        <f>S123+S122</f>
        <v>33247000</v>
      </c>
      <c r="T124" s="140">
        <f>T123+T122</f>
        <v>33247000</v>
      </c>
      <c r="U124" s="157">
        <f>R124+S124+T124</f>
        <v>99741000</v>
      </c>
      <c r="V124" s="157">
        <f>I124+M124+Q124+U124</f>
        <v>398934000</v>
      </c>
    </row>
    <row r="125" spans="1:22" ht="13.15">
      <c r="D125" s="105" t="s">
        <v>207</v>
      </c>
      <c r="F125" s="141">
        <f>ROUND((간접!F124*F124)/(TST!F124+SDT!F124+TSG!F124),-3)</f>
        <v>9888000</v>
      </c>
      <c r="G125" s="141">
        <f>ROUND((간접!G124*G124)/(TST!G124+SDT!G124+TSG!G124),-3)</f>
        <v>9514000</v>
      </c>
      <c r="H125" s="141">
        <f>ROUND((간접!H124*H124)/(TST!H124+SDT!H124+TSG!H124),-3)</f>
        <v>9514000</v>
      </c>
      <c r="I125" s="157">
        <f t="shared" ref="I125:I126" si="102">F125+G125+H125</f>
        <v>28916000</v>
      </c>
      <c r="J125" s="141">
        <f>ROUND((간접!J124*J124)/(TST!J124+SDT!J124+TSG!J124),-3)</f>
        <v>9514000</v>
      </c>
      <c r="K125" s="141">
        <f>ROUND((간접!K124*K124)/(TST!K124+SDT!K124+TSG!K124),-3)</f>
        <v>9514000</v>
      </c>
      <c r="L125" s="141">
        <f>ROUND((간접!L124*L124)/(TST!L124+SDT!L124+TSG!L124),-3)</f>
        <v>9514000</v>
      </c>
      <c r="M125" s="157">
        <f t="shared" ref="M125:M126" si="103">J125+K125+L125</f>
        <v>28542000</v>
      </c>
      <c r="N125" s="141">
        <f>ROUND((간접!N124*N124)/(TST!N124+SDT!N124+TSG!N124),-3)</f>
        <v>9514000</v>
      </c>
      <c r="O125" s="141">
        <f>ROUND((간접!O124*O124)/(TST!O124+SDT!O124+TSG!O124),-3)</f>
        <v>9514000</v>
      </c>
      <c r="P125" s="141">
        <f>ROUND((간접!P124*P124)/(TST!P124+SDT!P124+TSG!P124),-3)</f>
        <v>9514000</v>
      </c>
      <c r="Q125" s="157">
        <f t="shared" ref="Q125:Q126" si="104">N125+O125+P125</f>
        <v>28542000</v>
      </c>
      <c r="R125" s="141">
        <f>ROUND((간접!R124*R124)/(TST!R124+SDT!R124+TSG!R124),-3)</f>
        <v>9514000</v>
      </c>
      <c r="S125" s="141">
        <f>ROUND((간접!S124*S124)/(TST!S124+SDT!S124+TSG!S124),-3)</f>
        <v>9514000</v>
      </c>
      <c r="T125" s="141">
        <f>ROUND((간접!T124*T124)/(TST!T124+SDT!T124+TSG!T124),-3)</f>
        <v>9514000</v>
      </c>
      <c r="U125" s="157">
        <f t="shared" ref="U125:U126" si="105">R125+S125+T125</f>
        <v>28542000</v>
      </c>
      <c r="V125" s="157">
        <f t="shared" ref="V125:V126" si="106">I125+M125+Q125+U125</f>
        <v>114542000</v>
      </c>
    </row>
    <row r="126" spans="1:22" ht="13.15">
      <c r="D126" s="105" t="s">
        <v>208</v>
      </c>
      <c r="F126" s="141">
        <f>SUM(F122:F125)</f>
        <v>76322000</v>
      </c>
      <c r="G126" s="141">
        <f t="shared" ref="G126:H126" si="107">SUM(G122:G125)</f>
        <v>76008000</v>
      </c>
      <c r="H126" s="141">
        <f t="shared" si="107"/>
        <v>76008000</v>
      </c>
      <c r="I126" s="157">
        <f t="shared" si="102"/>
        <v>228338000</v>
      </c>
      <c r="J126" s="141">
        <f>SUM(J122:J125)</f>
        <v>76008000</v>
      </c>
      <c r="K126" s="141">
        <f t="shared" ref="K126" si="108">SUM(K122:K125)</f>
        <v>76008000</v>
      </c>
      <c r="L126" s="141">
        <f t="shared" ref="L126" si="109">SUM(L122:L125)</f>
        <v>76008000</v>
      </c>
      <c r="M126" s="157">
        <f t="shared" si="103"/>
        <v>228024000</v>
      </c>
      <c r="N126" s="141">
        <f>SUM(N122:N125)</f>
        <v>76008000</v>
      </c>
      <c r="O126" s="141">
        <f t="shared" ref="O126" si="110">SUM(O122:O125)</f>
        <v>76008000</v>
      </c>
      <c r="P126" s="141">
        <f t="shared" ref="P126" si="111">SUM(P122:P125)</f>
        <v>76008000</v>
      </c>
      <c r="Q126" s="157">
        <f t="shared" si="104"/>
        <v>228024000</v>
      </c>
      <c r="R126" s="141">
        <f>SUM(R122:R125)</f>
        <v>76008000</v>
      </c>
      <c r="S126" s="141">
        <f t="shared" ref="S126" si="112">SUM(S122:S125)</f>
        <v>76008000</v>
      </c>
      <c r="T126" s="141">
        <f t="shared" ref="T126" si="113">SUM(T122:T125)</f>
        <v>76008000</v>
      </c>
      <c r="U126" s="157">
        <f t="shared" si="105"/>
        <v>228024000</v>
      </c>
      <c r="V126" s="157">
        <f t="shared" si="106"/>
        <v>912410000</v>
      </c>
    </row>
    <row r="127" spans="1:22" ht="13.15">
      <c r="D127" s="94" t="s">
        <v>209</v>
      </c>
      <c r="F127" s="142">
        <f>F126/(SDT!F126+TST!F126+TSG!F126)</f>
        <v>0.26147879651644818</v>
      </c>
      <c r="G127" s="142">
        <f>G126/(SDT!G126+TST!G126+TSG!G126)</f>
        <v>0.26054049607173707</v>
      </c>
      <c r="H127" s="142">
        <f>H126/(SDT!H126+TST!H126+TSG!H126)</f>
        <v>0.26054049607173707</v>
      </c>
      <c r="I127" s="158">
        <f>AVERAGE(F127:H127)</f>
        <v>0.26085326288664074</v>
      </c>
      <c r="J127" s="142">
        <f>J126/(SDT!J126+TST!J126+TSG!J126)</f>
        <v>0.26054049607173707</v>
      </c>
      <c r="K127" s="142">
        <f>K126/(SDT!K126+TST!K126+TSG!K126)</f>
        <v>0.26054049607173707</v>
      </c>
      <c r="L127" s="142">
        <f>L126/(SDT!L126+TST!L126+TSG!L126)</f>
        <v>0.26054049607173707</v>
      </c>
      <c r="M127" s="158">
        <f>AVERAGE(J127:L127)</f>
        <v>0.26054049607173707</v>
      </c>
      <c r="N127" s="142">
        <f>N126/(SDT!N126+TST!N126+TSG!N126)</f>
        <v>0.26054049607173707</v>
      </c>
      <c r="O127" s="142">
        <f>O126/(SDT!O126+TST!O126+TSG!O126)</f>
        <v>0.26054049607173707</v>
      </c>
      <c r="P127" s="142">
        <f>P126/(SDT!P126+TST!P126+TSG!P126)</f>
        <v>0.26054049607173707</v>
      </c>
      <c r="Q127" s="158">
        <f>AVERAGE(N127:P127)</f>
        <v>0.26054049607173707</v>
      </c>
      <c r="R127" s="142">
        <f>R126/(SDT!R126+TST!R126+TSG!R126)</f>
        <v>0.2599070588114607</v>
      </c>
      <c r="S127" s="142">
        <f>S126/(SDT!S126+TST!S126+TSG!S126)</f>
        <v>0.26054049607173707</v>
      </c>
      <c r="T127" s="142">
        <f>T126/(SDT!T126+TST!T126+TSG!T126)</f>
        <v>0.26054049607173707</v>
      </c>
      <c r="U127" s="158">
        <f>AVERAGE(R127:T127)</f>
        <v>0.26032935031831156</v>
      </c>
      <c r="V127" s="158">
        <f>AVERAGE(I127,M127,Q127,U127)</f>
        <v>0.26056590133710661</v>
      </c>
    </row>
    <row r="128" spans="1:22" ht="13.15">
      <c r="D128" s="94"/>
      <c r="F128" s="266"/>
      <c r="G128" s="266"/>
      <c r="H128" s="266"/>
      <c r="I128" s="266"/>
      <c r="J128" s="266"/>
      <c r="K128" s="266"/>
      <c r="L128" s="266"/>
      <c r="M128" s="266"/>
      <c r="N128" s="266"/>
      <c r="O128" s="266"/>
      <c r="P128" s="266"/>
      <c r="Q128" s="266"/>
      <c r="R128" s="266"/>
      <c r="S128" s="266"/>
      <c r="T128" s="266"/>
      <c r="U128" s="266"/>
      <c r="V128" s="266"/>
    </row>
    <row r="129" spans="6:6">
      <c r="F129" s="39" t="e">
        <f>F12+#REF!</f>
        <v>#REF!</v>
      </c>
    </row>
    <row r="134" spans="6:6">
      <c r="F134" s="264"/>
    </row>
  </sheetData>
  <mergeCells count="17">
    <mergeCell ref="C117:D117"/>
    <mergeCell ref="C24:D24"/>
    <mergeCell ref="C25:D25"/>
    <mergeCell ref="A26:D26"/>
    <mergeCell ref="A28:D28"/>
    <mergeCell ref="C29:D29"/>
    <mergeCell ref="A116:D116"/>
    <mergeCell ref="A15:A25"/>
    <mergeCell ref="C15:D15"/>
    <mergeCell ref="C21:D21"/>
    <mergeCell ref="C22:D22"/>
    <mergeCell ref="C23:D23"/>
    <mergeCell ref="A3:D3"/>
    <mergeCell ref="A4:A11"/>
    <mergeCell ref="B5:B10"/>
    <mergeCell ref="A12:D12"/>
    <mergeCell ref="A14:D14"/>
  </mergeCells>
  <phoneticPr fontId="8" type="noConversion"/>
  <pageMargins left="0.59055118110236227" right="0.39370078740157483" top="0.78740157480314965" bottom="0.39370078740157483" header="0.31496062992125984" footer="0.51181102362204722"/>
  <pageSetup scale="10" fitToHeight="2" orientation="portrait" r:id="rId1"/>
  <headerFooter alignWithMargins="0">
    <oddHeader>&amp;L&amp;Z&amp;F&amp;A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U130"/>
  <sheetViews>
    <sheetView workbookViewId="0">
      <pane xSplit="4" ySplit="2" topLeftCell="G52" activePane="bottomRight" state="frozen"/>
      <selection activeCell="G36" sqref="G36"/>
      <selection pane="topRight" activeCell="G36" sqref="G36"/>
      <selection pane="bottomLeft" activeCell="G36" sqref="G36"/>
      <selection pane="bottomRight" activeCell="V71" sqref="V71"/>
    </sheetView>
  </sheetViews>
  <sheetFormatPr defaultColWidth="8.87890625" defaultRowHeight="12.75" outlineLevelRow="2" outlineLevelCol="1"/>
  <cols>
    <col min="1" max="3" width="1.3515625" style="3" customWidth="1"/>
    <col min="4" max="4" width="21.1171875" style="3" customWidth="1"/>
    <col min="5" max="5" width="1.64453125" style="7" customWidth="1"/>
    <col min="6" max="6" width="10.234375" style="3" customWidth="1" outlineLevel="1"/>
    <col min="7" max="8" width="10.87890625" style="3" customWidth="1" outlineLevel="1"/>
    <col min="9" max="9" width="10.87890625" style="3" bestFit="1" customWidth="1"/>
    <col min="10" max="10" width="10.234375" style="3" customWidth="1" outlineLevel="1"/>
    <col min="11" max="12" width="10.87890625" style="3" customWidth="1" outlineLevel="1"/>
    <col min="13" max="13" width="10.87890625" style="3" bestFit="1" customWidth="1"/>
    <col min="14" max="14" width="11.234375" style="3" customWidth="1" outlineLevel="1"/>
    <col min="15" max="16" width="10.87890625" style="3" customWidth="1" outlineLevel="1"/>
    <col min="17" max="17" width="10.87890625" style="3" bestFit="1" customWidth="1"/>
    <col min="18" max="20" width="10.234375" style="3" customWidth="1" outlineLevel="1"/>
    <col min="21" max="22" width="10.87890625" style="3" bestFit="1" customWidth="1"/>
    <col min="23" max="16384" width="8.87890625" style="3"/>
  </cols>
  <sheetData>
    <row r="1" spans="1:47" ht="13.9" thickBot="1">
      <c r="A1" s="1"/>
      <c r="B1" s="1"/>
      <c r="C1" s="1"/>
      <c r="D1" s="38"/>
      <c r="E1" s="2"/>
      <c r="F1" s="18" t="s">
        <v>69</v>
      </c>
      <c r="G1" s="135" t="s">
        <v>70</v>
      </c>
      <c r="H1" s="18" t="s">
        <v>71</v>
      </c>
      <c r="I1" s="100" t="s">
        <v>72</v>
      </c>
      <c r="J1" s="18" t="s">
        <v>74</v>
      </c>
      <c r="K1" s="135" t="s">
        <v>75</v>
      </c>
      <c r="L1" s="18" t="s">
        <v>76</v>
      </c>
      <c r="M1" s="18" t="s">
        <v>77</v>
      </c>
      <c r="N1" s="16" t="s">
        <v>80</v>
      </c>
      <c r="O1" s="17" t="s">
        <v>81</v>
      </c>
      <c r="P1" s="17" t="s">
        <v>82</v>
      </c>
      <c r="Q1" s="18" t="s">
        <v>83</v>
      </c>
      <c r="R1" s="16" t="s">
        <v>88</v>
      </c>
      <c r="S1" s="16" t="s">
        <v>91</v>
      </c>
      <c r="T1" s="16" t="s">
        <v>92</v>
      </c>
      <c r="U1" s="18" t="s">
        <v>89</v>
      </c>
      <c r="V1" s="18">
        <v>2026</v>
      </c>
      <c r="AU1" s="4"/>
    </row>
    <row r="2" spans="1:47" ht="13.5" thickBot="1">
      <c r="A2" s="5"/>
      <c r="B2" s="5"/>
      <c r="C2" s="5"/>
      <c r="D2" s="6"/>
      <c r="E2" s="2"/>
      <c r="F2" s="110" t="s">
        <v>24</v>
      </c>
      <c r="G2" s="136" t="s">
        <v>24</v>
      </c>
      <c r="H2" s="107" t="s">
        <v>24</v>
      </c>
      <c r="I2" s="108" t="s">
        <v>25</v>
      </c>
      <c r="J2" s="110" t="s">
        <v>24</v>
      </c>
      <c r="K2" s="136" t="s">
        <v>24</v>
      </c>
      <c r="L2" s="107" t="s">
        <v>24</v>
      </c>
      <c r="M2" s="132" t="s">
        <v>25</v>
      </c>
      <c r="N2" s="130" t="s">
        <v>24</v>
      </c>
      <c r="O2" s="131" t="s">
        <v>24</v>
      </c>
      <c r="P2" s="131" t="s">
        <v>24</v>
      </c>
      <c r="Q2" s="132" t="s">
        <v>25</v>
      </c>
      <c r="R2" s="130" t="s">
        <v>24</v>
      </c>
      <c r="S2" s="130" t="s">
        <v>24</v>
      </c>
      <c r="T2" s="130" t="s">
        <v>24</v>
      </c>
      <c r="U2" s="132" t="s">
        <v>25</v>
      </c>
      <c r="V2" s="132" t="s">
        <v>25</v>
      </c>
    </row>
    <row r="3" spans="1:47" s="111" customFormat="1" ht="12.75" customHeight="1">
      <c r="A3" s="447" t="s">
        <v>159</v>
      </c>
      <c r="B3" s="448"/>
      <c r="C3" s="448"/>
      <c r="D3" s="449"/>
      <c r="E3" s="2"/>
      <c r="F3" s="133"/>
      <c r="G3" s="133"/>
      <c r="H3" s="133"/>
      <c r="I3" s="34"/>
      <c r="J3" s="133"/>
      <c r="K3" s="133"/>
      <c r="L3" s="133"/>
      <c r="M3" s="34"/>
      <c r="N3" s="133"/>
      <c r="O3" s="133"/>
      <c r="P3" s="133"/>
      <c r="Q3" s="34"/>
      <c r="R3" s="133"/>
      <c r="S3" s="133"/>
      <c r="T3" s="133"/>
      <c r="U3" s="34"/>
      <c r="V3" s="134"/>
    </row>
    <row r="4" spans="1:47" s="111" customFormat="1" ht="12.75" customHeight="1">
      <c r="A4" s="450"/>
      <c r="B4" s="112" t="s">
        <v>160</v>
      </c>
      <c r="C4" s="112"/>
      <c r="D4" s="113"/>
      <c r="E4" s="2"/>
      <c r="F4" s="43"/>
      <c r="G4" s="43"/>
      <c r="H4" s="43"/>
      <c r="I4" s="34"/>
      <c r="J4" s="43"/>
      <c r="K4" s="43"/>
      <c r="L4" s="43"/>
      <c r="M4" s="34"/>
      <c r="N4" s="43"/>
      <c r="O4" s="43"/>
      <c r="P4" s="43"/>
      <c r="Q4" s="34"/>
      <c r="R4" s="43"/>
      <c r="S4" s="43"/>
      <c r="T4" s="43"/>
      <c r="U4" s="34"/>
      <c r="V4" s="34"/>
    </row>
    <row r="5" spans="1:47" s="111" customFormat="1" ht="12.75" customHeight="1" outlineLevel="1">
      <c r="A5" s="450"/>
      <c r="B5" s="451"/>
      <c r="C5" s="114"/>
      <c r="D5" s="115" t="s">
        <v>161</v>
      </c>
      <c r="E5" s="7">
        <v>1</v>
      </c>
      <c r="F5" s="43">
        <v>128975000</v>
      </c>
      <c r="G5" s="43">
        <v>28000000</v>
      </c>
      <c r="H5" s="43">
        <v>28000000</v>
      </c>
      <c r="I5" s="34">
        <f t="shared" ref="I5:I10" si="0">H5+G5+F5</f>
        <v>184975000</v>
      </c>
      <c r="J5" s="43">
        <v>28000000</v>
      </c>
      <c r="K5" s="43">
        <v>28000000</v>
      </c>
      <c r="L5" s="43">
        <v>28000000</v>
      </c>
      <c r="M5" s="34">
        <f t="shared" ref="M5:M10" si="1">L5+K5+J5</f>
        <v>84000000</v>
      </c>
      <c r="N5" s="43">
        <v>28000000</v>
      </c>
      <c r="O5" s="43">
        <v>28000000</v>
      </c>
      <c r="P5" s="43">
        <v>28000000</v>
      </c>
      <c r="Q5" s="34">
        <f t="shared" ref="Q5:Q10" si="2">P5+O5+N5</f>
        <v>84000000</v>
      </c>
      <c r="R5" s="43">
        <v>28000000</v>
      </c>
      <c r="S5" s="43">
        <v>28000000</v>
      </c>
      <c r="T5" s="43">
        <v>28000000</v>
      </c>
      <c r="U5" s="34">
        <f t="shared" ref="U5:U10" si="3">T5+S5+R5</f>
        <v>84000000</v>
      </c>
      <c r="V5" s="34">
        <f t="shared" ref="V5:V10" si="4">U5+Q5+M5+I5</f>
        <v>436975000</v>
      </c>
    </row>
    <row r="6" spans="1:47" s="111" customFormat="1" ht="12.75" customHeight="1" outlineLevel="1">
      <c r="A6" s="450"/>
      <c r="B6" s="451"/>
      <c r="C6" s="116"/>
      <c r="D6" s="117" t="s">
        <v>162</v>
      </c>
      <c r="E6" s="7">
        <v>1</v>
      </c>
      <c r="F6" s="43">
        <v>407012000</v>
      </c>
      <c r="G6" s="43">
        <v>40000000</v>
      </c>
      <c r="H6" s="43">
        <v>40000000</v>
      </c>
      <c r="I6" s="34">
        <f t="shared" si="0"/>
        <v>487012000</v>
      </c>
      <c r="J6" s="43">
        <v>40000000</v>
      </c>
      <c r="K6" s="43">
        <v>40000000</v>
      </c>
      <c r="L6" s="43">
        <v>40000000</v>
      </c>
      <c r="M6" s="34">
        <f t="shared" si="1"/>
        <v>120000000</v>
      </c>
      <c r="N6" s="43">
        <v>40000000</v>
      </c>
      <c r="O6" s="43">
        <v>40000000</v>
      </c>
      <c r="P6" s="43">
        <v>40000000</v>
      </c>
      <c r="Q6" s="34">
        <f t="shared" si="2"/>
        <v>120000000</v>
      </c>
      <c r="R6" s="43">
        <v>40000000</v>
      </c>
      <c r="S6" s="43">
        <v>40000000</v>
      </c>
      <c r="T6" s="43">
        <v>40000000</v>
      </c>
      <c r="U6" s="34">
        <f t="shared" si="3"/>
        <v>120000000</v>
      </c>
      <c r="V6" s="34">
        <f t="shared" si="4"/>
        <v>847012000</v>
      </c>
    </row>
    <row r="7" spans="1:47" s="111" customFormat="1" ht="12.75" customHeight="1" outlineLevel="1">
      <c r="A7" s="450"/>
      <c r="B7" s="451"/>
      <c r="C7" s="116"/>
      <c r="D7" s="117" t="s">
        <v>163</v>
      </c>
      <c r="E7" s="7">
        <v>1</v>
      </c>
      <c r="F7" s="43">
        <v>0</v>
      </c>
      <c r="G7" s="43">
        <v>0</v>
      </c>
      <c r="H7" s="43">
        <v>0</v>
      </c>
      <c r="I7" s="34">
        <f t="shared" si="0"/>
        <v>0</v>
      </c>
      <c r="J7" s="43">
        <v>0</v>
      </c>
      <c r="K7" s="43">
        <v>0</v>
      </c>
      <c r="L7" s="43">
        <v>0</v>
      </c>
      <c r="M7" s="34">
        <f t="shared" si="1"/>
        <v>0</v>
      </c>
      <c r="N7" s="43">
        <v>0</v>
      </c>
      <c r="O7" s="43">
        <v>0</v>
      </c>
      <c r="P7" s="43">
        <v>0</v>
      </c>
      <c r="Q7" s="34">
        <f t="shared" si="2"/>
        <v>0</v>
      </c>
      <c r="R7" s="43">
        <v>0</v>
      </c>
      <c r="S7" s="43">
        <v>0</v>
      </c>
      <c r="T7" s="43">
        <v>0</v>
      </c>
      <c r="U7" s="34">
        <f t="shared" si="3"/>
        <v>0</v>
      </c>
      <c r="V7" s="34">
        <f t="shared" si="4"/>
        <v>0</v>
      </c>
    </row>
    <row r="8" spans="1:47" s="111" customFormat="1" ht="12.75" customHeight="1" outlineLevel="1">
      <c r="A8" s="450"/>
      <c r="B8" s="451"/>
      <c r="C8" s="116"/>
      <c r="D8" s="118" t="s">
        <v>164</v>
      </c>
      <c r="E8" s="7"/>
      <c r="F8" s="43"/>
      <c r="G8" s="43"/>
      <c r="H8" s="43"/>
      <c r="I8" s="34">
        <f t="shared" si="0"/>
        <v>0</v>
      </c>
      <c r="J8" s="43"/>
      <c r="K8" s="43"/>
      <c r="L8" s="43"/>
      <c r="M8" s="34">
        <f t="shared" si="1"/>
        <v>0</v>
      </c>
      <c r="N8" s="43"/>
      <c r="O8" s="43"/>
      <c r="P8" s="43"/>
      <c r="Q8" s="34">
        <f t="shared" si="2"/>
        <v>0</v>
      </c>
      <c r="R8" s="43"/>
      <c r="S8" s="43"/>
      <c r="T8" s="43"/>
      <c r="U8" s="34">
        <f t="shared" si="3"/>
        <v>0</v>
      </c>
      <c r="V8" s="34">
        <f t="shared" si="4"/>
        <v>0</v>
      </c>
    </row>
    <row r="9" spans="1:47" s="111" customFormat="1" ht="12.75" customHeight="1" outlineLevel="1">
      <c r="A9" s="450"/>
      <c r="B9" s="451"/>
      <c r="C9" s="116"/>
      <c r="D9" s="117" t="s">
        <v>166</v>
      </c>
      <c r="E9" s="7"/>
      <c r="F9" s="43"/>
      <c r="G9" s="43"/>
      <c r="H9" s="43"/>
      <c r="I9" s="34">
        <f t="shared" si="0"/>
        <v>0</v>
      </c>
      <c r="J9" s="43"/>
      <c r="K9" s="43"/>
      <c r="L9" s="43"/>
      <c r="M9" s="34">
        <f t="shared" si="1"/>
        <v>0</v>
      </c>
      <c r="N9" s="43"/>
      <c r="O9" s="43"/>
      <c r="P9" s="43"/>
      <c r="Q9" s="34">
        <f t="shared" si="2"/>
        <v>0</v>
      </c>
      <c r="R9" s="43"/>
      <c r="S9" s="43"/>
      <c r="T9" s="43"/>
      <c r="U9" s="34">
        <f t="shared" si="3"/>
        <v>0</v>
      </c>
      <c r="V9" s="34">
        <f t="shared" si="4"/>
        <v>0</v>
      </c>
    </row>
    <row r="10" spans="1:47" s="111" customFormat="1" ht="12.75" customHeight="1" outlineLevel="1">
      <c r="A10" s="450"/>
      <c r="B10" s="451"/>
      <c r="C10" s="116"/>
      <c r="D10" s="117" t="s">
        <v>165</v>
      </c>
      <c r="E10" s="7"/>
      <c r="F10" s="43"/>
      <c r="G10" s="43"/>
      <c r="H10" s="43"/>
      <c r="I10" s="34">
        <f t="shared" si="0"/>
        <v>0</v>
      </c>
      <c r="J10" s="43"/>
      <c r="K10" s="43"/>
      <c r="L10" s="43"/>
      <c r="M10" s="34">
        <f t="shared" si="1"/>
        <v>0</v>
      </c>
      <c r="N10" s="43"/>
      <c r="O10" s="43"/>
      <c r="P10" s="43"/>
      <c r="Q10" s="34">
        <f t="shared" si="2"/>
        <v>0</v>
      </c>
      <c r="R10" s="43"/>
      <c r="S10" s="43"/>
      <c r="T10" s="43"/>
      <c r="U10" s="34">
        <f t="shared" si="3"/>
        <v>0</v>
      </c>
      <c r="V10" s="34">
        <f t="shared" si="4"/>
        <v>0</v>
      </c>
    </row>
    <row r="11" spans="1:47" s="111" customFormat="1" ht="6.75" customHeight="1">
      <c r="A11" s="450"/>
      <c r="B11" s="4"/>
      <c r="C11" s="4"/>
      <c r="D11" s="119"/>
      <c r="E11" s="120"/>
      <c r="F11" s="43"/>
      <c r="G11" s="43"/>
      <c r="H11" s="43"/>
      <c r="I11" s="34"/>
      <c r="J11" s="43"/>
      <c r="K11" s="43"/>
      <c r="L11" s="43"/>
      <c r="M11" s="34"/>
      <c r="N11" s="43"/>
      <c r="O11" s="43"/>
      <c r="P11" s="43"/>
      <c r="Q11" s="34"/>
      <c r="R11" s="43"/>
      <c r="S11" s="43"/>
      <c r="T11" s="43"/>
      <c r="U11" s="34"/>
      <c r="V11" s="34"/>
    </row>
    <row r="12" spans="1:47" s="111" customFormat="1" ht="12.75" customHeight="1">
      <c r="A12" s="447" t="s">
        <v>167</v>
      </c>
      <c r="B12" s="448"/>
      <c r="C12" s="448"/>
      <c r="D12" s="449"/>
      <c r="E12" s="8"/>
      <c r="F12" s="44">
        <f t="shared" ref="F12:T12" si="5">SUM(F5:F10)</f>
        <v>535987000</v>
      </c>
      <c r="G12" s="44">
        <f t="shared" ref="G12:H12" si="6">SUM(G5:G10)</f>
        <v>68000000</v>
      </c>
      <c r="H12" s="44">
        <f t="shared" si="6"/>
        <v>68000000</v>
      </c>
      <c r="I12" s="35">
        <f t="shared" si="5"/>
        <v>671987000</v>
      </c>
      <c r="J12" s="44">
        <f t="shared" si="5"/>
        <v>68000000</v>
      </c>
      <c r="K12" s="44">
        <f t="shared" si="5"/>
        <v>68000000</v>
      </c>
      <c r="L12" s="44">
        <f t="shared" si="5"/>
        <v>68000000</v>
      </c>
      <c r="M12" s="35">
        <f t="shared" si="5"/>
        <v>204000000</v>
      </c>
      <c r="N12" s="44">
        <f t="shared" si="5"/>
        <v>68000000</v>
      </c>
      <c r="O12" s="44">
        <f t="shared" si="5"/>
        <v>68000000</v>
      </c>
      <c r="P12" s="44">
        <f t="shared" si="5"/>
        <v>68000000</v>
      </c>
      <c r="Q12" s="35">
        <f t="shared" si="5"/>
        <v>204000000</v>
      </c>
      <c r="R12" s="44">
        <f t="shared" si="5"/>
        <v>68000000</v>
      </c>
      <c r="S12" s="44">
        <f t="shared" si="5"/>
        <v>68000000</v>
      </c>
      <c r="T12" s="44">
        <f t="shared" si="5"/>
        <v>68000000</v>
      </c>
      <c r="U12" s="35">
        <f t="shared" ref="U12:V12" si="7">SUM(U5:U10)</f>
        <v>204000000</v>
      </c>
      <c r="V12" s="35">
        <f t="shared" si="7"/>
        <v>1283987000</v>
      </c>
    </row>
    <row r="13" spans="1:47" s="111" customFormat="1" ht="5.25" customHeight="1">
      <c r="A13" s="121"/>
      <c r="B13" s="3"/>
      <c r="C13" s="3"/>
      <c r="D13" s="119"/>
      <c r="E13" s="4"/>
      <c r="F13" s="43"/>
      <c r="G13" s="43"/>
      <c r="H13" s="43"/>
      <c r="I13" s="34"/>
      <c r="J13" s="43"/>
      <c r="K13" s="43"/>
      <c r="L13" s="43"/>
      <c r="M13" s="34"/>
      <c r="N13" s="43"/>
      <c r="O13" s="43"/>
      <c r="P13" s="43"/>
      <c r="Q13" s="34"/>
      <c r="R13" s="43"/>
      <c r="S13" s="43"/>
      <c r="T13" s="43"/>
      <c r="U13" s="34"/>
      <c r="V13" s="34"/>
    </row>
    <row r="14" spans="1:47" s="111" customFormat="1" ht="12.75" customHeight="1">
      <c r="A14" s="452" t="s">
        <v>168</v>
      </c>
      <c r="B14" s="453"/>
      <c r="C14" s="453"/>
      <c r="D14" s="454"/>
      <c r="E14" s="7"/>
      <c r="F14" s="43"/>
      <c r="G14" s="43"/>
      <c r="H14" s="43"/>
      <c r="I14" s="34"/>
      <c r="J14" s="43"/>
      <c r="K14" s="43"/>
      <c r="L14" s="43"/>
      <c r="M14" s="34"/>
      <c r="N14" s="43"/>
      <c r="O14" s="43"/>
      <c r="P14" s="43"/>
      <c r="Q14" s="34"/>
      <c r="R14" s="43"/>
      <c r="S14" s="43"/>
      <c r="T14" s="43"/>
      <c r="U14" s="34"/>
      <c r="V14" s="34"/>
    </row>
    <row r="15" spans="1:47" s="111" customFormat="1" ht="12.75" customHeight="1" outlineLevel="1">
      <c r="A15" s="465"/>
      <c r="B15" s="3"/>
      <c r="C15" s="466" t="s">
        <v>169</v>
      </c>
      <c r="D15" s="467"/>
      <c r="E15" s="7"/>
      <c r="F15" s="43"/>
      <c r="G15" s="43"/>
      <c r="H15" s="43"/>
      <c r="I15" s="34"/>
      <c r="J15" s="43"/>
      <c r="K15" s="43"/>
      <c r="L15" s="43"/>
      <c r="M15" s="34"/>
      <c r="N15" s="43"/>
      <c r="O15" s="43"/>
      <c r="P15" s="43"/>
      <c r="Q15" s="34"/>
      <c r="R15" s="43"/>
      <c r="S15" s="43"/>
      <c r="T15" s="43"/>
      <c r="U15" s="34"/>
      <c r="V15" s="34"/>
    </row>
    <row r="16" spans="1:47" s="111" customFormat="1" ht="12.75" customHeight="1" outlineLevel="1">
      <c r="A16" s="465"/>
      <c r="B16" s="3"/>
      <c r="C16" s="116"/>
      <c r="D16" s="117" t="s">
        <v>170</v>
      </c>
      <c r="E16" s="7">
        <v>0</v>
      </c>
      <c r="F16" s="43">
        <v>75564000</v>
      </c>
      <c r="G16" s="43">
        <v>25000000</v>
      </c>
      <c r="H16" s="43">
        <v>25000000</v>
      </c>
      <c r="I16" s="34">
        <f t="shared" ref="I16:I22" si="8">H16+G16+F16</f>
        <v>125564000</v>
      </c>
      <c r="J16" s="43">
        <v>25000000</v>
      </c>
      <c r="K16" s="43">
        <v>25000000</v>
      </c>
      <c r="L16" s="43">
        <v>25000000</v>
      </c>
      <c r="M16" s="34">
        <f t="shared" ref="M16:M22" si="9">L16+K16+J16</f>
        <v>75000000</v>
      </c>
      <c r="N16" s="43">
        <v>25000000</v>
      </c>
      <c r="O16" s="43">
        <v>25000000</v>
      </c>
      <c r="P16" s="43">
        <v>25000000</v>
      </c>
      <c r="Q16" s="34">
        <f t="shared" ref="Q16:Q22" si="10">P16+O16+N16</f>
        <v>75000000</v>
      </c>
      <c r="R16" s="43">
        <v>25000000</v>
      </c>
      <c r="S16" s="43">
        <v>25000000</v>
      </c>
      <c r="T16" s="43">
        <v>25000000</v>
      </c>
      <c r="U16" s="34">
        <f t="shared" ref="U16:U25" si="11">T16+S16+R16</f>
        <v>75000000</v>
      </c>
      <c r="V16" s="34">
        <f t="shared" ref="V16:V25" si="12">U16+Q16+M16+I16</f>
        <v>350564000</v>
      </c>
    </row>
    <row r="17" spans="1:22" s="111" customFormat="1" ht="12.75" customHeight="1" outlineLevel="1">
      <c r="A17" s="465"/>
      <c r="B17" s="3"/>
      <c r="C17" s="116"/>
      <c r="D17" s="117" t="s">
        <v>172</v>
      </c>
      <c r="E17" s="7"/>
      <c r="F17" s="43">
        <v>157978000</v>
      </c>
      <c r="G17" s="43">
        <v>5000000</v>
      </c>
      <c r="H17" s="43">
        <v>5000000</v>
      </c>
      <c r="I17" s="34">
        <f t="shared" si="8"/>
        <v>167978000</v>
      </c>
      <c r="J17" s="43">
        <v>5000000</v>
      </c>
      <c r="K17" s="43">
        <v>5000000</v>
      </c>
      <c r="L17" s="43">
        <v>5000000</v>
      </c>
      <c r="M17" s="34">
        <f t="shared" si="9"/>
        <v>15000000</v>
      </c>
      <c r="N17" s="43">
        <v>5000000</v>
      </c>
      <c r="O17" s="43">
        <v>5000000</v>
      </c>
      <c r="P17" s="43">
        <v>5000000</v>
      </c>
      <c r="Q17" s="34">
        <f t="shared" si="10"/>
        <v>15000000</v>
      </c>
      <c r="R17" s="43">
        <v>5000000</v>
      </c>
      <c r="S17" s="43">
        <v>5000000</v>
      </c>
      <c r="T17" s="43">
        <v>5000000</v>
      </c>
      <c r="U17" s="34">
        <f t="shared" si="11"/>
        <v>15000000</v>
      </c>
      <c r="V17" s="34">
        <f t="shared" si="12"/>
        <v>212978000</v>
      </c>
    </row>
    <row r="18" spans="1:22" s="111" customFormat="1" ht="12.75" customHeight="1" outlineLevel="1">
      <c r="A18" s="465"/>
      <c r="B18" s="3"/>
      <c r="C18" s="116"/>
      <c r="D18" s="117" t="s">
        <v>294</v>
      </c>
      <c r="E18" s="7"/>
      <c r="F18" s="43"/>
      <c r="G18" s="43"/>
      <c r="H18" s="43"/>
      <c r="I18" s="34">
        <f t="shared" si="8"/>
        <v>0</v>
      </c>
      <c r="J18" s="43"/>
      <c r="K18" s="43"/>
      <c r="L18" s="43"/>
      <c r="M18" s="34">
        <f t="shared" si="9"/>
        <v>0</v>
      </c>
      <c r="N18" s="43"/>
      <c r="O18" s="43"/>
      <c r="P18" s="43"/>
      <c r="Q18" s="34">
        <f t="shared" si="10"/>
        <v>0</v>
      </c>
      <c r="R18" s="43"/>
      <c r="S18" s="43"/>
      <c r="T18" s="43"/>
      <c r="U18" s="34">
        <f t="shared" si="11"/>
        <v>0</v>
      </c>
      <c r="V18" s="34">
        <f t="shared" si="12"/>
        <v>0</v>
      </c>
    </row>
    <row r="19" spans="1:22" s="111" customFormat="1" ht="12.75" customHeight="1" outlineLevel="1">
      <c r="A19" s="465"/>
      <c r="B19" s="3"/>
      <c r="C19" s="116"/>
      <c r="D19" s="117" t="s">
        <v>173</v>
      </c>
      <c r="E19" s="7"/>
      <c r="F19" s="43"/>
      <c r="G19" s="43"/>
      <c r="H19" s="43"/>
      <c r="I19" s="34">
        <f t="shared" si="8"/>
        <v>0</v>
      </c>
      <c r="J19" s="43"/>
      <c r="K19" s="43"/>
      <c r="L19" s="43"/>
      <c r="M19" s="34">
        <f t="shared" si="9"/>
        <v>0</v>
      </c>
      <c r="N19" s="43"/>
      <c r="O19" s="43"/>
      <c r="P19" s="43"/>
      <c r="Q19" s="34">
        <f t="shared" si="10"/>
        <v>0</v>
      </c>
      <c r="R19" s="43"/>
      <c r="S19" s="43"/>
      <c r="T19" s="43"/>
      <c r="U19" s="34">
        <f t="shared" si="11"/>
        <v>0</v>
      </c>
      <c r="V19" s="34">
        <f t="shared" si="12"/>
        <v>0</v>
      </c>
    </row>
    <row r="20" spans="1:22" s="111" customFormat="1" ht="12.75" customHeight="1" outlineLevel="1">
      <c r="A20" s="465"/>
      <c r="B20" s="3"/>
      <c r="C20" s="116"/>
      <c r="D20" s="118" t="s">
        <v>174</v>
      </c>
      <c r="E20" s="7">
        <v>0</v>
      </c>
      <c r="F20" s="43"/>
      <c r="G20" s="43"/>
      <c r="H20" s="43"/>
      <c r="I20" s="34">
        <f t="shared" si="8"/>
        <v>0</v>
      </c>
      <c r="J20" s="43"/>
      <c r="K20" s="43"/>
      <c r="L20" s="43"/>
      <c r="M20" s="34">
        <f t="shared" si="9"/>
        <v>0</v>
      </c>
      <c r="N20" s="43"/>
      <c r="O20" s="43"/>
      <c r="P20" s="43"/>
      <c r="Q20" s="34">
        <f t="shared" si="10"/>
        <v>0</v>
      </c>
      <c r="R20" s="43"/>
      <c r="S20" s="43"/>
      <c r="T20" s="43"/>
      <c r="U20" s="34">
        <f t="shared" si="11"/>
        <v>0</v>
      </c>
      <c r="V20" s="34">
        <f t="shared" si="12"/>
        <v>0</v>
      </c>
    </row>
    <row r="21" spans="1:22" s="111" customFormat="1" ht="12.75" customHeight="1" outlineLevel="1">
      <c r="A21" s="465"/>
      <c r="B21" s="3"/>
      <c r="C21" s="468" t="s">
        <v>175</v>
      </c>
      <c r="D21" s="469"/>
      <c r="E21" s="7"/>
      <c r="F21" s="43"/>
      <c r="G21" s="43"/>
      <c r="H21" s="43"/>
      <c r="I21" s="34">
        <f t="shared" si="8"/>
        <v>0</v>
      </c>
      <c r="J21" s="43"/>
      <c r="K21" s="43"/>
      <c r="L21" s="43"/>
      <c r="M21" s="34">
        <f t="shared" si="9"/>
        <v>0</v>
      </c>
      <c r="N21" s="43"/>
      <c r="O21" s="43"/>
      <c r="P21" s="43"/>
      <c r="Q21" s="34">
        <f t="shared" si="10"/>
        <v>0</v>
      </c>
      <c r="R21" s="43"/>
      <c r="S21" s="43"/>
      <c r="T21" s="43"/>
      <c r="U21" s="34">
        <f t="shared" si="11"/>
        <v>0</v>
      </c>
      <c r="V21" s="34">
        <f t="shared" si="12"/>
        <v>0</v>
      </c>
    </row>
    <row r="22" spans="1:22" s="111" customFormat="1" ht="12.75" customHeight="1" outlineLevel="1">
      <c r="A22" s="465"/>
      <c r="B22" s="3"/>
      <c r="C22" s="468" t="s">
        <v>176</v>
      </c>
      <c r="D22" s="469"/>
      <c r="E22" s="7"/>
      <c r="F22" s="43"/>
      <c r="G22" s="43"/>
      <c r="H22" s="43"/>
      <c r="I22" s="34">
        <f t="shared" si="8"/>
        <v>0</v>
      </c>
      <c r="J22" s="43"/>
      <c r="K22" s="43"/>
      <c r="L22" s="43"/>
      <c r="M22" s="34">
        <f t="shared" si="9"/>
        <v>0</v>
      </c>
      <c r="N22" s="43"/>
      <c r="O22" s="43"/>
      <c r="P22" s="43"/>
      <c r="Q22" s="34">
        <f t="shared" si="10"/>
        <v>0</v>
      </c>
      <c r="R22" s="43"/>
      <c r="S22" s="43"/>
      <c r="T22" s="43"/>
      <c r="U22" s="34">
        <f t="shared" si="11"/>
        <v>0</v>
      </c>
      <c r="V22" s="34">
        <f t="shared" si="12"/>
        <v>0</v>
      </c>
    </row>
    <row r="23" spans="1:22" s="111" customFormat="1" ht="12.75" customHeight="1" outlineLevel="1">
      <c r="A23" s="465"/>
      <c r="B23" s="3"/>
      <c r="C23" s="457" t="s">
        <v>203</v>
      </c>
      <c r="D23" s="470"/>
      <c r="E23" s="7"/>
      <c r="F23" s="96">
        <v>57000</v>
      </c>
      <c r="G23" s="96">
        <v>57000</v>
      </c>
      <c r="H23" s="96">
        <v>57000</v>
      </c>
      <c r="I23" s="34">
        <f>H23+G23+F23</f>
        <v>171000</v>
      </c>
      <c r="J23" s="96">
        <v>57000</v>
      </c>
      <c r="K23" s="96">
        <v>57000</v>
      </c>
      <c r="L23" s="96">
        <v>57000</v>
      </c>
      <c r="M23" s="34">
        <f>L23+K23+J23</f>
        <v>171000</v>
      </c>
      <c r="N23" s="96">
        <v>57000</v>
      </c>
      <c r="O23" s="96">
        <v>57000</v>
      </c>
      <c r="P23" s="96">
        <v>57000</v>
      </c>
      <c r="Q23" s="34">
        <f>P23+O23+N23</f>
        <v>171000</v>
      </c>
      <c r="R23" s="96">
        <v>57000</v>
      </c>
      <c r="S23" s="96">
        <v>57000</v>
      </c>
      <c r="T23" s="96">
        <v>57000</v>
      </c>
      <c r="U23" s="34">
        <f>T23+S23+R23</f>
        <v>171000</v>
      </c>
      <c r="V23" s="34">
        <f>U23+Q23+M23+I23</f>
        <v>684000</v>
      </c>
    </row>
    <row r="24" spans="1:22" s="111" customFormat="1" ht="12.75" customHeight="1" outlineLevel="1">
      <c r="A24" s="465"/>
      <c r="B24" s="3"/>
      <c r="C24" s="457" t="s">
        <v>184</v>
      </c>
      <c r="D24" s="458"/>
      <c r="E24" s="7"/>
      <c r="F24" s="96">
        <f>938000</f>
        <v>938000</v>
      </c>
      <c r="G24" s="96">
        <f>938000</f>
        <v>938000</v>
      </c>
      <c r="H24" s="96">
        <f>938000</f>
        <v>938000</v>
      </c>
      <c r="I24" s="34">
        <f t="shared" ref="I24:I25" si="13">H24+G24+F24</f>
        <v>2814000</v>
      </c>
      <c r="J24" s="96">
        <f>938000</f>
        <v>938000</v>
      </c>
      <c r="K24" s="96">
        <f>938000</f>
        <v>938000</v>
      </c>
      <c r="L24" s="96">
        <f>938000</f>
        <v>938000</v>
      </c>
      <c r="M24" s="34">
        <f t="shared" ref="M24:M25" si="14">L24+K24+J24</f>
        <v>2814000</v>
      </c>
      <c r="N24" s="96">
        <f>938000</f>
        <v>938000</v>
      </c>
      <c r="O24" s="96">
        <f>938000</f>
        <v>938000</v>
      </c>
      <c r="P24" s="96">
        <f>938000</f>
        <v>938000</v>
      </c>
      <c r="Q24" s="34">
        <f t="shared" ref="Q24:Q25" si="15">P24+O24+N24</f>
        <v>2814000</v>
      </c>
      <c r="R24" s="96">
        <f>938000</f>
        <v>938000</v>
      </c>
      <c r="S24" s="96">
        <f>938000</f>
        <v>938000</v>
      </c>
      <c r="T24" s="96">
        <f>938000</f>
        <v>938000</v>
      </c>
      <c r="U24" s="34">
        <f t="shared" si="11"/>
        <v>2814000</v>
      </c>
      <c r="V24" s="34">
        <f t="shared" si="12"/>
        <v>11256000</v>
      </c>
    </row>
    <row r="25" spans="1:22" s="111" customFormat="1" ht="12.75" customHeight="1" outlineLevel="1">
      <c r="A25" s="465"/>
      <c r="B25" s="3"/>
      <c r="C25" s="457" t="s">
        <v>183</v>
      </c>
      <c r="D25" s="458"/>
      <c r="E25" s="7">
        <v>0</v>
      </c>
      <c r="F25" s="96"/>
      <c r="G25" s="96"/>
      <c r="H25" s="96"/>
      <c r="I25" s="34">
        <f t="shared" si="13"/>
        <v>0</v>
      </c>
      <c r="J25" s="96"/>
      <c r="K25" s="96"/>
      <c r="L25" s="96"/>
      <c r="M25" s="34">
        <f t="shared" si="14"/>
        <v>0</v>
      </c>
      <c r="N25" s="96"/>
      <c r="O25" s="96"/>
      <c r="P25" s="96"/>
      <c r="Q25" s="34">
        <f t="shared" si="15"/>
        <v>0</v>
      </c>
      <c r="R25" s="96"/>
      <c r="S25" s="96"/>
      <c r="T25" s="96"/>
      <c r="U25" s="34">
        <f t="shared" si="11"/>
        <v>0</v>
      </c>
      <c r="V25" s="34">
        <f t="shared" si="12"/>
        <v>0</v>
      </c>
    </row>
    <row r="26" spans="1:22" s="111" customFormat="1" ht="12.75" customHeight="1">
      <c r="A26" s="459" t="s">
        <v>177</v>
      </c>
      <c r="B26" s="460"/>
      <c r="C26" s="460"/>
      <c r="D26" s="461"/>
      <c r="E26" s="8"/>
      <c r="F26" s="44">
        <f t="shared" ref="F26:T26" si="16">SUM(F16:F25)</f>
        <v>234537000</v>
      </c>
      <c r="G26" s="44">
        <f t="shared" ref="G26:H26" si="17">SUM(G16:G25)</f>
        <v>30995000</v>
      </c>
      <c r="H26" s="44">
        <f t="shared" si="17"/>
        <v>30995000</v>
      </c>
      <c r="I26" s="35">
        <f t="shared" si="16"/>
        <v>296527000</v>
      </c>
      <c r="J26" s="44">
        <f t="shared" si="16"/>
        <v>30995000</v>
      </c>
      <c r="K26" s="44">
        <f t="shared" si="16"/>
        <v>30995000</v>
      </c>
      <c r="L26" s="44">
        <f t="shared" si="16"/>
        <v>30995000</v>
      </c>
      <c r="M26" s="35">
        <f t="shared" si="16"/>
        <v>92985000</v>
      </c>
      <c r="N26" s="44">
        <f t="shared" si="16"/>
        <v>30995000</v>
      </c>
      <c r="O26" s="44">
        <f t="shared" si="16"/>
        <v>30995000</v>
      </c>
      <c r="P26" s="44">
        <f t="shared" si="16"/>
        <v>30995000</v>
      </c>
      <c r="Q26" s="35">
        <f t="shared" si="16"/>
        <v>92985000</v>
      </c>
      <c r="R26" s="44">
        <f t="shared" si="16"/>
        <v>30995000</v>
      </c>
      <c r="S26" s="44">
        <f t="shared" si="16"/>
        <v>30995000</v>
      </c>
      <c r="T26" s="44">
        <f t="shared" si="16"/>
        <v>30995000</v>
      </c>
      <c r="U26" s="35">
        <f t="shared" ref="U26:V26" si="18">SUM(U16:U25)</f>
        <v>92985000</v>
      </c>
      <c r="V26" s="35">
        <f t="shared" si="18"/>
        <v>575482000</v>
      </c>
    </row>
    <row r="27" spans="1:22" s="111" customFormat="1" ht="8.25" customHeight="1">
      <c r="A27" s="122"/>
      <c r="B27" s="123"/>
      <c r="C27" s="123"/>
      <c r="D27" s="124"/>
      <c r="E27" s="8"/>
      <c r="F27" s="43"/>
      <c r="G27" s="43"/>
      <c r="H27" s="43"/>
      <c r="I27" s="34"/>
      <c r="J27" s="43"/>
      <c r="K27" s="43"/>
      <c r="L27" s="43"/>
      <c r="M27" s="34"/>
      <c r="N27" s="43"/>
      <c r="O27" s="43"/>
      <c r="P27" s="43"/>
      <c r="Q27" s="34"/>
      <c r="R27" s="43"/>
      <c r="S27" s="43"/>
      <c r="T27" s="43"/>
      <c r="U27" s="34"/>
      <c r="V27" s="34"/>
    </row>
    <row r="28" spans="1:22" s="111" customFormat="1" ht="12.75" customHeight="1">
      <c r="A28" s="462" t="s">
        <v>178</v>
      </c>
      <c r="B28" s="463"/>
      <c r="C28" s="463"/>
      <c r="D28" s="464"/>
      <c r="E28" s="8"/>
      <c r="F28" s="43"/>
      <c r="G28" s="43"/>
      <c r="H28" s="43"/>
      <c r="I28" s="34"/>
      <c r="J28" s="43"/>
      <c r="K28" s="43"/>
      <c r="L28" s="43"/>
      <c r="M28" s="34"/>
      <c r="N28" s="43"/>
      <c r="O28" s="43"/>
      <c r="P28" s="43"/>
      <c r="Q28" s="34"/>
      <c r="R28" s="43"/>
      <c r="S28" s="43"/>
      <c r="T28" s="43"/>
      <c r="U28" s="34"/>
      <c r="V28" s="34"/>
    </row>
    <row r="29" spans="1:22" s="111" customFormat="1" ht="12.75" customHeight="1">
      <c r="A29" s="125"/>
      <c r="B29" s="4"/>
      <c r="C29" s="455" t="s">
        <v>179</v>
      </c>
      <c r="D29" s="456"/>
      <c r="E29" s="8"/>
      <c r="F29" s="44">
        <f t="shared" ref="F29:T29" si="19">F12-F26</f>
        <v>301450000</v>
      </c>
      <c r="G29" s="44">
        <f t="shared" ref="G29:H29" si="20">G12-G26</f>
        <v>37005000</v>
      </c>
      <c r="H29" s="44">
        <f t="shared" si="20"/>
        <v>37005000</v>
      </c>
      <c r="I29" s="35">
        <f t="shared" si="19"/>
        <v>375460000</v>
      </c>
      <c r="J29" s="44">
        <f t="shared" si="19"/>
        <v>37005000</v>
      </c>
      <c r="K29" s="44">
        <f t="shared" si="19"/>
        <v>37005000</v>
      </c>
      <c r="L29" s="44">
        <f t="shared" si="19"/>
        <v>37005000</v>
      </c>
      <c r="M29" s="35">
        <f t="shared" si="19"/>
        <v>111015000</v>
      </c>
      <c r="N29" s="44">
        <f t="shared" si="19"/>
        <v>37005000</v>
      </c>
      <c r="O29" s="44">
        <f t="shared" si="19"/>
        <v>37005000</v>
      </c>
      <c r="P29" s="44">
        <f t="shared" si="19"/>
        <v>37005000</v>
      </c>
      <c r="Q29" s="35">
        <f t="shared" si="19"/>
        <v>111015000</v>
      </c>
      <c r="R29" s="44">
        <f t="shared" si="19"/>
        <v>37005000</v>
      </c>
      <c r="S29" s="44">
        <f t="shared" si="19"/>
        <v>37005000</v>
      </c>
      <c r="T29" s="44">
        <f t="shared" si="19"/>
        <v>37005000</v>
      </c>
      <c r="U29" s="35">
        <f t="shared" ref="U29:V29" si="21">U12-U26</f>
        <v>111015000</v>
      </c>
      <c r="V29" s="35">
        <f t="shared" si="21"/>
        <v>708505000</v>
      </c>
    </row>
    <row r="30" spans="1:22" s="111" customFormat="1" ht="12.75" customHeight="1">
      <c r="A30" s="121"/>
      <c r="B30" s="3"/>
      <c r="C30" s="3"/>
      <c r="D30" s="118" t="s">
        <v>180</v>
      </c>
      <c r="E30" s="7"/>
      <c r="F30" s="126">
        <f t="shared" ref="F30:T30" si="22">IF(F12=0,0,F29/F12)</f>
        <v>0.56242035721015626</v>
      </c>
      <c r="G30" s="126">
        <f t="shared" ref="G30:H30" si="23">IF(G12=0,0,G29/G12)</f>
        <v>0.54419117647058823</v>
      </c>
      <c r="H30" s="126">
        <f t="shared" si="23"/>
        <v>0.54419117647058823</v>
      </c>
      <c r="I30" s="127">
        <f t="shared" si="22"/>
        <v>0.55873104688037123</v>
      </c>
      <c r="J30" s="126">
        <f t="shared" si="22"/>
        <v>0.54419117647058823</v>
      </c>
      <c r="K30" s="126">
        <f t="shared" si="22"/>
        <v>0.54419117647058823</v>
      </c>
      <c r="L30" s="126">
        <f t="shared" si="22"/>
        <v>0.54419117647058823</v>
      </c>
      <c r="M30" s="127">
        <f t="shared" si="22"/>
        <v>0.54419117647058823</v>
      </c>
      <c r="N30" s="126">
        <f t="shared" si="22"/>
        <v>0.54419117647058823</v>
      </c>
      <c r="O30" s="126">
        <f t="shared" si="22"/>
        <v>0.54419117647058823</v>
      </c>
      <c r="P30" s="126">
        <f t="shared" si="22"/>
        <v>0.54419117647058823</v>
      </c>
      <c r="Q30" s="127">
        <f t="shared" si="22"/>
        <v>0.54419117647058823</v>
      </c>
      <c r="R30" s="126">
        <f t="shared" si="22"/>
        <v>0.54419117647058823</v>
      </c>
      <c r="S30" s="126">
        <f t="shared" si="22"/>
        <v>0.54419117647058823</v>
      </c>
      <c r="T30" s="126">
        <f t="shared" si="22"/>
        <v>0.54419117647058823</v>
      </c>
      <c r="U30" s="127">
        <f t="shared" ref="U30:V30" si="24">IF(U12=0,0,U29/U12)</f>
        <v>0.54419117647058823</v>
      </c>
      <c r="V30" s="127">
        <f t="shared" si="24"/>
        <v>0.55180075810736406</v>
      </c>
    </row>
    <row r="31" spans="1:22" ht="13.15" outlineLevel="1">
      <c r="A31" s="21" t="s">
        <v>49</v>
      </c>
      <c r="B31" s="22"/>
      <c r="C31" s="22"/>
      <c r="D31" s="22"/>
      <c r="F31" s="43"/>
      <c r="G31" s="43"/>
      <c r="H31" s="43"/>
      <c r="I31" s="34"/>
      <c r="J31" s="43"/>
      <c r="K31" s="43"/>
      <c r="L31" s="43"/>
      <c r="M31" s="34"/>
      <c r="N31" s="43"/>
      <c r="O31" s="43"/>
      <c r="P31" s="43"/>
      <c r="Q31" s="34"/>
      <c r="R31" s="43"/>
      <c r="S31" s="43"/>
      <c r="T31" s="43"/>
      <c r="U31" s="34"/>
      <c r="V31" s="34"/>
    </row>
    <row r="32" spans="1:22" ht="13.5" outlineLevel="2">
      <c r="A32" s="22"/>
      <c r="B32" s="22"/>
      <c r="C32" s="23" t="s">
        <v>37</v>
      </c>
      <c r="D32" s="24"/>
      <c r="E32" s="8"/>
      <c r="F32" s="43"/>
      <c r="G32" s="43"/>
      <c r="H32" s="43"/>
      <c r="I32" s="34"/>
      <c r="J32" s="43"/>
      <c r="K32" s="43"/>
      <c r="L32" s="43"/>
      <c r="M32" s="34"/>
      <c r="N32" s="43"/>
      <c r="O32" s="43"/>
      <c r="P32" s="43"/>
      <c r="Q32" s="34"/>
      <c r="R32" s="43"/>
      <c r="S32" s="43"/>
      <c r="T32" s="43"/>
      <c r="U32" s="34"/>
      <c r="V32" s="34"/>
    </row>
    <row r="33" spans="1:22" ht="13.15" outlineLevel="2">
      <c r="A33" s="22"/>
      <c r="B33" s="22"/>
      <c r="C33" s="22"/>
      <c r="D33" s="25" t="s">
        <v>27</v>
      </c>
      <c r="E33" s="7">
        <v>0</v>
      </c>
      <c r="F33" s="43">
        <v>18000000</v>
      </c>
      <c r="G33" s="43">
        <v>18000000</v>
      </c>
      <c r="H33" s="43">
        <v>18000000</v>
      </c>
      <c r="I33" s="34">
        <f>SUM(F33:H33)</f>
        <v>54000000</v>
      </c>
      <c r="J33" s="43">
        <v>18000000</v>
      </c>
      <c r="K33" s="43">
        <v>18000000</v>
      </c>
      <c r="L33" s="43">
        <v>18000000</v>
      </c>
      <c r="M33" s="34">
        <f>SUM(J33:L33)</f>
        <v>54000000</v>
      </c>
      <c r="N33" s="43">
        <v>18000000</v>
      </c>
      <c r="O33" s="43">
        <v>18000000</v>
      </c>
      <c r="P33" s="43">
        <v>18000000</v>
      </c>
      <c r="Q33" s="34">
        <f>SUM(N33:P33)</f>
        <v>54000000</v>
      </c>
      <c r="R33" s="43">
        <v>18000000</v>
      </c>
      <c r="S33" s="43">
        <v>18000000</v>
      </c>
      <c r="T33" s="43">
        <v>18000000</v>
      </c>
      <c r="U33" s="34">
        <f>SUM(R33:T33)</f>
        <v>54000000</v>
      </c>
      <c r="V33" s="34">
        <f t="shared" ref="V33:V37" si="25">I33+M33+Q33+U33</f>
        <v>216000000</v>
      </c>
    </row>
    <row r="34" spans="1:22" ht="13.15" outlineLevel="2">
      <c r="A34" s="22"/>
      <c r="B34" s="22"/>
      <c r="C34" s="22"/>
      <c r="D34" s="25" t="s">
        <v>73</v>
      </c>
      <c r="F34" s="43">
        <v>0</v>
      </c>
      <c r="G34" s="43">
        <v>0</v>
      </c>
      <c r="H34" s="43">
        <v>0</v>
      </c>
      <c r="I34" s="34">
        <f>SUM(F34:H34)</f>
        <v>0</v>
      </c>
      <c r="J34" s="43">
        <v>0</v>
      </c>
      <c r="K34" s="43">
        <v>0</v>
      </c>
      <c r="L34" s="43">
        <v>0</v>
      </c>
      <c r="M34" s="34">
        <f>SUM(J34:L34)</f>
        <v>0</v>
      </c>
      <c r="N34" s="43">
        <v>0</v>
      </c>
      <c r="O34" s="43">
        <v>0</v>
      </c>
      <c r="P34" s="43">
        <v>0</v>
      </c>
      <c r="Q34" s="34">
        <f>SUM(N34:P34)</f>
        <v>0</v>
      </c>
      <c r="R34" s="43">
        <v>0</v>
      </c>
      <c r="S34" s="43">
        <v>0</v>
      </c>
      <c r="T34" s="43">
        <v>0</v>
      </c>
      <c r="U34" s="34">
        <f>SUM(R34:T34)</f>
        <v>0</v>
      </c>
      <c r="V34" s="34">
        <f t="shared" si="25"/>
        <v>0</v>
      </c>
    </row>
    <row r="35" spans="1:22" ht="13.15" outlineLevel="2">
      <c r="A35" s="22"/>
      <c r="B35" s="22"/>
      <c r="C35" s="22"/>
      <c r="D35" s="25" t="s">
        <v>55</v>
      </c>
      <c r="E35" s="7">
        <v>0</v>
      </c>
      <c r="F35" s="43"/>
      <c r="G35" s="43"/>
      <c r="H35" s="43"/>
      <c r="I35" s="34">
        <f>SUM(F35:H35)</f>
        <v>0</v>
      </c>
      <c r="J35" s="43"/>
      <c r="K35" s="43"/>
      <c r="L35" s="43"/>
      <c r="M35" s="34">
        <f>SUM(J35:L35)</f>
        <v>0</v>
      </c>
      <c r="N35" s="43"/>
      <c r="O35" s="43"/>
      <c r="P35" s="43"/>
      <c r="Q35" s="34">
        <f>SUM(N35:P35)</f>
        <v>0</v>
      </c>
      <c r="R35" s="43"/>
      <c r="S35" s="43"/>
      <c r="T35" s="43"/>
      <c r="U35" s="34">
        <f>SUM(R35:T35)</f>
        <v>0</v>
      </c>
      <c r="V35" s="34">
        <f t="shared" si="25"/>
        <v>0</v>
      </c>
    </row>
    <row r="36" spans="1:22" ht="13.15" outlineLevel="2">
      <c r="A36" s="22"/>
      <c r="B36" s="22"/>
      <c r="C36" s="22"/>
      <c r="D36" s="25" t="s">
        <v>96</v>
      </c>
      <c r="E36" s="7">
        <v>0</v>
      </c>
      <c r="F36" s="43">
        <v>2000000</v>
      </c>
      <c r="G36" s="43">
        <v>2000000</v>
      </c>
      <c r="H36" s="43">
        <v>2000000</v>
      </c>
      <c r="I36" s="34">
        <f>SUM(F36:H36)</f>
        <v>6000000</v>
      </c>
      <c r="J36" s="43">
        <v>2000000</v>
      </c>
      <c r="K36" s="43">
        <v>2000000</v>
      </c>
      <c r="L36" s="43">
        <v>2000000</v>
      </c>
      <c r="M36" s="34">
        <f>SUM(J36:L36)</f>
        <v>6000000</v>
      </c>
      <c r="N36" s="43">
        <v>2000000</v>
      </c>
      <c r="O36" s="43">
        <v>2000000</v>
      </c>
      <c r="P36" s="43">
        <v>2000000</v>
      </c>
      <c r="Q36" s="34">
        <f>SUM(N36:P36)</f>
        <v>6000000</v>
      </c>
      <c r="R36" s="43">
        <v>2000000</v>
      </c>
      <c r="S36" s="43">
        <v>2000000</v>
      </c>
      <c r="T36" s="43">
        <v>2000000</v>
      </c>
      <c r="U36" s="34">
        <f>SUM(R36:T36)</f>
        <v>6000000</v>
      </c>
      <c r="V36" s="34">
        <f t="shared" si="25"/>
        <v>24000000</v>
      </c>
    </row>
    <row r="37" spans="1:22" ht="13.15" outlineLevel="1">
      <c r="A37" s="24"/>
      <c r="B37" s="24" t="s">
        <v>0</v>
      </c>
      <c r="C37" s="24"/>
      <c r="D37" s="24"/>
      <c r="E37" s="8"/>
      <c r="F37" s="44">
        <f t="shared" ref="F37" si="26">SUM(F33:F36)</f>
        <v>20000000</v>
      </c>
      <c r="G37" s="44">
        <f t="shared" ref="G37:H37" si="27">SUM(G33:G36)</f>
        <v>20000000</v>
      </c>
      <c r="H37" s="44">
        <f t="shared" si="27"/>
        <v>20000000</v>
      </c>
      <c r="I37" s="35">
        <f>SUM(I33:I36)</f>
        <v>60000000</v>
      </c>
      <c r="J37" s="44">
        <f t="shared" ref="J37:L37" si="28">SUM(J33:J36)</f>
        <v>20000000</v>
      </c>
      <c r="K37" s="44">
        <f t="shared" si="28"/>
        <v>20000000</v>
      </c>
      <c r="L37" s="44">
        <f t="shared" si="28"/>
        <v>20000000</v>
      </c>
      <c r="M37" s="35">
        <f>SUM(M33:M36)</f>
        <v>60000000</v>
      </c>
      <c r="N37" s="44">
        <f t="shared" ref="N37:P37" si="29">SUM(N33:N36)</f>
        <v>20000000</v>
      </c>
      <c r="O37" s="44">
        <f t="shared" si="29"/>
        <v>20000000</v>
      </c>
      <c r="P37" s="44">
        <f t="shared" si="29"/>
        <v>20000000</v>
      </c>
      <c r="Q37" s="35">
        <f>SUM(Q33:Q36)</f>
        <v>60000000</v>
      </c>
      <c r="R37" s="44">
        <f t="shared" ref="R37:T37" si="30">SUM(R33:R36)</f>
        <v>20000000</v>
      </c>
      <c r="S37" s="44">
        <f t="shared" si="30"/>
        <v>20000000</v>
      </c>
      <c r="T37" s="44">
        <f t="shared" si="30"/>
        <v>20000000</v>
      </c>
      <c r="U37" s="35">
        <f>SUM(U33:U36)</f>
        <v>60000000</v>
      </c>
      <c r="V37" s="35">
        <f t="shared" si="25"/>
        <v>240000000</v>
      </c>
    </row>
    <row r="38" spans="1:22" ht="13.15" outlineLevel="2">
      <c r="A38" s="22"/>
      <c r="B38" s="22"/>
      <c r="C38" s="23" t="s">
        <v>38</v>
      </c>
      <c r="D38" s="22"/>
      <c r="F38" s="43"/>
      <c r="G38" s="43"/>
      <c r="H38" s="43"/>
      <c r="I38" s="34"/>
      <c r="J38" s="43"/>
      <c r="K38" s="43"/>
      <c r="L38" s="43"/>
      <c r="M38" s="34"/>
      <c r="N38" s="43"/>
      <c r="O38" s="43"/>
      <c r="P38" s="43"/>
      <c r="Q38" s="34"/>
      <c r="R38" s="43"/>
      <c r="S38" s="43"/>
      <c r="T38" s="43"/>
      <c r="U38" s="34"/>
      <c r="V38" s="34"/>
    </row>
    <row r="39" spans="1:22" ht="13.15" outlineLevel="2">
      <c r="A39" s="22"/>
      <c r="B39" s="22"/>
      <c r="C39" s="22"/>
      <c r="D39" s="25" t="s">
        <v>30</v>
      </c>
      <c r="E39" s="7">
        <v>0</v>
      </c>
      <c r="F39" s="43">
        <v>500000</v>
      </c>
      <c r="G39" s="43">
        <v>500000</v>
      </c>
      <c r="H39" s="43">
        <v>500000</v>
      </c>
      <c r="I39" s="34">
        <f t="shared" ref="I39:I50" si="31">SUM(F39:H39)</f>
        <v>1500000</v>
      </c>
      <c r="J39" s="43">
        <v>500000</v>
      </c>
      <c r="K39" s="43">
        <v>500000</v>
      </c>
      <c r="L39" s="43">
        <v>500000</v>
      </c>
      <c r="M39" s="34">
        <f t="shared" ref="M39:M50" si="32">SUM(J39:L39)</f>
        <v>1500000</v>
      </c>
      <c r="N39" s="43">
        <v>500000</v>
      </c>
      <c r="O39" s="43">
        <v>500000</v>
      </c>
      <c r="P39" s="43">
        <v>500000</v>
      </c>
      <c r="Q39" s="34">
        <f t="shared" ref="Q39:Q50" si="33">SUM(N39:P39)</f>
        <v>1500000</v>
      </c>
      <c r="R39" s="43">
        <v>500000</v>
      </c>
      <c r="S39" s="43">
        <v>500000</v>
      </c>
      <c r="T39" s="43">
        <v>500000</v>
      </c>
      <c r="U39" s="34">
        <f t="shared" ref="U39:U50" si="34">SUM(R39:T39)</f>
        <v>1500000</v>
      </c>
      <c r="V39" s="34">
        <f t="shared" ref="V39:V53" si="35">I39+M39+Q39+U39</f>
        <v>6000000</v>
      </c>
    </row>
    <row r="40" spans="1:22" ht="13.15" outlineLevel="2">
      <c r="A40" s="22"/>
      <c r="B40" s="22"/>
      <c r="C40" s="22"/>
      <c r="D40" s="25" t="s">
        <v>31</v>
      </c>
      <c r="E40" s="7">
        <v>0</v>
      </c>
      <c r="F40" s="43">
        <v>1000000</v>
      </c>
      <c r="G40" s="43">
        <v>1000000</v>
      </c>
      <c r="H40" s="43">
        <v>1000000</v>
      </c>
      <c r="I40" s="34">
        <f t="shared" si="31"/>
        <v>3000000</v>
      </c>
      <c r="J40" s="43">
        <v>1000000</v>
      </c>
      <c r="K40" s="43">
        <v>1000000</v>
      </c>
      <c r="L40" s="43">
        <v>1000000</v>
      </c>
      <c r="M40" s="34">
        <f t="shared" si="32"/>
        <v>3000000</v>
      </c>
      <c r="N40" s="43">
        <v>1000000</v>
      </c>
      <c r="O40" s="43">
        <v>1000000</v>
      </c>
      <c r="P40" s="43">
        <v>1000000</v>
      </c>
      <c r="Q40" s="34">
        <f t="shared" si="33"/>
        <v>3000000</v>
      </c>
      <c r="R40" s="43">
        <v>1000000</v>
      </c>
      <c r="S40" s="43">
        <v>1000000</v>
      </c>
      <c r="T40" s="43">
        <v>1000000</v>
      </c>
      <c r="U40" s="34">
        <f t="shared" si="34"/>
        <v>3000000</v>
      </c>
      <c r="V40" s="34">
        <f t="shared" si="35"/>
        <v>12000000</v>
      </c>
    </row>
    <row r="41" spans="1:22" ht="13.15" outlineLevel="2">
      <c r="A41" s="22"/>
      <c r="B41" s="22"/>
      <c r="C41" s="22"/>
      <c r="D41" s="25" t="s">
        <v>32</v>
      </c>
      <c r="E41" s="7">
        <v>0</v>
      </c>
      <c r="F41" s="43">
        <v>300000</v>
      </c>
      <c r="G41" s="43">
        <v>300000</v>
      </c>
      <c r="H41" s="43">
        <v>300000</v>
      </c>
      <c r="I41" s="34">
        <f t="shared" si="31"/>
        <v>900000</v>
      </c>
      <c r="J41" s="43">
        <v>300000</v>
      </c>
      <c r="K41" s="43">
        <v>300000</v>
      </c>
      <c r="L41" s="43">
        <v>300000</v>
      </c>
      <c r="M41" s="34">
        <f t="shared" si="32"/>
        <v>900000</v>
      </c>
      <c r="N41" s="43">
        <v>300000</v>
      </c>
      <c r="O41" s="43">
        <v>300000</v>
      </c>
      <c r="P41" s="43">
        <v>300000</v>
      </c>
      <c r="Q41" s="34">
        <f t="shared" si="33"/>
        <v>900000</v>
      </c>
      <c r="R41" s="43">
        <v>300000</v>
      </c>
      <c r="S41" s="43">
        <v>300000</v>
      </c>
      <c r="T41" s="43">
        <v>300000</v>
      </c>
      <c r="U41" s="34">
        <f t="shared" si="34"/>
        <v>900000</v>
      </c>
      <c r="V41" s="34">
        <f t="shared" si="35"/>
        <v>3600000</v>
      </c>
    </row>
    <row r="42" spans="1:22" ht="13.15" outlineLevel="2">
      <c r="A42" s="22"/>
      <c r="B42" s="22"/>
      <c r="C42" s="22"/>
      <c r="D42" s="25" t="s">
        <v>98</v>
      </c>
      <c r="E42" s="7">
        <v>0</v>
      </c>
      <c r="F42" s="43">
        <v>100000</v>
      </c>
      <c r="G42" s="43">
        <v>100000</v>
      </c>
      <c r="H42" s="43">
        <v>100000</v>
      </c>
      <c r="I42" s="34">
        <f t="shared" si="31"/>
        <v>300000</v>
      </c>
      <c r="J42" s="43">
        <v>100000</v>
      </c>
      <c r="K42" s="43">
        <v>100000</v>
      </c>
      <c r="L42" s="43">
        <v>100000</v>
      </c>
      <c r="M42" s="34">
        <f t="shared" si="32"/>
        <v>300000</v>
      </c>
      <c r="N42" s="43">
        <v>100000</v>
      </c>
      <c r="O42" s="43">
        <v>100000</v>
      </c>
      <c r="P42" s="43">
        <v>100000</v>
      </c>
      <c r="Q42" s="34">
        <f t="shared" si="33"/>
        <v>300000</v>
      </c>
      <c r="R42" s="43">
        <v>100000</v>
      </c>
      <c r="S42" s="43">
        <v>100000</v>
      </c>
      <c r="T42" s="43">
        <v>100000</v>
      </c>
      <c r="U42" s="34">
        <f t="shared" ref="U42" si="36">SUM(R42:T42)</f>
        <v>300000</v>
      </c>
      <c r="V42" s="34">
        <f t="shared" si="35"/>
        <v>1200000</v>
      </c>
    </row>
    <row r="43" spans="1:22" ht="13.15" outlineLevel="2">
      <c r="A43" s="22"/>
      <c r="B43" s="22"/>
      <c r="C43" s="22"/>
      <c r="D43" s="25" t="s">
        <v>56</v>
      </c>
      <c r="E43" s="7">
        <v>0</v>
      </c>
      <c r="F43" s="43">
        <v>26000</v>
      </c>
      <c r="G43" s="43">
        <v>26000</v>
      </c>
      <c r="H43" s="43">
        <v>26000</v>
      </c>
      <c r="I43" s="34">
        <f t="shared" si="31"/>
        <v>78000</v>
      </c>
      <c r="J43" s="43">
        <v>26000</v>
      </c>
      <c r="K43" s="43">
        <v>26000</v>
      </c>
      <c r="L43" s="43">
        <v>26000</v>
      </c>
      <c r="M43" s="34">
        <f t="shared" si="32"/>
        <v>78000</v>
      </c>
      <c r="N43" s="43">
        <v>26000</v>
      </c>
      <c r="O43" s="43">
        <v>26000</v>
      </c>
      <c r="P43" s="43">
        <v>26000</v>
      </c>
      <c r="Q43" s="34">
        <f t="shared" si="33"/>
        <v>78000</v>
      </c>
      <c r="R43" s="43">
        <v>26000</v>
      </c>
      <c r="S43" s="43">
        <v>26000</v>
      </c>
      <c r="T43" s="43">
        <v>26000</v>
      </c>
      <c r="U43" s="34">
        <f t="shared" si="34"/>
        <v>78000</v>
      </c>
      <c r="V43" s="34">
        <f t="shared" si="35"/>
        <v>312000</v>
      </c>
    </row>
    <row r="44" spans="1:22" ht="13.15" outlineLevel="2">
      <c r="A44" s="22"/>
      <c r="B44" s="22"/>
      <c r="C44" s="22"/>
      <c r="D44" s="25" t="s">
        <v>57</v>
      </c>
      <c r="F44" s="43"/>
      <c r="G44" s="43"/>
      <c r="H44" s="43"/>
      <c r="I44" s="34">
        <f t="shared" si="31"/>
        <v>0</v>
      </c>
      <c r="J44" s="43"/>
      <c r="K44" s="43"/>
      <c r="L44" s="43"/>
      <c r="M44" s="34">
        <f t="shared" si="32"/>
        <v>0</v>
      </c>
      <c r="N44" s="43"/>
      <c r="O44" s="43"/>
      <c r="P44" s="43"/>
      <c r="Q44" s="34">
        <f t="shared" si="33"/>
        <v>0</v>
      </c>
      <c r="R44" s="43"/>
      <c r="S44" s="43"/>
      <c r="T44" s="43"/>
      <c r="U44" s="34">
        <f t="shared" si="34"/>
        <v>0</v>
      </c>
      <c r="V44" s="34">
        <f t="shared" si="35"/>
        <v>0</v>
      </c>
    </row>
    <row r="45" spans="1:22" ht="13.15" outlineLevel="2">
      <c r="A45" s="22"/>
      <c r="B45" s="22"/>
      <c r="C45" s="22"/>
      <c r="D45" s="25" t="s">
        <v>54</v>
      </c>
      <c r="E45" s="7">
        <v>0</v>
      </c>
      <c r="F45" s="43"/>
      <c r="G45" s="43"/>
      <c r="H45" s="43"/>
      <c r="I45" s="34">
        <f t="shared" si="31"/>
        <v>0</v>
      </c>
      <c r="J45" s="43"/>
      <c r="K45" s="43"/>
      <c r="L45" s="43"/>
      <c r="M45" s="34">
        <f t="shared" si="32"/>
        <v>0</v>
      </c>
      <c r="N45" s="43"/>
      <c r="O45" s="43"/>
      <c r="P45" s="43"/>
      <c r="Q45" s="34">
        <f t="shared" si="33"/>
        <v>0</v>
      </c>
      <c r="R45" s="43"/>
      <c r="S45" s="43"/>
      <c r="T45" s="43"/>
      <c r="U45" s="34">
        <f t="shared" si="34"/>
        <v>0</v>
      </c>
      <c r="V45" s="34">
        <f t="shared" si="35"/>
        <v>0</v>
      </c>
    </row>
    <row r="46" spans="1:22" ht="13.15" outlineLevel="2">
      <c r="A46" s="22"/>
      <c r="B46" s="22"/>
      <c r="C46" s="22"/>
      <c r="D46" s="25" t="s">
        <v>34</v>
      </c>
      <c r="E46" s="7">
        <v>0</v>
      </c>
      <c r="F46" s="43"/>
      <c r="G46" s="43"/>
      <c r="H46" s="43"/>
      <c r="I46" s="34">
        <f t="shared" si="31"/>
        <v>0</v>
      </c>
      <c r="J46" s="43"/>
      <c r="K46" s="43"/>
      <c r="L46" s="43"/>
      <c r="M46" s="34">
        <f t="shared" si="32"/>
        <v>0</v>
      </c>
      <c r="N46" s="43"/>
      <c r="O46" s="43"/>
      <c r="P46" s="43"/>
      <c r="Q46" s="34">
        <f t="shared" si="33"/>
        <v>0</v>
      </c>
      <c r="R46" s="43"/>
      <c r="S46" s="43"/>
      <c r="T46" s="43"/>
      <c r="U46" s="34">
        <f t="shared" si="34"/>
        <v>0</v>
      </c>
      <c r="V46" s="34">
        <f t="shared" si="35"/>
        <v>0</v>
      </c>
    </row>
    <row r="47" spans="1:22" ht="13.15" outlineLevel="2">
      <c r="A47" s="22"/>
      <c r="B47" s="22"/>
      <c r="C47" s="22"/>
      <c r="D47" s="25" t="s">
        <v>65</v>
      </c>
      <c r="E47" s="7">
        <v>0</v>
      </c>
      <c r="F47" s="43"/>
      <c r="G47" s="43"/>
      <c r="H47" s="43"/>
      <c r="I47" s="34">
        <f t="shared" si="31"/>
        <v>0</v>
      </c>
      <c r="J47" s="43"/>
      <c r="K47" s="43"/>
      <c r="L47" s="43"/>
      <c r="M47" s="34">
        <f t="shared" si="32"/>
        <v>0</v>
      </c>
      <c r="N47" s="43"/>
      <c r="O47" s="43"/>
      <c r="P47" s="43"/>
      <c r="Q47" s="34">
        <f t="shared" si="33"/>
        <v>0</v>
      </c>
      <c r="R47" s="43"/>
      <c r="S47" s="43"/>
      <c r="T47" s="43"/>
      <c r="U47" s="34">
        <f t="shared" si="34"/>
        <v>0</v>
      </c>
      <c r="V47" s="34">
        <f t="shared" si="35"/>
        <v>0</v>
      </c>
    </row>
    <row r="48" spans="1:22" ht="13.15" outlineLevel="2">
      <c r="A48" s="22"/>
      <c r="B48" s="22"/>
      <c r="C48" s="22"/>
      <c r="D48" s="25" t="s">
        <v>64</v>
      </c>
      <c r="E48" s="7">
        <v>0</v>
      </c>
      <c r="F48" s="43"/>
      <c r="G48" s="43"/>
      <c r="H48" s="43"/>
      <c r="I48" s="34">
        <f t="shared" si="31"/>
        <v>0</v>
      </c>
      <c r="J48" s="43"/>
      <c r="K48" s="43"/>
      <c r="L48" s="43"/>
      <c r="M48" s="34">
        <f t="shared" si="32"/>
        <v>0</v>
      </c>
      <c r="N48" s="43"/>
      <c r="O48" s="43"/>
      <c r="P48" s="43"/>
      <c r="Q48" s="34">
        <f t="shared" si="33"/>
        <v>0</v>
      </c>
      <c r="R48" s="43"/>
      <c r="S48" s="43"/>
      <c r="T48" s="43"/>
      <c r="U48" s="34">
        <f t="shared" si="34"/>
        <v>0</v>
      </c>
      <c r="V48" s="34">
        <f t="shared" si="35"/>
        <v>0</v>
      </c>
    </row>
    <row r="49" spans="1:22" ht="13.15" outlineLevel="2">
      <c r="A49" s="22"/>
      <c r="B49" s="22"/>
      <c r="C49" s="22"/>
      <c r="D49" s="25" t="s">
        <v>112</v>
      </c>
      <c r="F49" s="43">
        <v>195000</v>
      </c>
      <c r="G49" s="43">
        <v>195000</v>
      </c>
      <c r="H49" s="43">
        <v>195000</v>
      </c>
      <c r="I49" s="34">
        <f t="shared" si="31"/>
        <v>585000</v>
      </c>
      <c r="J49" s="43">
        <v>195000</v>
      </c>
      <c r="K49" s="43">
        <v>195000</v>
      </c>
      <c r="L49" s="43">
        <v>195000</v>
      </c>
      <c r="M49" s="34">
        <f t="shared" si="32"/>
        <v>585000</v>
      </c>
      <c r="N49" s="43">
        <v>195000</v>
      </c>
      <c r="O49" s="43">
        <v>195000</v>
      </c>
      <c r="P49" s="43">
        <v>195000</v>
      </c>
      <c r="Q49" s="34">
        <f t="shared" si="33"/>
        <v>585000</v>
      </c>
      <c r="R49" s="43">
        <v>195000</v>
      </c>
      <c r="S49" s="43">
        <v>195000</v>
      </c>
      <c r="T49" s="43">
        <v>195000</v>
      </c>
      <c r="U49" s="34">
        <f t="shared" si="34"/>
        <v>585000</v>
      </c>
      <c r="V49" s="34">
        <f t="shared" si="35"/>
        <v>2340000</v>
      </c>
    </row>
    <row r="50" spans="1:22" ht="13.15" outlineLevel="2">
      <c r="A50" s="22"/>
      <c r="B50" s="22"/>
      <c r="C50" s="22"/>
      <c r="D50" s="25" t="s">
        <v>119</v>
      </c>
      <c r="F50" s="43">
        <v>48000</v>
      </c>
      <c r="G50" s="43">
        <v>48000</v>
      </c>
      <c r="H50" s="43">
        <v>48000</v>
      </c>
      <c r="I50" s="34">
        <f t="shared" si="31"/>
        <v>144000</v>
      </c>
      <c r="J50" s="43">
        <v>48000</v>
      </c>
      <c r="K50" s="43">
        <v>48000</v>
      </c>
      <c r="L50" s="43">
        <v>48000</v>
      </c>
      <c r="M50" s="34">
        <f t="shared" si="32"/>
        <v>144000</v>
      </c>
      <c r="N50" s="43">
        <v>48000</v>
      </c>
      <c r="O50" s="43">
        <v>48000</v>
      </c>
      <c r="P50" s="43">
        <v>48000</v>
      </c>
      <c r="Q50" s="34">
        <f t="shared" si="33"/>
        <v>144000</v>
      </c>
      <c r="R50" s="43">
        <v>48000</v>
      </c>
      <c r="S50" s="43">
        <v>48000</v>
      </c>
      <c r="T50" s="43">
        <v>48000</v>
      </c>
      <c r="U50" s="34">
        <f t="shared" si="34"/>
        <v>144000</v>
      </c>
      <c r="V50" s="34">
        <f t="shared" si="35"/>
        <v>576000</v>
      </c>
    </row>
    <row r="51" spans="1:22" ht="13.15" outlineLevel="1">
      <c r="A51" s="24"/>
      <c r="B51" s="24" t="s">
        <v>1</v>
      </c>
      <c r="C51" s="24"/>
      <c r="D51" s="24"/>
      <c r="E51" s="8"/>
      <c r="F51" s="44">
        <f t="shared" ref="F51" si="37">SUM(F39:F50)</f>
        <v>2169000</v>
      </c>
      <c r="G51" s="44">
        <f t="shared" ref="G51:H51" si="38">SUM(G39:G50)</f>
        <v>2169000</v>
      </c>
      <c r="H51" s="44">
        <f t="shared" si="38"/>
        <v>2169000</v>
      </c>
      <c r="I51" s="35">
        <f>SUM(I39:I50)</f>
        <v>6507000</v>
      </c>
      <c r="J51" s="44">
        <f t="shared" ref="J51:L51" si="39">SUM(J39:J50)</f>
        <v>2169000</v>
      </c>
      <c r="K51" s="44">
        <f t="shared" si="39"/>
        <v>2169000</v>
      </c>
      <c r="L51" s="44">
        <f t="shared" si="39"/>
        <v>2169000</v>
      </c>
      <c r="M51" s="35">
        <f>SUM(M39:M50)</f>
        <v>6507000</v>
      </c>
      <c r="N51" s="44">
        <f t="shared" ref="N51:P51" si="40">SUM(N39:N50)</f>
        <v>2169000</v>
      </c>
      <c r="O51" s="44">
        <f t="shared" si="40"/>
        <v>2169000</v>
      </c>
      <c r="P51" s="44">
        <f t="shared" si="40"/>
        <v>2169000</v>
      </c>
      <c r="Q51" s="35">
        <f>SUM(Q39:Q50)</f>
        <v>6507000</v>
      </c>
      <c r="R51" s="44">
        <f t="shared" ref="R51:T51" si="41">SUM(R39:R50)</f>
        <v>2169000</v>
      </c>
      <c r="S51" s="44">
        <f t="shared" si="41"/>
        <v>2169000</v>
      </c>
      <c r="T51" s="44">
        <f t="shared" si="41"/>
        <v>2169000</v>
      </c>
      <c r="U51" s="35">
        <f>SUM(U39:U50)</f>
        <v>6507000</v>
      </c>
      <c r="V51" s="35">
        <f t="shared" si="35"/>
        <v>26028000</v>
      </c>
    </row>
    <row r="52" spans="1:22" ht="13.15" outlineLevel="1">
      <c r="A52" s="24"/>
      <c r="B52" s="24" t="s">
        <v>2</v>
      </c>
      <c r="C52" s="24"/>
      <c r="D52" s="24"/>
      <c r="E52" s="8"/>
      <c r="F52" s="44">
        <f>F37+F51</f>
        <v>22169000</v>
      </c>
      <c r="G52" s="44">
        <f>G37+G51</f>
        <v>22169000</v>
      </c>
      <c r="H52" s="44">
        <f>H37+H51</f>
        <v>22169000</v>
      </c>
      <c r="I52" s="35">
        <f>I51+I37</f>
        <v>66507000</v>
      </c>
      <c r="J52" s="44">
        <f>J37+J51</f>
        <v>22169000</v>
      </c>
      <c r="K52" s="44">
        <f>K37+K51</f>
        <v>22169000</v>
      </c>
      <c r="L52" s="44">
        <f>L37+L51</f>
        <v>22169000</v>
      </c>
      <c r="M52" s="35">
        <f>M51+M37</f>
        <v>66507000</v>
      </c>
      <c r="N52" s="44">
        <f>N37+N51</f>
        <v>22169000</v>
      </c>
      <c r="O52" s="44">
        <f>O37+O51</f>
        <v>22169000</v>
      </c>
      <c r="P52" s="44">
        <f>P37+P51</f>
        <v>22169000</v>
      </c>
      <c r="Q52" s="35">
        <f>Q51+Q37</f>
        <v>66507000</v>
      </c>
      <c r="R52" s="44">
        <f>R37+R51</f>
        <v>22169000</v>
      </c>
      <c r="S52" s="44">
        <f>S37+S51</f>
        <v>22169000</v>
      </c>
      <c r="T52" s="44">
        <f>T37+T51</f>
        <v>22169000</v>
      </c>
      <c r="U52" s="35">
        <f>U51+U37</f>
        <v>66507000</v>
      </c>
      <c r="V52" s="35">
        <f t="shared" si="35"/>
        <v>266028000</v>
      </c>
    </row>
    <row r="53" spans="1:22" s="4" customFormat="1" ht="13.15" outlineLevel="1">
      <c r="A53" s="24"/>
      <c r="B53" s="24" t="s">
        <v>3</v>
      </c>
      <c r="C53" s="24"/>
      <c r="D53" s="24"/>
      <c r="E53" s="8">
        <v>0</v>
      </c>
      <c r="F53" s="44">
        <v>0</v>
      </c>
      <c r="G53" s="44">
        <v>0</v>
      </c>
      <c r="H53" s="44">
        <v>0</v>
      </c>
      <c r="I53" s="35">
        <v>0</v>
      </c>
      <c r="J53" s="44">
        <v>0</v>
      </c>
      <c r="K53" s="44">
        <v>0</v>
      </c>
      <c r="L53" s="44">
        <v>0</v>
      </c>
      <c r="M53" s="35">
        <v>0</v>
      </c>
      <c r="N53" s="44">
        <v>0</v>
      </c>
      <c r="O53" s="44">
        <v>0</v>
      </c>
      <c r="P53" s="44">
        <v>0</v>
      </c>
      <c r="Q53" s="35">
        <v>0</v>
      </c>
      <c r="R53" s="44">
        <v>0</v>
      </c>
      <c r="S53" s="44">
        <v>0</v>
      </c>
      <c r="T53" s="44">
        <v>0</v>
      </c>
      <c r="U53" s="35">
        <v>0</v>
      </c>
      <c r="V53" s="35">
        <f t="shared" si="35"/>
        <v>0</v>
      </c>
    </row>
    <row r="54" spans="1:22" ht="13.15" outlineLevel="2">
      <c r="A54" s="22"/>
      <c r="B54" s="23" t="s">
        <v>39</v>
      </c>
      <c r="C54" s="22"/>
      <c r="D54" s="22"/>
      <c r="F54" s="43"/>
      <c r="G54" s="43"/>
      <c r="H54" s="43"/>
      <c r="I54" s="34"/>
      <c r="J54" s="43"/>
      <c r="K54" s="43"/>
      <c r="L54" s="43"/>
      <c r="M54" s="34"/>
      <c r="N54" s="43"/>
      <c r="O54" s="43"/>
      <c r="P54" s="43"/>
      <c r="Q54" s="34"/>
      <c r="R54" s="43"/>
      <c r="S54" s="43"/>
      <c r="T54" s="43"/>
      <c r="U54" s="34"/>
      <c r="V54" s="34"/>
    </row>
    <row r="55" spans="1:22" ht="13.15" outlineLevel="2">
      <c r="A55" s="22"/>
      <c r="B55" s="22"/>
      <c r="C55" s="25" t="s">
        <v>58</v>
      </c>
      <c r="D55" s="22"/>
      <c r="E55" s="7">
        <v>0</v>
      </c>
      <c r="F55" s="43"/>
      <c r="G55" s="43"/>
      <c r="H55" s="43"/>
      <c r="I55" s="34">
        <f t="shared" ref="I55:I65" si="42">SUM(F55:H55)</f>
        <v>0</v>
      </c>
      <c r="J55" s="43"/>
      <c r="K55" s="43"/>
      <c r="L55" s="43"/>
      <c r="M55" s="34">
        <f t="shared" ref="M55:M65" si="43">SUM(J55:L55)</f>
        <v>0</v>
      </c>
      <c r="N55" s="43"/>
      <c r="O55" s="43"/>
      <c r="P55" s="43"/>
      <c r="Q55" s="34">
        <f t="shared" ref="Q55:Q65" si="44">SUM(N55:P55)</f>
        <v>0</v>
      </c>
      <c r="R55" s="43"/>
      <c r="S55" s="43"/>
      <c r="T55" s="43"/>
      <c r="U55" s="34">
        <f t="shared" ref="U55:U65" si="45">SUM(R55:T55)</f>
        <v>0</v>
      </c>
      <c r="V55" s="34">
        <f t="shared" ref="V55:V66" si="46">I55+M55+Q55+U55</f>
        <v>0</v>
      </c>
    </row>
    <row r="56" spans="1:22" ht="13.15" outlineLevel="2">
      <c r="A56" s="22"/>
      <c r="B56" s="22"/>
      <c r="C56" s="25" t="s">
        <v>59</v>
      </c>
      <c r="D56" s="22"/>
      <c r="F56" s="43">
        <v>228000</v>
      </c>
      <c r="G56" s="43">
        <v>228000</v>
      </c>
      <c r="H56" s="43">
        <v>228000</v>
      </c>
      <c r="I56" s="34">
        <f t="shared" si="42"/>
        <v>684000</v>
      </c>
      <c r="J56" s="43">
        <v>228000</v>
      </c>
      <c r="K56" s="43">
        <v>228000</v>
      </c>
      <c r="L56" s="43">
        <v>228000</v>
      </c>
      <c r="M56" s="34">
        <f t="shared" si="43"/>
        <v>684000</v>
      </c>
      <c r="N56" s="43">
        <v>228000</v>
      </c>
      <c r="O56" s="43">
        <v>228000</v>
      </c>
      <c r="P56" s="43">
        <v>228000</v>
      </c>
      <c r="Q56" s="34">
        <f t="shared" si="44"/>
        <v>684000</v>
      </c>
      <c r="R56" s="43">
        <v>228000</v>
      </c>
      <c r="S56" s="43">
        <v>228000</v>
      </c>
      <c r="T56" s="43">
        <v>228000</v>
      </c>
      <c r="U56" s="34">
        <f t="shared" si="45"/>
        <v>684000</v>
      </c>
      <c r="V56" s="34">
        <f t="shared" si="46"/>
        <v>2736000</v>
      </c>
    </row>
    <row r="57" spans="1:22" ht="13.15" outlineLevel="2">
      <c r="A57" s="22"/>
      <c r="B57" s="22"/>
      <c r="C57" s="25" t="s">
        <v>60</v>
      </c>
      <c r="D57" s="22"/>
      <c r="F57" s="43">
        <v>156000</v>
      </c>
      <c r="G57" s="43">
        <v>156000</v>
      </c>
      <c r="H57" s="43">
        <v>156000</v>
      </c>
      <c r="I57" s="34">
        <f t="shared" si="42"/>
        <v>468000</v>
      </c>
      <c r="J57" s="43">
        <v>156000</v>
      </c>
      <c r="K57" s="43">
        <v>156000</v>
      </c>
      <c r="L57" s="43">
        <v>156000</v>
      </c>
      <c r="M57" s="34">
        <f t="shared" si="43"/>
        <v>468000</v>
      </c>
      <c r="N57" s="43">
        <v>156000</v>
      </c>
      <c r="O57" s="43">
        <v>156000</v>
      </c>
      <c r="P57" s="43">
        <v>156000</v>
      </c>
      <c r="Q57" s="34">
        <f t="shared" si="44"/>
        <v>468000</v>
      </c>
      <c r="R57" s="43">
        <v>156000</v>
      </c>
      <c r="S57" s="43">
        <v>156000</v>
      </c>
      <c r="T57" s="43">
        <v>156000</v>
      </c>
      <c r="U57" s="34">
        <f t="shared" si="45"/>
        <v>468000</v>
      </c>
      <c r="V57" s="34">
        <f t="shared" si="46"/>
        <v>1872000</v>
      </c>
    </row>
    <row r="58" spans="1:22" ht="13.15" outlineLevel="2">
      <c r="A58" s="22"/>
      <c r="B58" s="22"/>
      <c r="C58" s="25" t="s">
        <v>61</v>
      </c>
      <c r="D58" s="22"/>
      <c r="F58" s="43">
        <v>253000</v>
      </c>
      <c r="G58" s="43">
        <v>253000</v>
      </c>
      <c r="H58" s="43">
        <v>253000</v>
      </c>
      <c r="I58" s="34">
        <f t="shared" si="42"/>
        <v>759000</v>
      </c>
      <c r="J58" s="43">
        <v>253000</v>
      </c>
      <c r="K58" s="43">
        <v>253000</v>
      </c>
      <c r="L58" s="43">
        <v>253000</v>
      </c>
      <c r="M58" s="34">
        <f t="shared" si="43"/>
        <v>759000</v>
      </c>
      <c r="N58" s="43">
        <v>253000</v>
      </c>
      <c r="O58" s="43">
        <v>253000</v>
      </c>
      <c r="P58" s="43">
        <v>253000</v>
      </c>
      <c r="Q58" s="34">
        <f t="shared" si="44"/>
        <v>759000</v>
      </c>
      <c r="R58" s="43">
        <v>253000</v>
      </c>
      <c r="S58" s="43">
        <v>253000</v>
      </c>
      <c r="T58" s="43">
        <v>253000</v>
      </c>
      <c r="U58" s="34">
        <f t="shared" si="45"/>
        <v>759000</v>
      </c>
      <c r="V58" s="34">
        <f t="shared" si="46"/>
        <v>3036000</v>
      </c>
    </row>
    <row r="59" spans="1:22" ht="13.15" outlineLevel="2">
      <c r="A59" s="22"/>
      <c r="B59" s="22"/>
      <c r="C59" s="25" t="s">
        <v>62</v>
      </c>
      <c r="D59" s="22"/>
      <c r="F59" s="43">
        <v>147000</v>
      </c>
      <c r="G59" s="43">
        <v>147000</v>
      </c>
      <c r="H59" s="43">
        <v>147000</v>
      </c>
      <c r="I59" s="34">
        <f t="shared" si="42"/>
        <v>441000</v>
      </c>
      <c r="J59" s="43">
        <v>147000</v>
      </c>
      <c r="K59" s="43">
        <v>147000</v>
      </c>
      <c r="L59" s="43">
        <v>147000</v>
      </c>
      <c r="M59" s="34">
        <f t="shared" si="43"/>
        <v>441000</v>
      </c>
      <c r="N59" s="43">
        <v>147000</v>
      </c>
      <c r="O59" s="43">
        <v>147000</v>
      </c>
      <c r="P59" s="43">
        <v>147000</v>
      </c>
      <c r="Q59" s="34">
        <f t="shared" si="44"/>
        <v>441000</v>
      </c>
      <c r="R59" s="43">
        <v>147000</v>
      </c>
      <c r="S59" s="43">
        <v>147000</v>
      </c>
      <c r="T59" s="43">
        <v>147000</v>
      </c>
      <c r="U59" s="34">
        <f t="shared" si="45"/>
        <v>441000</v>
      </c>
      <c r="V59" s="34">
        <f t="shared" si="46"/>
        <v>1764000</v>
      </c>
    </row>
    <row r="60" spans="1:22" ht="13.15" outlineLevel="2">
      <c r="A60" s="22"/>
      <c r="B60" s="22"/>
      <c r="C60" s="25" t="s">
        <v>118</v>
      </c>
      <c r="D60" s="22"/>
      <c r="F60" s="43">
        <v>919000</v>
      </c>
      <c r="G60" s="43">
        <v>919000</v>
      </c>
      <c r="H60" s="43">
        <v>919000</v>
      </c>
      <c r="I60" s="34">
        <f t="shared" si="42"/>
        <v>2757000</v>
      </c>
      <c r="J60" s="43">
        <v>919000</v>
      </c>
      <c r="K60" s="43">
        <v>919000</v>
      </c>
      <c r="L60" s="43">
        <v>919000</v>
      </c>
      <c r="M60" s="34">
        <f t="shared" si="43"/>
        <v>2757000</v>
      </c>
      <c r="N60" s="43">
        <v>919000</v>
      </c>
      <c r="O60" s="43">
        <v>919000</v>
      </c>
      <c r="P60" s="43">
        <v>919000</v>
      </c>
      <c r="Q60" s="34">
        <f t="shared" si="44"/>
        <v>2757000</v>
      </c>
      <c r="R60" s="43">
        <v>919000</v>
      </c>
      <c r="S60" s="43">
        <v>919000</v>
      </c>
      <c r="T60" s="43">
        <v>919000</v>
      </c>
      <c r="U60" s="34">
        <f t="shared" si="45"/>
        <v>2757000</v>
      </c>
      <c r="V60" s="34">
        <f t="shared" si="46"/>
        <v>11028000</v>
      </c>
    </row>
    <row r="61" spans="1:22" ht="13.15" outlineLevel="2">
      <c r="A61" s="22"/>
      <c r="B61" s="22"/>
      <c r="C61" s="25" t="s">
        <v>157</v>
      </c>
      <c r="D61" s="22"/>
      <c r="F61" s="43"/>
      <c r="G61" s="43"/>
      <c r="H61" s="43"/>
      <c r="I61" s="34">
        <f t="shared" si="42"/>
        <v>0</v>
      </c>
      <c r="J61" s="43"/>
      <c r="K61" s="43"/>
      <c r="L61" s="43"/>
      <c r="M61" s="34">
        <f t="shared" si="43"/>
        <v>0</v>
      </c>
      <c r="N61" s="43"/>
      <c r="O61" s="43"/>
      <c r="P61" s="43"/>
      <c r="Q61" s="34">
        <f t="shared" si="44"/>
        <v>0</v>
      </c>
      <c r="R61" s="43"/>
      <c r="S61" s="43"/>
      <c r="T61" s="43"/>
      <c r="U61" s="34">
        <f t="shared" si="45"/>
        <v>0</v>
      </c>
      <c r="V61" s="34">
        <f t="shared" si="46"/>
        <v>0</v>
      </c>
    </row>
    <row r="62" spans="1:22" ht="13.15" outlineLevel="2">
      <c r="A62" s="22"/>
      <c r="B62" s="22"/>
      <c r="C62" s="25" t="s">
        <v>28</v>
      </c>
      <c r="D62" s="22"/>
      <c r="E62" s="7">
        <v>0</v>
      </c>
      <c r="F62" s="43">
        <v>504000</v>
      </c>
      <c r="G62" s="43">
        <v>504000</v>
      </c>
      <c r="H62" s="43">
        <v>504000</v>
      </c>
      <c r="I62" s="34">
        <f t="shared" si="42"/>
        <v>1512000</v>
      </c>
      <c r="J62" s="43">
        <v>504000</v>
      </c>
      <c r="K62" s="43">
        <v>504000</v>
      </c>
      <c r="L62" s="43">
        <v>504000</v>
      </c>
      <c r="M62" s="34">
        <f t="shared" si="43"/>
        <v>1512000</v>
      </c>
      <c r="N62" s="43">
        <v>504000</v>
      </c>
      <c r="O62" s="43">
        <v>504000</v>
      </c>
      <c r="P62" s="43">
        <v>504000</v>
      </c>
      <c r="Q62" s="34">
        <f t="shared" si="44"/>
        <v>1512000</v>
      </c>
      <c r="R62" s="43">
        <v>504000</v>
      </c>
      <c r="S62" s="43">
        <v>504000</v>
      </c>
      <c r="T62" s="43">
        <v>504000</v>
      </c>
      <c r="U62" s="34">
        <f t="shared" si="45"/>
        <v>1512000</v>
      </c>
      <c r="V62" s="34">
        <f t="shared" si="46"/>
        <v>6048000</v>
      </c>
    </row>
    <row r="63" spans="1:22" ht="13.15" outlineLevel="2">
      <c r="A63" s="22"/>
      <c r="B63" s="22"/>
      <c r="C63" s="25" t="s">
        <v>35</v>
      </c>
      <c r="D63" s="22"/>
      <c r="E63" s="7">
        <v>0</v>
      </c>
      <c r="F63" s="43"/>
      <c r="G63" s="43"/>
      <c r="H63" s="43"/>
      <c r="I63" s="34">
        <f t="shared" si="42"/>
        <v>0</v>
      </c>
      <c r="J63" s="43"/>
      <c r="K63" s="43"/>
      <c r="L63" s="43"/>
      <c r="M63" s="34">
        <f t="shared" si="43"/>
        <v>0</v>
      </c>
      <c r="N63" s="43"/>
      <c r="O63" s="43"/>
      <c r="P63" s="43"/>
      <c r="Q63" s="34">
        <f t="shared" si="44"/>
        <v>0</v>
      </c>
      <c r="R63" s="43"/>
      <c r="S63" s="43"/>
      <c r="T63" s="43"/>
      <c r="U63" s="34">
        <f t="shared" si="45"/>
        <v>0</v>
      </c>
      <c r="V63" s="34">
        <f t="shared" si="46"/>
        <v>0</v>
      </c>
    </row>
    <row r="64" spans="1:22" ht="13.15" outlineLevel="2">
      <c r="A64" s="22"/>
      <c r="B64" s="22"/>
      <c r="C64" s="25" t="s">
        <v>52</v>
      </c>
      <c r="D64" s="22"/>
      <c r="E64" s="7">
        <v>0</v>
      </c>
      <c r="F64" s="43">
        <v>245000</v>
      </c>
      <c r="G64" s="43">
        <v>245000</v>
      </c>
      <c r="H64" s="43">
        <v>245000</v>
      </c>
      <c r="I64" s="34">
        <f t="shared" si="42"/>
        <v>735000</v>
      </c>
      <c r="J64" s="43">
        <v>245000</v>
      </c>
      <c r="K64" s="43">
        <v>245000</v>
      </c>
      <c r="L64" s="43">
        <v>245000</v>
      </c>
      <c r="M64" s="34">
        <f t="shared" si="43"/>
        <v>735000</v>
      </c>
      <c r="N64" s="43">
        <v>245000</v>
      </c>
      <c r="O64" s="43">
        <v>245000</v>
      </c>
      <c r="P64" s="43">
        <v>245000</v>
      </c>
      <c r="Q64" s="34">
        <f t="shared" si="44"/>
        <v>735000</v>
      </c>
      <c r="R64" s="43">
        <v>245000</v>
      </c>
      <c r="S64" s="43">
        <v>245000</v>
      </c>
      <c r="T64" s="43">
        <v>245000</v>
      </c>
      <c r="U64" s="34">
        <f t="shared" si="45"/>
        <v>735000</v>
      </c>
      <c r="V64" s="34">
        <f t="shared" si="46"/>
        <v>2940000</v>
      </c>
    </row>
    <row r="65" spans="1:22" ht="13.15" outlineLevel="2">
      <c r="A65" s="22"/>
      <c r="B65" s="22"/>
      <c r="C65" s="25" t="s">
        <v>36</v>
      </c>
      <c r="D65" s="22"/>
      <c r="E65" s="7">
        <v>0</v>
      </c>
      <c r="F65" s="43">
        <v>1171000</v>
      </c>
      <c r="G65" s="43">
        <v>1171000</v>
      </c>
      <c r="H65" s="43">
        <v>1171000</v>
      </c>
      <c r="I65" s="34">
        <f t="shared" si="42"/>
        <v>3513000</v>
      </c>
      <c r="J65" s="43">
        <v>1171000</v>
      </c>
      <c r="K65" s="43">
        <v>1171000</v>
      </c>
      <c r="L65" s="43">
        <v>1171000</v>
      </c>
      <c r="M65" s="34">
        <f t="shared" si="43"/>
        <v>3513000</v>
      </c>
      <c r="N65" s="43">
        <v>1171000</v>
      </c>
      <c r="O65" s="43">
        <v>1171000</v>
      </c>
      <c r="P65" s="43">
        <v>1171000</v>
      </c>
      <c r="Q65" s="34">
        <f t="shared" si="44"/>
        <v>3513000</v>
      </c>
      <c r="R65" s="43">
        <v>1171000</v>
      </c>
      <c r="S65" s="43">
        <v>1171000</v>
      </c>
      <c r="T65" s="43">
        <v>1171000</v>
      </c>
      <c r="U65" s="34">
        <f t="shared" si="45"/>
        <v>3513000</v>
      </c>
      <c r="V65" s="34">
        <f t="shared" si="46"/>
        <v>14052000</v>
      </c>
    </row>
    <row r="66" spans="1:22" ht="13.15" outlineLevel="1">
      <c r="A66" s="24"/>
      <c r="B66" s="24" t="s">
        <v>4</v>
      </c>
      <c r="C66" s="24"/>
      <c r="D66" s="24"/>
      <c r="E66" s="8"/>
      <c r="F66" s="44">
        <f t="shared" ref="F66" si="47">SUM(F55:F65)</f>
        <v>3623000</v>
      </c>
      <c r="G66" s="44">
        <f t="shared" ref="G66:H66" si="48">SUM(G55:G65)</f>
        <v>3623000</v>
      </c>
      <c r="H66" s="44">
        <f t="shared" si="48"/>
        <v>3623000</v>
      </c>
      <c r="I66" s="35">
        <f>SUM(I55:I65)</f>
        <v>10869000</v>
      </c>
      <c r="J66" s="44">
        <f t="shared" ref="J66:L66" si="49">SUM(J55:J65)</f>
        <v>3623000</v>
      </c>
      <c r="K66" s="44">
        <f t="shared" si="49"/>
        <v>3623000</v>
      </c>
      <c r="L66" s="44">
        <f t="shared" si="49"/>
        <v>3623000</v>
      </c>
      <c r="M66" s="35">
        <f>SUM(M55:M65)</f>
        <v>10869000</v>
      </c>
      <c r="N66" s="44">
        <f t="shared" ref="N66:P66" si="50">SUM(N55:N65)</f>
        <v>3623000</v>
      </c>
      <c r="O66" s="44">
        <f t="shared" si="50"/>
        <v>3623000</v>
      </c>
      <c r="P66" s="44">
        <f t="shared" si="50"/>
        <v>3623000</v>
      </c>
      <c r="Q66" s="35">
        <f>SUM(Q55:Q65)</f>
        <v>10869000</v>
      </c>
      <c r="R66" s="44">
        <f t="shared" ref="R66:T66" si="51">SUM(R55:R65)</f>
        <v>3623000</v>
      </c>
      <c r="S66" s="44">
        <f t="shared" si="51"/>
        <v>3623000</v>
      </c>
      <c r="T66" s="44">
        <f t="shared" si="51"/>
        <v>3623000</v>
      </c>
      <c r="U66" s="35">
        <f>SUM(U55:U65)</f>
        <v>10869000</v>
      </c>
      <c r="V66" s="35">
        <f t="shared" si="46"/>
        <v>43476000</v>
      </c>
    </row>
    <row r="67" spans="1:22" ht="13.15" outlineLevel="2">
      <c r="A67" s="24"/>
      <c r="B67" s="26" t="s">
        <v>5</v>
      </c>
      <c r="C67" s="27"/>
      <c r="D67" s="27"/>
      <c r="E67" s="9"/>
      <c r="F67" s="129"/>
      <c r="G67" s="129"/>
      <c r="H67" s="129"/>
      <c r="I67" s="36"/>
      <c r="J67" s="129"/>
      <c r="K67" s="129"/>
      <c r="L67" s="129"/>
      <c r="M67" s="36"/>
      <c r="N67" s="129"/>
      <c r="O67" s="129"/>
      <c r="P67" s="129"/>
      <c r="Q67" s="36"/>
      <c r="R67" s="129"/>
      <c r="S67" s="129"/>
      <c r="T67" s="129"/>
      <c r="U67" s="36"/>
      <c r="V67" s="35" t="s">
        <v>86</v>
      </c>
    </row>
    <row r="68" spans="1:22" ht="13.15" outlineLevel="2">
      <c r="A68" s="24"/>
      <c r="B68" s="27"/>
      <c r="C68" s="28" t="s">
        <v>47</v>
      </c>
      <c r="D68" s="27"/>
      <c r="E68" s="9">
        <v>0</v>
      </c>
      <c r="F68" s="43"/>
      <c r="G68" s="43"/>
      <c r="H68" s="43"/>
      <c r="I68" s="34">
        <f>SUM(F68:H68)</f>
        <v>0</v>
      </c>
      <c r="J68" s="43"/>
      <c r="K68" s="43"/>
      <c r="L68" s="43"/>
      <c r="M68" s="34">
        <f>SUM(J68:L68)</f>
        <v>0</v>
      </c>
      <c r="N68" s="43"/>
      <c r="O68" s="43"/>
      <c r="P68" s="43"/>
      <c r="Q68" s="34">
        <f>SUM(N68:P68)</f>
        <v>0</v>
      </c>
      <c r="R68" s="43"/>
      <c r="S68" s="43"/>
      <c r="T68" s="43"/>
      <c r="U68" s="34">
        <f>SUM(R68:T68)</f>
        <v>0</v>
      </c>
      <c r="V68" s="34">
        <f>I68+M68+Q68+U68</f>
        <v>0</v>
      </c>
    </row>
    <row r="69" spans="1:22" ht="13.15" outlineLevel="2">
      <c r="A69" s="24"/>
      <c r="B69" s="27"/>
      <c r="C69" s="28" t="s">
        <v>48</v>
      </c>
      <c r="D69" s="27"/>
      <c r="E69" s="9">
        <v>0</v>
      </c>
      <c r="F69" s="43"/>
      <c r="G69" s="43"/>
      <c r="H69" s="43"/>
      <c r="I69" s="34">
        <f>SUM(F69:H69)</f>
        <v>0</v>
      </c>
      <c r="J69" s="43"/>
      <c r="K69" s="43"/>
      <c r="L69" s="43"/>
      <c r="M69" s="34">
        <f>SUM(J69:L69)</f>
        <v>0</v>
      </c>
      <c r="N69" s="43"/>
      <c r="O69" s="43"/>
      <c r="P69" s="43"/>
      <c r="Q69" s="34">
        <f>SUM(N69:P69)</f>
        <v>0</v>
      </c>
      <c r="R69" s="43"/>
      <c r="S69" s="43"/>
      <c r="T69" s="43"/>
      <c r="U69" s="34">
        <f>SUM(R69:T69)</f>
        <v>0</v>
      </c>
      <c r="V69" s="34">
        <f>I69+M69+Q69+U69</f>
        <v>0</v>
      </c>
    </row>
    <row r="70" spans="1:22" ht="13.15" outlineLevel="2">
      <c r="A70" s="24"/>
      <c r="B70" s="27"/>
      <c r="C70" s="28" t="s">
        <v>26</v>
      </c>
      <c r="D70" s="27"/>
      <c r="E70" s="9">
        <v>0</v>
      </c>
      <c r="F70" s="43"/>
      <c r="G70" s="43"/>
      <c r="H70" s="43"/>
      <c r="I70" s="34">
        <f>SUM(F70:H70)</f>
        <v>0</v>
      </c>
      <c r="J70" s="43"/>
      <c r="K70" s="43"/>
      <c r="L70" s="43"/>
      <c r="M70" s="34">
        <f>SUM(J70:L70)</f>
        <v>0</v>
      </c>
      <c r="N70" s="43"/>
      <c r="O70" s="43"/>
      <c r="P70" s="43"/>
      <c r="Q70" s="34">
        <f>SUM(N70:P70)</f>
        <v>0</v>
      </c>
      <c r="R70" s="43"/>
      <c r="S70" s="43"/>
      <c r="T70" s="43"/>
      <c r="U70" s="34">
        <f>SUM(R70:T70)</f>
        <v>0</v>
      </c>
      <c r="V70" s="34">
        <f>I70+M70+Q70+U70</f>
        <v>0</v>
      </c>
    </row>
    <row r="71" spans="1:22" ht="13.15" outlineLevel="1">
      <c r="A71" s="24"/>
      <c r="B71" s="29" t="s">
        <v>6</v>
      </c>
      <c r="C71" s="30"/>
      <c r="D71" s="30"/>
      <c r="E71" s="10"/>
      <c r="F71" s="45">
        <f>SUM(F68:F70)</f>
        <v>0</v>
      </c>
      <c r="G71" s="45">
        <f>SUM(G68:G70)</f>
        <v>0</v>
      </c>
      <c r="H71" s="45">
        <f>SUM(H68:H70)</f>
        <v>0</v>
      </c>
      <c r="I71" s="35">
        <f t="shared" ref="I71:Q71" si="52">SUM(I68:I70)</f>
        <v>0</v>
      </c>
      <c r="J71" s="45">
        <f>SUM(J68:J70)</f>
        <v>0</v>
      </c>
      <c r="K71" s="45">
        <f>SUM(K68:K70)</f>
        <v>0</v>
      </c>
      <c r="L71" s="45">
        <f>SUM(L68:L70)</f>
        <v>0</v>
      </c>
      <c r="M71" s="35">
        <f t="shared" si="52"/>
        <v>0</v>
      </c>
      <c r="N71" s="45">
        <f>SUM(N68:N70)</f>
        <v>0</v>
      </c>
      <c r="O71" s="45">
        <f>SUM(O68:O70)</f>
        <v>0</v>
      </c>
      <c r="P71" s="45">
        <f>SUM(P68:P70)</f>
        <v>0</v>
      </c>
      <c r="Q71" s="35">
        <f t="shared" si="52"/>
        <v>0</v>
      </c>
      <c r="R71" s="45">
        <f>SUM(R68:R70)</f>
        <v>0</v>
      </c>
      <c r="S71" s="45">
        <f>SUM(S68:S70)</f>
        <v>0</v>
      </c>
      <c r="T71" s="45">
        <f>SUM(T68:T70)</f>
        <v>0</v>
      </c>
      <c r="U71" s="35">
        <f t="shared" ref="U71" si="53">SUM(U68:U70)</f>
        <v>0</v>
      </c>
      <c r="V71" s="35">
        <f>I71+M71+Q71+U71</f>
        <v>0</v>
      </c>
    </row>
    <row r="72" spans="1:22" ht="13.15" outlineLevel="2">
      <c r="A72" s="24"/>
      <c r="B72" s="26" t="s">
        <v>7</v>
      </c>
      <c r="C72" s="27"/>
      <c r="D72" s="27"/>
      <c r="E72" s="9"/>
      <c r="F72" s="129"/>
      <c r="G72" s="129"/>
      <c r="H72" s="129"/>
      <c r="I72" s="36"/>
      <c r="J72" s="129"/>
      <c r="K72" s="129"/>
      <c r="L72" s="129"/>
      <c r="M72" s="36"/>
      <c r="N72" s="129"/>
      <c r="O72" s="129"/>
      <c r="P72" s="129"/>
      <c r="Q72" s="36"/>
      <c r="R72" s="129"/>
      <c r="S72" s="129"/>
      <c r="T72" s="129"/>
      <c r="U72" s="36"/>
      <c r="V72" s="36"/>
    </row>
    <row r="73" spans="1:22" ht="13.15" outlineLevel="2">
      <c r="A73" s="24"/>
      <c r="B73" s="27"/>
      <c r="C73" s="28" t="s">
        <v>40</v>
      </c>
      <c r="D73" s="27"/>
      <c r="E73" s="9">
        <v>0</v>
      </c>
      <c r="F73" s="43"/>
      <c r="G73" s="43"/>
      <c r="H73" s="43"/>
      <c r="I73" s="34">
        <f>SUM(F73:H73)</f>
        <v>0</v>
      </c>
      <c r="J73" s="43"/>
      <c r="K73" s="43"/>
      <c r="L73" s="43"/>
      <c r="M73" s="34">
        <f>SUM(J73:L73)</f>
        <v>0</v>
      </c>
      <c r="N73" s="43"/>
      <c r="O73" s="43"/>
      <c r="P73" s="43"/>
      <c r="Q73" s="34">
        <f>SUM(N73:P73)</f>
        <v>0</v>
      </c>
      <c r="R73" s="43"/>
      <c r="S73" s="43"/>
      <c r="T73" s="43"/>
      <c r="U73" s="34">
        <f>SUM(R73:T73)</f>
        <v>0</v>
      </c>
      <c r="V73" s="34">
        <f>I73+M73+Q73+U73</f>
        <v>0</v>
      </c>
    </row>
    <row r="74" spans="1:22" ht="13.15" outlineLevel="2">
      <c r="A74" s="24"/>
      <c r="B74" s="27"/>
      <c r="C74" s="27" t="s">
        <v>8</v>
      </c>
      <c r="D74" s="27"/>
      <c r="E74" s="9">
        <v>0</v>
      </c>
      <c r="F74" s="43"/>
      <c r="G74" s="43"/>
      <c r="H74" s="43"/>
      <c r="I74" s="34">
        <f>SUM(F74:H74)</f>
        <v>0</v>
      </c>
      <c r="J74" s="43"/>
      <c r="K74" s="43"/>
      <c r="L74" s="43"/>
      <c r="M74" s="34">
        <f>SUM(J74:L74)</f>
        <v>0</v>
      </c>
      <c r="N74" s="43"/>
      <c r="O74" s="43"/>
      <c r="P74" s="43"/>
      <c r="Q74" s="34">
        <f>SUM(N74:P74)</f>
        <v>0</v>
      </c>
      <c r="R74" s="43"/>
      <c r="S74" s="43"/>
      <c r="T74" s="43"/>
      <c r="U74" s="34">
        <f>SUM(R74:T74)</f>
        <v>0</v>
      </c>
      <c r="V74" s="34">
        <f>I74+M74+Q74+U74</f>
        <v>0</v>
      </c>
    </row>
    <row r="75" spans="1:22" ht="13.15" outlineLevel="2">
      <c r="A75" s="24"/>
      <c r="B75" s="27"/>
      <c r="C75" s="27" t="s">
        <v>9</v>
      </c>
      <c r="D75" s="27"/>
      <c r="E75" s="9">
        <v>0</v>
      </c>
      <c r="F75" s="43"/>
      <c r="G75" s="43"/>
      <c r="H75" s="43"/>
      <c r="I75" s="34">
        <f>SUM(F75:H75)</f>
        <v>0</v>
      </c>
      <c r="J75" s="43"/>
      <c r="K75" s="43"/>
      <c r="L75" s="43"/>
      <c r="M75" s="34">
        <f>SUM(J75:L75)</f>
        <v>0</v>
      </c>
      <c r="N75" s="43"/>
      <c r="O75" s="43"/>
      <c r="P75" s="43"/>
      <c r="Q75" s="34">
        <f>SUM(N75:P75)</f>
        <v>0</v>
      </c>
      <c r="R75" s="43"/>
      <c r="S75" s="43"/>
      <c r="T75" s="43"/>
      <c r="U75" s="34">
        <f>SUM(R75:T75)</f>
        <v>0</v>
      </c>
      <c r="V75" s="34">
        <f>I75+M75+Q75+U75</f>
        <v>0</v>
      </c>
    </row>
    <row r="76" spans="1:22" ht="13.15" outlineLevel="1">
      <c r="A76" s="24"/>
      <c r="B76" s="29" t="s">
        <v>10</v>
      </c>
      <c r="C76" s="30"/>
      <c r="D76" s="30"/>
      <c r="E76" s="10"/>
      <c r="F76" s="45">
        <f t="shared" ref="F76" si="54">SUM(F73:F75)</f>
        <v>0</v>
      </c>
      <c r="G76" s="45">
        <f t="shared" ref="G76:H76" si="55">SUM(G73:G75)</f>
        <v>0</v>
      </c>
      <c r="H76" s="45">
        <f t="shared" si="55"/>
        <v>0</v>
      </c>
      <c r="I76" s="35">
        <f>SUM(I73:I75)</f>
        <v>0</v>
      </c>
      <c r="J76" s="45">
        <f t="shared" ref="J76:L76" si="56">SUM(J73:J75)</f>
        <v>0</v>
      </c>
      <c r="K76" s="45">
        <f t="shared" si="56"/>
        <v>0</v>
      </c>
      <c r="L76" s="45">
        <f t="shared" si="56"/>
        <v>0</v>
      </c>
      <c r="M76" s="35">
        <f>SUM(M73:M75)</f>
        <v>0</v>
      </c>
      <c r="N76" s="45">
        <f t="shared" ref="N76:P76" si="57">SUM(N73:N75)</f>
        <v>0</v>
      </c>
      <c r="O76" s="45">
        <f t="shared" si="57"/>
        <v>0</v>
      </c>
      <c r="P76" s="45">
        <f t="shared" si="57"/>
        <v>0</v>
      </c>
      <c r="Q76" s="35">
        <f>SUM(Q73:Q75)</f>
        <v>0</v>
      </c>
      <c r="R76" s="45">
        <f t="shared" ref="R76:T76" si="58">SUM(R73:R75)</f>
        <v>0</v>
      </c>
      <c r="S76" s="45">
        <f t="shared" si="58"/>
        <v>0</v>
      </c>
      <c r="T76" s="45">
        <f t="shared" si="58"/>
        <v>0</v>
      </c>
      <c r="U76" s="35">
        <f>SUM(U73:U75)</f>
        <v>0</v>
      </c>
      <c r="V76" s="35">
        <f>I76+M76+Q76+U76</f>
        <v>0</v>
      </c>
    </row>
    <row r="77" spans="1:22" ht="13.15">
      <c r="A77" s="31"/>
      <c r="B77" s="32"/>
      <c r="C77" s="31"/>
      <c r="D77" s="32" t="s">
        <v>11</v>
      </c>
      <c r="E77" s="9"/>
      <c r="F77" s="139">
        <f>F52+F53+F66+F71+F76</f>
        <v>25792000</v>
      </c>
      <c r="G77" s="139">
        <f>G52+G53+G66+G71+G76</f>
        <v>25792000</v>
      </c>
      <c r="H77" s="139">
        <f>H52+H53+H66+H71+H76</f>
        <v>25792000</v>
      </c>
      <c r="I77" s="139">
        <f>I76+I71+I66+I53+I52</f>
        <v>77376000</v>
      </c>
      <c r="J77" s="139">
        <f>J52+J53+J66+J71+J76</f>
        <v>25792000</v>
      </c>
      <c r="K77" s="139">
        <f>K52+K53+K66+K71+K76</f>
        <v>25792000</v>
      </c>
      <c r="L77" s="139">
        <f>L52+L53+L66+L71+L76</f>
        <v>25792000</v>
      </c>
      <c r="M77" s="139">
        <f>M76+M71+M66+M53+M52</f>
        <v>77376000</v>
      </c>
      <c r="N77" s="139">
        <f>N52+N53+N66+N71+N76</f>
        <v>25792000</v>
      </c>
      <c r="O77" s="139">
        <f>O52+O53+O66+O71+O76</f>
        <v>25792000</v>
      </c>
      <c r="P77" s="139">
        <f>P52+P53+P66+P71+P76</f>
        <v>25792000</v>
      </c>
      <c r="Q77" s="139">
        <f>Q76+Q71+Q66+Q53+Q52</f>
        <v>77376000</v>
      </c>
      <c r="R77" s="139">
        <f>R52+R53+R66+R71+R76</f>
        <v>25792000</v>
      </c>
      <c r="S77" s="139">
        <f>S52+S53+S66+S71+S76</f>
        <v>25792000</v>
      </c>
      <c r="T77" s="139">
        <f>T52+T53+T66+T71+T76</f>
        <v>25792000</v>
      </c>
      <c r="U77" s="35">
        <f>U76+U71+U66+U53+U52</f>
        <v>77376000</v>
      </c>
      <c r="V77" s="35">
        <f>I77+M77+Q77+U77</f>
        <v>309504000</v>
      </c>
    </row>
    <row r="78" spans="1:22" ht="13.15" outlineLevel="1">
      <c r="A78" s="32" t="s">
        <v>12</v>
      </c>
      <c r="B78" s="32"/>
      <c r="C78" s="33"/>
      <c r="D78" s="33"/>
      <c r="E78" s="9"/>
      <c r="F78" s="44"/>
      <c r="G78" s="44"/>
      <c r="H78" s="44"/>
      <c r="I78" s="35"/>
      <c r="J78" s="44"/>
      <c r="K78" s="44"/>
      <c r="L78" s="44"/>
      <c r="M78" s="35"/>
      <c r="N78" s="44"/>
      <c r="O78" s="44"/>
      <c r="P78" s="44"/>
      <c r="Q78" s="35"/>
      <c r="R78" s="44"/>
      <c r="S78" s="44"/>
      <c r="T78" s="44"/>
      <c r="U78" s="35"/>
      <c r="V78" s="35"/>
    </row>
    <row r="79" spans="1:22" ht="13.15" outlineLevel="2">
      <c r="A79" s="24"/>
      <c r="B79" s="26" t="s">
        <v>13</v>
      </c>
      <c r="C79" s="27"/>
      <c r="D79" s="27"/>
      <c r="E79" s="9"/>
      <c r="F79" s="129"/>
      <c r="G79" s="129"/>
      <c r="H79" s="129"/>
      <c r="I79" s="36"/>
      <c r="J79" s="129"/>
      <c r="K79" s="129"/>
      <c r="L79" s="129"/>
      <c r="M79" s="36"/>
      <c r="N79" s="129"/>
      <c r="O79" s="129"/>
      <c r="P79" s="129"/>
      <c r="Q79" s="36"/>
      <c r="R79" s="129"/>
      <c r="S79" s="129"/>
      <c r="T79" s="129"/>
      <c r="U79" s="36"/>
      <c r="V79" s="36"/>
    </row>
    <row r="80" spans="1:22" ht="13.15" outlineLevel="2">
      <c r="A80" s="24"/>
      <c r="B80" s="27"/>
      <c r="C80" s="28" t="s">
        <v>66</v>
      </c>
      <c r="D80" s="27"/>
      <c r="E80" s="9">
        <v>0</v>
      </c>
      <c r="F80" s="96"/>
      <c r="G80" s="96"/>
      <c r="H80" s="96"/>
      <c r="I80" s="34">
        <f t="shared" ref="I80:I87" si="59">SUM(F80:H80)</f>
        <v>0</v>
      </c>
      <c r="J80" s="96"/>
      <c r="K80" s="96"/>
      <c r="L80" s="96"/>
      <c r="M80" s="34">
        <f t="shared" ref="M80:M87" si="60">SUM(J80:L80)</f>
        <v>0</v>
      </c>
      <c r="N80" s="96"/>
      <c r="O80" s="96"/>
      <c r="P80" s="96"/>
      <c r="Q80" s="34">
        <f t="shared" ref="Q80:Q87" si="61">SUM(N80:P80)</f>
        <v>0</v>
      </c>
      <c r="R80" s="96"/>
      <c r="S80" s="96"/>
      <c r="T80" s="96"/>
      <c r="U80" s="34">
        <f t="shared" ref="U80:U87" si="62">SUM(R80:T80)</f>
        <v>0</v>
      </c>
      <c r="V80" s="34">
        <f t="shared" ref="V80:V97" si="63">I80+M80+Q80+U80</f>
        <v>0</v>
      </c>
    </row>
    <row r="81" spans="1:22" ht="13.15" outlineLevel="2">
      <c r="A81" s="24"/>
      <c r="B81" s="27"/>
      <c r="C81" s="28" t="s">
        <v>67</v>
      </c>
      <c r="D81" s="27"/>
      <c r="E81" s="9">
        <v>0</v>
      </c>
      <c r="F81" s="96"/>
      <c r="G81" s="96"/>
      <c r="H81" s="96"/>
      <c r="I81" s="34">
        <f t="shared" si="59"/>
        <v>0</v>
      </c>
      <c r="J81" s="96"/>
      <c r="K81" s="96"/>
      <c r="L81" s="96"/>
      <c r="M81" s="34">
        <f t="shared" si="60"/>
        <v>0</v>
      </c>
      <c r="N81" s="96"/>
      <c r="O81" s="96"/>
      <c r="P81" s="96"/>
      <c r="Q81" s="34">
        <f t="shared" si="61"/>
        <v>0</v>
      </c>
      <c r="R81" s="96"/>
      <c r="S81" s="96"/>
      <c r="T81" s="96"/>
      <c r="U81" s="34">
        <f t="shared" si="62"/>
        <v>0</v>
      </c>
      <c r="V81" s="34">
        <f t="shared" si="63"/>
        <v>0</v>
      </c>
    </row>
    <row r="82" spans="1:22" ht="13.15" outlineLevel="2">
      <c r="A82" s="24"/>
      <c r="B82" s="27"/>
      <c r="C82" s="28" t="s">
        <v>100</v>
      </c>
      <c r="D82" s="27"/>
      <c r="E82" s="9">
        <v>0</v>
      </c>
      <c r="F82" s="96"/>
      <c r="G82" s="96"/>
      <c r="H82" s="96"/>
      <c r="I82" s="34">
        <f t="shared" si="59"/>
        <v>0</v>
      </c>
      <c r="J82" s="96"/>
      <c r="K82" s="96"/>
      <c r="L82" s="96"/>
      <c r="M82" s="34">
        <f t="shared" si="60"/>
        <v>0</v>
      </c>
      <c r="N82" s="96"/>
      <c r="O82" s="96"/>
      <c r="P82" s="96"/>
      <c r="Q82" s="34">
        <f t="shared" si="61"/>
        <v>0</v>
      </c>
      <c r="R82" s="96"/>
      <c r="S82" s="96"/>
      <c r="T82" s="96"/>
      <c r="U82" s="34">
        <f t="shared" si="62"/>
        <v>0</v>
      </c>
      <c r="V82" s="34">
        <f t="shared" si="63"/>
        <v>0</v>
      </c>
    </row>
    <row r="83" spans="1:22" ht="13.15" outlineLevel="2">
      <c r="A83" s="24"/>
      <c r="B83" s="27"/>
      <c r="C83" s="28" t="s">
        <v>99</v>
      </c>
      <c r="D83" s="27"/>
      <c r="E83" s="9"/>
      <c r="F83" s="96"/>
      <c r="G83" s="96"/>
      <c r="H83" s="96"/>
      <c r="I83" s="34">
        <f t="shared" si="59"/>
        <v>0</v>
      </c>
      <c r="J83" s="96"/>
      <c r="K83" s="96"/>
      <c r="L83" s="96"/>
      <c r="M83" s="34">
        <f t="shared" si="60"/>
        <v>0</v>
      </c>
      <c r="N83" s="96"/>
      <c r="O83" s="96"/>
      <c r="P83" s="96"/>
      <c r="Q83" s="34">
        <f t="shared" si="61"/>
        <v>0</v>
      </c>
      <c r="R83" s="96"/>
      <c r="S83" s="96"/>
      <c r="T83" s="96"/>
      <c r="U83" s="34">
        <f t="shared" si="62"/>
        <v>0</v>
      </c>
      <c r="V83" s="34">
        <f t="shared" si="63"/>
        <v>0</v>
      </c>
    </row>
    <row r="84" spans="1:22" ht="13.15" outlineLevel="2">
      <c r="A84" s="24"/>
      <c r="B84" s="27"/>
      <c r="C84" s="28" t="s">
        <v>101</v>
      </c>
      <c r="D84" s="27"/>
      <c r="E84" s="9"/>
      <c r="F84" s="96"/>
      <c r="G84" s="96"/>
      <c r="H84" s="96"/>
      <c r="I84" s="34">
        <f t="shared" si="59"/>
        <v>0</v>
      </c>
      <c r="J84" s="96"/>
      <c r="K84" s="96"/>
      <c r="L84" s="96"/>
      <c r="M84" s="34">
        <f t="shared" si="60"/>
        <v>0</v>
      </c>
      <c r="N84" s="96"/>
      <c r="O84" s="96"/>
      <c r="P84" s="96"/>
      <c r="Q84" s="34">
        <f t="shared" si="61"/>
        <v>0</v>
      </c>
      <c r="R84" s="96"/>
      <c r="S84" s="96"/>
      <c r="T84" s="96"/>
      <c r="U84" s="34">
        <f t="shared" si="62"/>
        <v>0</v>
      </c>
      <c r="V84" s="34">
        <f t="shared" si="63"/>
        <v>0</v>
      </c>
    </row>
    <row r="85" spans="1:22" ht="13.15" outlineLevel="2">
      <c r="A85" s="24"/>
      <c r="B85" s="27"/>
      <c r="C85" s="28" t="s">
        <v>41</v>
      </c>
      <c r="D85" s="27"/>
      <c r="E85" s="9">
        <v>0</v>
      </c>
      <c r="F85" s="96"/>
      <c r="G85" s="96"/>
      <c r="H85" s="96"/>
      <c r="I85" s="34">
        <f t="shared" si="59"/>
        <v>0</v>
      </c>
      <c r="J85" s="96"/>
      <c r="K85" s="96"/>
      <c r="L85" s="96"/>
      <c r="M85" s="34">
        <f t="shared" si="60"/>
        <v>0</v>
      </c>
      <c r="N85" s="96"/>
      <c r="O85" s="96"/>
      <c r="P85" s="96"/>
      <c r="Q85" s="34">
        <f t="shared" si="61"/>
        <v>0</v>
      </c>
      <c r="R85" s="96"/>
      <c r="S85" s="96"/>
      <c r="T85" s="96"/>
      <c r="U85" s="34">
        <f t="shared" si="62"/>
        <v>0</v>
      </c>
      <c r="V85" s="34">
        <f t="shared" si="63"/>
        <v>0</v>
      </c>
    </row>
    <row r="86" spans="1:22" ht="13.15" outlineLevel="2">
      <c r="A86" s="24"/>
      <c r="B86" s="27"/>
      <c r="C86" s="28" t="s">
        <v>114</v>
      </c>
      <c r="D86" s="27"/>
      <c r="E86" s="9">
        <v>0</v>
      </c>
      <c r="F86" s="96"/>
      <c r="G86" s="96"/>
      <c r="H86" s="96"/>
      <c r="I86" s="34">
        <f t="shared" si="59"/>
        <v>0</v>
      </c>
      <c r="J86" s="96"/>
      <c r="K86" s="96"/>
      <c r="L86" s="96"/>
      <c r="M86" s="34">
        <f t="shared" si="60"/>
        <v>0</v>
      </c>
      <c r="N86" s="96"/>
      <c r="O86" s="96"/>
      <c r="P86" s="96"/>
      <c r="Q86" s="34">
        <f t="shared" si="61"/>
        <v>0</v>
      </c>
      <c r="R86" s="96"/>
      <c r="S86" s="96"/>
      <c r="T86" s="96"/>
      <c r="U86" s="34">
        <f t="shared" si="62"/>
        <v>0</v>
      </c>
      <c r="V86" s="34">
        <f t="shared" si="63"/>
        <v>0</v>
      </c>
    </row>
    <row r="87" spans="1:22" ht="13.15" outlineLevel="2">
      <c r="A87" s="24"/>
      <c r="B87" s="27"/>
      <c r="C87" s="28" t="s">
        <v>105</v>
      </c>
      <c r="D87" s="27"/>
      <c r="E87" s="9">
        <v>0</v>
      </c>
      <c r="F87" s="96"/>
      <c r="G87" s="96"/>
      <c r="H87" s="96"/>
      <c r="I87" s="34">
        <f t="shared" si="59"/>
        <v>0</v>
      </c>
      <c r="J87" s="96"/>
      <c r="K87" s="96"/>
      <c r="L87" s="96"/>
      <c r="M87" s="34">
        <f t="shared" si="60"/>
        <v>0</v>
      </c>
      <c r="N87" s="96"/>
      <c r="O87" s="96"/>
      <c r="P87" s="96"/>
      <c r="Q87" s="34">
        <f t="shared" si="61"/>
        <v>0</v>
      </c>
      <c r="R87" s="96"/>
      <c r="S87" s="96"/>
      <c r="T87" s="96"/>
      <c r="U87" s="34">
        <f t="shared" si="62"/>
        <v>0</v>
      </c>
      <c r="V87" s="34">
        <f t="shared" si="63"/>
        <v>0</v>
      </c>
    </row>
    <row r="88" spans="1:22" ht="13.15" outlineLevel="1">
      <c r="A88" s="24"/>
      <c r="B88" s="30" t="s">
        <v>14</v>
      </c>
      <c r="C88" s="30"/>
      <c r="D88" s="30"/>
      <c r="E88" s="10"/>
      <c r="F88" s="45">
        <f t="shared" ref="F88:T89" si="64">SUM(F80:F87)</f>
        <v>0</v>
      </c>
      <c r="G88" s="45">
        <f t="shared" ref="G88:H88" si="65">SUM(G80:G87)</f>
        <v>0</v>
      </c>
      <c r="H88" s="45">
        <f t="shared" si="65"/>
        <v>0</v>
      </c>
      <c r="I88" s="35">
        <f t="shared" si="64"/>
        <v>0</v>
      </c>
      <c r="J88" s="45">
        <f t="shared" si="64"/>
        <v>0</v>
      </c>
      <c r="K88" s="45">
        <f t="shared" si="64"/>
        <v>0</v>
      </c>
      <c r="L88" s="45">
        <f t="shared" si="64"/>
        <v>0</v>
      </c>
      <c r="M88" s="35">
        <f t="shared" si="64"/>
        <v>0</v>
      </c>
      <c r="N88" s="45">
        <f t="shared" si="64"/>
        <v>0</v>
      </c>
      <c r="O88" s="45">
        <f t="shared" si="64"/>
        <v>0</v>
      </c>
      <c r="P88" s="45">
        <f t="shared" si="64"/>
        <v>0</v>
      </c>
      <c r="Q88" s="35">
        <f t="shared" si="64"/>
        <v>0</v>
      </c>
      <c r="R88" s="45">
        <f t="shared" si="64"/>
        <v>0</v>
      </c>
      <c r="S88" s="45">
        <f t="shared" si="64"/>
        <v>0</v>
      </c>
      <c r="T88" s="45">
        <f t="shared" si="64"/>
        <v>0</v>
      </c>
      <c r="U88" s="35">
        <f t="shared" ref="U88:U89" si="66">SUM(U80:U87)</f>
        <v>0</v>
      </c>
      <c r="V88" s="35">
        <f t="shared" si="63"/>
        <v>0</v>
      </c>
    </row>
    <row r="89" spans="1:22" s="4" customFormat="1" ht="13.15" outlineLevel="1">
      <c r="A89" s="24"/>
      <c r="B89" s="24" t="s">
        <v>15</v>
      </c>
      <c r="C89" s="24"/>
      <c r="D89" s="24"/>
      <c r="E89" s="8">
        <v>0</v>
      </c>
      <c r="F89" s="44">
        <v>0</v>
      </c>
      <c r="G89" s="44">
        <v>0</v>
      </c>
      <c r="H89" s="44">
        <v>0</v>
      </c>
      <c r="I89" s="35">
        <f t="shared" si="64"/>
        <v>0</v>
      </c>
      <c r="J89" s="44">
        <v>0</v>
      </c>
      <c r="K89" s="44">
        <v>0</v>
      </c>
      <c r="L89" s="44">
        <v>0</v>
      </c>
      <c r="M89" s="35">
        <f t="shared" si="64"/>
        <v>0</v>
      </c>
      <c r="N89" s="44">
        <v>0</v>
      </c>
      <c r="O89" s="44">
        <v>0</v>
      </c>
      <c r="P89" s="44">
        <v>0</v>
      </c>
      <c r="Q89" s="35">
        <f t="shared" si="64"/>
        <v>0</v>
      </c>
      <c r="R89" s="44">
        <v>0</v>
      </c>
      <c r="S89" s="44">
        <v>0</v>
      </c>
      <c r="T89" s="44">
        <v>0</v>
      </c>
      <c r="U89" s="35">
        <f t="shared" si="66"/>
        <v>0</v>
      </c>
      <c r="V89" s="35">
        <f t="shared" si="63"/>
        <v>0</v>
      </c>
    </row>
    <row r="90" spans="1:22" ht="13.15" outlineLevel="2">
      <c r="A90" s="24"/>
      <c r="B90" s="26" t="s">
        <v>16</v>
      </c>
      <c r="C90" s="27"/>
      <c r="D90" s="27"/>
      <c r="E90" s="9"/>
      <c r="F90" s="129"/>
      <c r="G90" s="129"/>
      <c r="H90" s="129"/>
      <c r="I90" s="34">
        <f t="shared" ref="I90:I96" si="67">SUM(F90:H90)</f>
        <v>0</v>
      </c>
      <c r="J90" s="129"/>
      <c r="K90" s="129"/>
      <c r="L90" s="129"/>
      <c r="M90" s="34">
        <f t="shared" ref="M90:M96" si="68">SUM(J90:L90)</f>
        <v>0</v>
      </c>
      <c r="N90" s="129"/>
      <c r="O90" s="129"/>
      <c r="P90" s="129"/>
      <c r="Q90" s="34">
        <f t="shared" ref="Q90:Q96" si="69">SUM(N90:P90)</f>
        <v>0</v>
      </c>
      <c r="R90" s="129"/>
      <c r="S90" s="129"/>
      <c r="T90" s="129"/>
      <c r="U90" s="34">
        <f t="shared" ref="U90" si="70">SUM(R90:T90)</f>
        <v>0</v>
      </c>
      <c r="V90" s="34">
        <f t="shared" si="63"/>
        <v>0</v>
      </c>
    </row>
    <row r="91" spans="1:22" ht="13.15" outlineLevel="2">
      <c r="A91" s="24"/>
      <c r="B91" s="27"/>
      <c r="C91" s="28" t="s">
        <v>42</v>
      </c>
      <c r="D91" s="27"/>
      <c r="E91" s="9">
        <v>0</v>
      </c>
      <c r="F91" s="43"/>
      <c r="G91" s="43"/>
      <c r="H91" s="43"/>
      <c r="I91" s="34">
        <f t="shared" si="67"/>
        <v>0</v>
      </c>
      <c r="J91" s="43"/>
      <c r="K91" s="43"/>
      <c r="L91" s="43"/>
      <c r="M91" s="34">
        <f t="shared" si="68"/>
        <v>0</v>
      </c>
      <c r="N91" s="43"/>
      <c r="O91" s="43"/>
      <c r="P91" s="43"/>
      <c r="Q91" s="34">
        <f t="shared" si="69"/>
        <v>0</v>
      </c>
      <c r="R91" s="43"/>
      <c r="S91" s="43"/>
      <c r="T91" s="43"/>
      <c r="U91" s="34">
        <f t="shared" ref="U91:U96" si="71">SUM(R91:T91)</f>
        <v>0</v>
      </c>
      <c r="V91" s="34">
        <f t="shared" si="63"/>
        <v>0</v>
      </c>
    </row>
    <row r="92" spans="1:22" ht="13.15" outlineLevel="2">
      <c r="A92" s="24"/>
      <c r="B92" s="27"/>
      <c r="C92" s="28" t="s">
        <v>43</v>
      </c>
      <c r="D92" s="27"/>
      <c r="E92" s="9">
        <v>0</v>
      </c>
      <c r="F92" s="43">
        <v>0</v>
      </c>
      <c r="G92" s="43">
        <v>0</v>
      </c>
      <c r="H92" s="43">
        <v>0</v>
      </c>
      <c r="I92" s="34">
        <f t="shared" si="67"/>
        <v>0</v>
      </c>
      <c r="J92" s="43">
        <v>0</v>
      </c>
      <c r="K92" s="43">
        <v>0</v>
      </c>
      <c r="L92" s="43">
        <v>0</v>
      </c>
      <c r="M92" s="34">
        <f t="shared" si="68"/>
        <v>0</v>
      </c>
      <c r="N92" s="43">
        <v>0</v>
      </c>
      <c r="O92" s="43">
        <v>0</v>
      </c>
      <c r="P92" s="43">
        <v>0</v>
      </c>
      <c r="Q92" s="34">
        <f t="shared" si="69"/>
        <v>0</v>
      </c>
      <c r="R92" s="43">
        <v>0</v>
      </c>
      <c r="S92" s="43">
        <v>0</v>
      </c>
      <c r="T92" s="43">
        <v>0</v>
      </c>
      <c r="U92" s="34">
        <f t="shared" si="71"/>
        <v>0</v>
      </c>
      <c r="V92" s="34">
        <f t="shared" si="63"/>
        <v>0</v>
      </c>
    </row>
    <row r="93" spans="1:22" ht="13.15" outlineLevel="2">
      <c r="A93" s="24"/>
      <c r="B93" s="27"/>
      <c r="C93" s="28" t="s">
        <v>53</v>
      </c>
      <c r="D93" s="27"/>
      <c r="E93" s="9">
        <v>0</v>
      </c>
      <c r="F93" s="43"/>
      <c r="G93" s="43"/>
      <c r="H93" s="43"/>
      <c r="I93" s="34">
        <f t="shared" si="67"/>
        <v>0</v>
      </c>
      <c r="J93" s="43"/>
      <c r="K93" s="43"/>
      <c r="L93" s="43"/>
      <c r="M93" s="34">
        <f t="shared" si="68"/>
        <v>0</v>
      </c>
      <c r="N93" s="43"/>
      <c r="O93" s="43"/>
      <c r="P93" s="43"/>
      <c r="Q93" s="34">
        <f t="shared" si="69"/>
        <v>0</v>
      </c>
      <c r="R93" s="43"/>
      <c r="S93" s="43"/>
      <c r="T93" s="43"/>
      <c r="U93" s="34">
        <f t="shared" si="71"/>
        <v>0</v>
      </c>
      <c r="V93" s="34">
        <f t="shared" si="63"/>
        <v>0</v>
      </c>
    </row>
    <row r="94" spans="1:22" ht="13.15" outlineLevel="2">
      <c r="A94" s="24"/>
      <c r="B94" s="27"/>
      <c r="C94" s="28" t="s">
        <v>44</v>
      </c>
      <c r="D94" s="27"/>
      <c r="E94" s="9">
        <v>0</v>
      </c>
      <c r="F94" s="43">
        <v>8000</v>
      </c>
      <c r="G94" s="43">
        <v>8000</v>
      </c>
      <c r="H94" s="43">
        <v>8000</v>
      </c>
      <c r="I94" s="34">
        <f t="shared" si="67"/>
        <v>24000</v>
      </c>
      <c r="J94" s="43">
        <v>8000</v>
      </c>
      <c r="K94" s="43">
        <v>8000</v>
      </c>
      <c r="L94" s="43">
        <v>8000</v>
      </c>
      <c r="M94" s="34">
        <f t="shared" si="68"/>
        <v>24000</v>
      </c>
      <c r="N94" s="43">
        <v>8000</v>
      </c>
      <c r="O94" s="43">
        <v>8000</v>
      </c>
      <c r="P94" s="43">
        <v>8000</v>
      </c>
      <c r="Q94" s="34">
        <f t="shared" si="69"/>
        <v>24000</v>
      </c>
      <c r="R94" s="43">
        <v>8000</v>
      </c>
      <c r="S94" s="43">
        <v>8000</v>
      </c>
      <c r="T94" s="43">
        <v>8000</v>
      </c>
      <c r="U94" s="34">
        <f t="shared" si="71"/>
        <v>24000</v>
      </c>
      <c r="V94" s="34">
        <f t="shared" si="63"/>
        <v>96000</v>
      </c>
    </row>
    <row r="95" spans="1:22" ht="13.15" outlineLevel="2">
      <c r="A95" s="24"/>
      <c r="B95" s="27"/>
      <c r="C95" s="28" t="s">
        <v>51</v>
      </c>
      <c r="D95" s="27"/>
      <c r="E95" s="9">
        <v>0</v>
      </c>
      <c r="F95" s="43"/>
      <c r="G95" s="43"/>
      <c r="H95" s="43"/>
      <c r="I95" s="34">
        <f t="shared" si="67"/>
        <v>0</v>
      </c>
      <c r="J95" s="43"/>
      <c r="K95" s="43"/>
      <c r="L95" s="43"/>
      <c r="M95" s="34">
        <f t="shared" si="68"/>
        <v>0</v>
      </c>
      <c r="N95" s="43"/>
      <c r="O95" s="43"/>
      <c r="P95" s="43"/>
      <c r="Q95" s="34">
        <f t="shared" si="69"/>
        <v>0</v>
      </c>
      <c r="R95" s="43"/>
      <c r="S95" s="43"/>
      <c r="T95" s="43"/>
      <c r="U95" s="34">
        <f t="shared" si="71"/>
        <v>0</v>
      </c>
      <c r="V95" s="34">
        <f t="shared" si="63"/>
        <v>0</v>
      </c>
    </row>
    <row r="96" spans="1:22" ht="13.15" outlineLevel="2">
      <c r="A96" s="24"/>
      <c r="B96" s="27"/>
      <c r="C96" s="28" t="s">
        <v>50</v>
      </c>
      <c r="D96" s="27"/>
      <c r="E96" s="9">
        <v>0</v>
      </c>
      <c r="F96" s="43"/>
      <c r="G96" s="43"/>
      <c r="H96" s="43"/>
      <c r="I96" s="34">
        <f t="shared" si="67"/>
        <v>0</v>
      </c>
      <c r="J96" s="43"/>
      <c r="K96" s="43"/>
      <c r="L96" s="43"/>
      <c r="M96" s="34">
        <f t="shared" si="68"/>
        <v>0</v>
      </c>
      <c r="N96" s="43"/>
      <c r="O96" s="43"/>
      <c r="P96" s="43"/>
      <c r="Q96" s="34">
        <f t="shared" si="69"/>
        <v>0</v>
      </c>
      <c r="R96" s="43"/>
      <c r="S96" s="43"/>
      <c r="T96" s="43"/>
      <c r="U96" s="34">
        <f t="shared" si="71"/>
        <v>0</v>
      </c>
      <c r="V96" s="34">
        <f t="shared" si="63"/>
        <v>0</v>
      </c>
    </row>
    <row r="97" spans="1:22" ht="13.15" outlineLevel="1">
      <c r="A97" s="24"/>
      <c r="B97" s="24" t="s">
        <v>17</v>
      </c>
      <c r="C97" s="24"/>
      <c r="D97" s="24"/>
      <c r="E97" s="8"/>
      <c r="F97" s="44">
        <f t="shared" ref="F97" si="72">SUM(F91:F96)</f>
        <v>8000</v>
      </c>
      <c r="G97" s="44">
        <f t="shared" ref="G97:H97" si="73">SUM(G91:G96)</f>
        <v>8000</v>
      </c>
      <c r="H97" s="44">
        <f t="shared" si="73"/>
        <v>8000</v>
      </c>
      <c r="I97" s="35">
        <f>SUM(I91:I96)</f>
        <v>24000</v>
      </c>
      <c r="J97" s="44">
        <f t="shared" ref="J97:L97" si="74">SUM(J91:J96)</f>
        <v>8000</v>
      </c>
      <c r="K97" s="44">
        <f t="shared" si="74"/>
        <v>8000</v>
      </c>
      <c r="L97" s="44">
        <f t="shared" si="74"/>
        <v>8000</v>
      </c>
      <c r="M97" s="35">
        <f>SUM(M91:M96)</f>
        <v>24000</v>
      </c>
      <c r="N97" s="44">
        <f t="shared" ref="N97:P97" si="75">SUM(N91:N96)</f>
        <v>8000</v>
      </c>
      <c r="O97" s="44">
        <f t="shared" si="75"/>
        <v>8000</v>
      </c>
      <c r="P97" s="44">
        <f t="shared" si="75"/>
        <v>8000</v>
      </c>
      <c r="Q97" s="35">
        <f>SUM(Q91:Q96)</f>
        <v>24000</v>
      </c>
      <c r="R97" s="44">
        <f t="shared" ref="R97:T97" si="76">SUM(R91:R96)</f>
        <v>8000</v>
      </c>
      <c r="S97" s="44">
        <f t="shared" si="76"/>
        <v>8000</v>
      </c>
      <c r="T97" s="44">
        <f t="shared" si="76"/>
        <v>8000</v>
      </c>
      <c r="U97" s="35">
        <f>SUM(U91:U96)</f>
        <v>24000</v>
      </c>
      <c r="V97" s="35">
        <f t="shared" si="63"/>
        <v>96000</v>
      </c>
    </row>
    <row r="98" spans="1:22" ht="13.15" outlineLevel="2">
      <c r="A98" s="24"/>
      <c r="B98" s="26" t="s">
        <v>18</v>
      </c>
      <c r="C98" s="27"/>
      <c r="D98" s="27"/>
      <c r="E98" s="9"/>
      <c r="F98" s="129"/>
      <c r="G98" s="129"/>
      <c r="H98" s="129"/>
      <c r="I98" s="36"/>
      <c r="J98" s="129"/>
      <c r="K98" s="129"/>
      <c r="L98" s="129"/>
      <c r="M98" s="36"/>
      <c r="N98" s="129"/>
      <c r="O98" s="129"/>
      <c r="P98" s="129"/>
      <c r="Q98" s="36"/>
      <c r="R98" s="129"/>
      <c r="S98" s="129"/>
      <c r="T98" s="129"/>
      <c r="U98" s="36"/>
      <c r="V98" s="36"/>
    </row>
    <row r="99" spans="1:22" ht="13.15" outlineLevel="2">
      <c r="A99" s="24"/>
      <c r="B99" s="27"/>
      <c r="C99" s="28" t="s">
        <v>68</v>
      </c>
      <c r="D99" s="27"/>
      <c r="E99" s="9">
        <v>0</v>
      </c>
      <c r="F99" s="96"/>
      <c r="G99" s="96"/>
      <c r="H99" s="96"/>
      <c r="I99" s="34">
        <f t="shared" ref="I99:I105" si="77">SUM(F99:H99)</f>
        <v>0</v>
      </c>
      <c r="J99" s="96"/>
      <c r="K99" s="96"/>
      <c r="L99" s="96"/>
      <c r="M99" s="34">
        <f t="shared" ref="M99:M105" si="78">SUM(J99:L99)</f>
        <v>0</v>
      </c>
      <c r="N99" s="96"/>
      <c r="O99" s="96"/>
      <c r="P99" s="96"/>
      <c r="Q99" s="34">
        <f t="shared" ref="Q99:Q105" si="79">SUM(N99:P99)</f>
        <v>0</v>
      </c>
      <c r="R99" s="96"/>
      <c r="S99" s="96"/>
      <c r="T99" s="96"/>
      <c r="U99" s="34">
        <f t="shared" ref="U99" si="80">SUM(R99:T99)</f>
        <v>0</v>
      </c>
      <c r="V99" s="34">
        <f t="shared" ref="V99:V106" si="81">I99+M99+Q99+U99</f>
        <v>0</v>
      </c>
    </row>
    <row r="100" spans="1:22" ht="13.15" outlineLevel="2">
      <c r="A100" s="24"/>
      <c r="B100" s="27"/>
      <c r="C100" s="28" t="s">
        <v>45</v>
      </c>
      <c r="D100" s="27"/>
      <c r="E100" s="9">
        <v>0</v>
      </c>
      <c r="F100" s="96"/>
      <c r="G100" s="96"/>
      <c r="H100" s="96"/>
      <c r="I100" s="34">
        <f t="shared" si="77"/>
        <v>0</v>
      </c>
      <c r="J100" s="96"/>
      <c r="K100" s="96"/>
      <c r="L100" s="96"/>
      <c r="M100" s="34">
        <f t="shared" si="78"/>
        <v>0</v>
      </c>
      <c r="N100" s="96"/>
      <c r="O100" s="96"/>
      <c r="P100" s="96"/>
      <c r="Q100" s="34">
        <f t="shared" si="79"/>
        <v>0</v>
      </c>
      <c r="R100" s="96"/>
      <c r="S100" s="96"/>
      <c r="T100" s="96"/>
      <c r="U100" s="34">
        <f t="shared" ref="U100:U105" si="82">SUM(R100:T100)</f>
        <v>0</v>
      </c>
      <c r="V100" s="34">
        <f t="shared" si="81"/>
        <v>0</v>
      </c>
    </row>
    <row r="101" spans="1:22" ht="13.15" outlineLevel="2">
      <c r="A101" s="24"/>
      <c r="B101" s="27"/>
      <c r="C101" s="28" t="s">
        <v>94</v>
      </c>
      <c r="D101" s="27"/>
      <c r="E101" s="9">
        <v>0</v>
      </c>
      <c r="F101" s="96"/>
      <c r="G101" s="96"/>
      <c r="H101" s="96"/>
      <c r="I101" s="34">
        <f t="shared" si="77"/>
        <v>0</v>
      </c>
      <c r="J101" s="96"/>
      <c r="K101" s="96"/>
      <c r="L101" s="96"/>
      <c r="M101" s="34">
        <f t="shared" si="78"/>
        <v>0</v>
      </c>
      <c r="N101" s="96"/>
      <c r="O101" s="96"/>
      <c r="P101" s="96"/>
      <c r="Q101" s="34">
        <f t="shared" si="79"/>
        <v>0</v>
      </c>
      <c r="R101" s="96"/>
      <c r="S101" s="96"/>
      <c r="T101" s="96"/>
      <c r="U101" s="34">
        <f t="shared" si="82"/>
        <v>0</v>
      </c>
      <c r="V101" s="34">
        <f t="shared" si="81"/>
        <v>0</v>
      </c>
    </row>
    <row r="102" spans="1:22" ht="13.15" outlineLevel="2">
      <c r="A102" s="24"/>
      <c r="B102" s="27"/>
      <c r="C102" s="28" t="s">
        <v>46</v>
      </c>
      <c r="D102" s="27"/>
      <c r="E102" s="9">
        <v>0</v>
      </c>
      <c r="F102" s="96"/>
      <c r="G102" s="96"/>
      <c r="H102" s="96"/>
      <c r="I102" s="34">
        <f t="shared" si="77"/>
        <v>0</v>
      </c>
      <c r="J102" s="96"/>
      <c r="K102" s="96"/>
      <c r="L102" s="96"/>
      <c r="M102" s="34">
        <f t="shared" si="78"/>
        <v>0</v>
      </c>
      <c r="N102" s="96"/>
      <c r="O102" s="96"/>
      <c r="P102" s="96"/>
      <c r="Q102" s="34">
        <f t="shared" si="79"/>
        <v>0</v>
      </c>
      <c r="R102" s="96"/>
      <c r="S102" s="96"/>
      <c r="T102" s="96"/>
      <c r="U102" s="34">
        <f t="shared" si="82"/>
        <v>0</v>
      </c>
      <c r="V102" s="34">
        <f t="shared" si="81"/>
        <v>0</v>
      </c>
    </row>
    <row r="103" spans="1:22" ht="13.15" outlineLevel="2">
      <c r="A103" s="24"/>
      <c r="B103" s="27"/>
      <c r="C103" s="28" t="s">
        <v>111</v>
      </c>
      <c r="D103" s="27"/>
      <c r="E103" s="9">
        <v>0</v>
      </c>
      <c r="F103" s="96"/>
      <c r="G103" s="96"/>
      <c r="H103" s="96"/>
      <c r="I103" s="34">
        <f t="shared" si="77"/>
        <v>0</v>
      </c>
      <c r="J103" s="96"/>
      <c r="K103" s="96"/>
      <c r="L103" s="96"/>
      <c r="M103" s="34">
        <f t="shared" si="78"/>
        <v>0</v>
      </c>
      <c r="N103" s="96"/>
      <c r="O103" s="96"/>
      <c r="P103" s="96"/>
      <c r="Q103" s="34">
        <f t="shared" si="79"/>
        <v>0</v>
      </c>
      <c r="R103" s="96"/>
      <c r="S103" s="96"/>
      <c r="T103" s="96"/>
      <c r="U103" s="34">
        <f t="shared" si="82"/>
        <v>0</v>
      </c>
      <c r="V103" s="34">
        <f t="shared" si="81"/>
        <v>0</v>
      </c>
    </row>
    <row r="104" spans="1:22" ht="13.15" outlineLevel="2">
      <c r="A104" s="24"/>
      <c r="B104" s="27"/>
      <c r="C104" s="28" t="s">
        <v>115</v>
      </c>
      <c r="D104" s="27"/>
      <c r="E104" s="9">
        <v>0</v>
      </c>
      <c r="F104" s="96"/>
      <c r="G104" s="96"/>
      <c r="H104" s="96"/>
      <c r="I104" s="34">
        <f t="shared" si="77"/>
        <v>0</v>
      </c>
      <c r="J104" s="96"/>
      <c r="K104" s="96"/>
      <c r="L104" s="96"/>
      <c r="M104" s="34">
        <f t="shared" si="78"/>
        <v>0</v>
      </c>
      <c r="N104" s="96"/>
      <c r="O104" s="96"/>
      <c r="P104" s="96"/>
      <c r="Q104" s="34">
        <f t="shared" si="79"/>
        <v>0</v>
      </c>
      <c r="R104" s="96"/>
      <c r="S104" s="96"/>
      <c r="T104" s="96"/>
      <c r="U104" s="34">
        <f t="shared" si="82"/>
        <v>0</v>
      </c>
      <c r="V104" s="34">
        <f t="shared" si="81"/>
        <v>0</v>
      </c>
    </row>
    <row r="105" spans="1:22" ht="13.15" outlineLevel="2">
      <c r="A105" s="24"/>
      <c r="B105" s="27"/>
      <c r="C105" s="28" t="s">
        <v>26</v>
      </c>
      <c r="D105" s="27"/>
      <c r="E105" s="9"/>
      <c r="F105" s="96"/>
      <c r="G105" s="96"/>
      <c r="H105" s="96"/>
      <c r="I105" s="34">
        <f t="shared" si="77"/>
        <v>0</v>
      </c>
      <c r="J105" s="96"/>
      <c r="K105" s="96"/>
      <c r="L105" s="96"/>
      <c r="M105" s="34">
        <f t="shared" si="78"/>
        <v>0</v>
      </c>
      <c r="N105" s="96"/>
      <c r="O105" s="96"/>
      <c r="P105" s="96"/>
      <c r="Q105" s="34">
        <f t="shared" si="79"/>
        <v>0</v>
      </c>
      <c r="R105" s="96"/>
      <c r="S105" s="96"/>
      <c r="T105" s="96"/>
      <c r="U105" s="34">
        <f t="shared" si="82"/>
        <v>0</v>
      </c>
      <c r="V105" s="34">
        <f t="shared" si="81"/>
        <v>0</v>
      </c>
    </row>
    <row r="106" spans="1:22" ht="13.15" outlineLevel="1">
      <c r="A106" s="24"/>
      <c r="B106" s="29" t="s">
        <v>19</v>
      </c>
      <c r="C106" s="30"/>
      <c r="D106" s="30"/>
      <c r="E106" s="10"/>
      <c r="F106" s="45">
        <f>SUM(F99:F105)</f>
        <v>0</v>
      </c>
      <c r="G106" s="45">
        <f>SUM(G99:G105)</f>
        <v>0</v>
      </c>
      <c r="H106" s="45">
        <f>SUM(H99:H105)</f>
        <v>0</v>
      </c>
      <c r="I106" s="35">
        <f t="shared" ref="I106" si="83">SUM(I99:I105)</f>
        <v>0</v>
      </c>
      <c r="J106" s="45">
        <f>SUM(J99:J105)</f>
        <v>0</v>
      </c>
      <c r="K106" s="45">
        <f>SUM(K99:K105)</f>
        <v>0</v>
      </c>
      <c r="L106" s="45">
        <f>SUM(L99:L105)</f>
        <v>0</v>
      </c>
      <c r="M106" s="35">
        <f t="shared" ref="M106" si="84">SUM(M99:M105)</f>
        <v>0</v>
      </c>
      <c r="N106" s="45">
        <f>SUM(N99:N105)</f>
        <v>0</v>
      </c>
      <c r="O106" s="45">
        <f>SUM(O99:O105)</f>
        <v>0</v>
      </c>
      <c r="P106" s="45">
        <f>SUM(P99:P105)</f>
        <v>0</v>
      </c>
      <c r="Q106" s="35">
        <f t="shared" ref="Q106" si="85">SUM(Q99:Q105)</f>
        <v>0</v>
      </c>
      <c r="R106" s="45">
        <f>SUM(R99:R105)</f>
        <v>0</v>
      </c>
      <c r="S106" s="45">
        <f>SUM(S99:S105)</f>
        <v>0</v>
      </c>
      <c r="T106" s="45">
        <f>SUM(T99:T105)</f>
        <v>0</v>
      </c>
      <c r="U106" s="35">
        <f t="shared" ref="U106" si="86">SUM(U99:U105)</f>
        <v>0</v>
      </c>
      <c r="V106" s="35">
        <f t="shared" si="81"/>
        <v>0</v>
      </c>
    </row>
    <row r="107" spans="1:22" ht="13.15" outlineLevel="2">
      <c r="A107" s="24"/>
      <c r="B107" s="26" t="s">
        <v>20</v>
      </c>
      <c r="C107" s="27"/>
      <c r="D107" s="27"/>
      <c r="E107" s="9"/>
      <c r="F107" s="129"/>
      <c r="G107" s="129"/>
      <c r="H107" s="129"/>
      <c r="I107" s="36"/>
      <c r="J107" s="129"/>
      <c r="K107" s="129"/>
      <c r="L107" s="129"/>
      <c r="M107" s="36"/>
      <c r="N107" s="129"/>
      <c r="O107" s="129"/>
      <c r="P107" s="129"/>
      <c r="Q107" s="36"/>
      <c r="R107" s="129"/>
      <c r="S107" s="129"/>
      <c r="T107" s="129"/>
      <c r="U107" s="36"/>
      <c r="V107" s="36"/>
    </row>
    <row r="108" spans="1:22" ht="13.15" outlineLevel="2">
      <c r="A108" s="24"/>
      <c r="B108" s="27"/>
      <c r="C108" s="28" t="s">
        <v>29</v>
      </c>
      <c r="D108" s="27"/>
      <c r="E108" s="9">
        <v>0</v>
      </c>
      <c r="F108" s="96"/>
      <c r="G108" s="96"/>
      <c r="H108" s="96"/>
      <c r="I108" s="34">
        <f t="shared" ref="I108:I112" si="87">SUM(F108:H108)</f>
        <v>0</v>
      </c>
      <c r="J108" s="96"/>
      <c r="K108" s="96"/>
      <c r="L108" s="96"/>
      <c r="M108" s="34">
        <f t="shared" ref="M108:M112" si="88">SUM(J108:L108)</f>
        <v>0</v>
      </c>
      <c r="N108" s="96"/>
      <c r="O108" s="96"/>
      <c r="P108" s="96"/>
      <c r="Q108" s="34">
        <f t="shared" ref="Q108:Q112" si="89">SUM(N108:P108)</f>
        <v>0</v>
      </c>
      <c r="R108" s="96"/>
      <c r="S108" s="96"/>
      <c r="T108" s="96"/>
      <c r="U108" s="34">
        <f t="shared" ref="U108:U112" si="90">SUM(R108:T108)</f>
        <v>0</v>
      </c>
      <c r="V108" s="34">
        <f t="shared" ref="V108:V117" si="91">I108+M108+Q108+U108</f>
        <v>0</v>
      </c>
    </row>
    <row r="109" spans="1:22" ht="13.15" outlineLevel="2">
      <c r="A109" s="24"/>
      <c r="B109" s="27"/>
      <c r="C109" s="28" t="s">
        <v>33</v>
      </c>
      <c r="D109" s="27"/>
      <c r="E109" s="9">
        <v>0</v>
      </c>
      <c r="F109" s="96"/>
      <c r="G109" s="96"/>
      <c r="H109" s="96"/>
      <c r="I109" s="34">
        <f t="shared" si="87"/>
        <v>0</v>
      </c>
      <c r="J109" s="96"/>
      <c r="K109" s="96"/>
      <c r="L109" s="96"/>
      <c r="M109" s="34">
        <f t="shared" si="88"/>
        <v>0</v>
      </c>
      <c r="N109" s="96"/>
      <c r="O109" s="96"/>
      <c r="P109" s="96"/>
      <c r="Q109" s="34">
        <f t="shared" si="89"/>
        <v>0</v>
      </c>
      <c r="R109" s="96"/>
      <c r="S109" s="96"/>
      <c r="T109" s="96"/>
      <c r="U109" s="34">
        <f t="shared" si="90"/>
        <v>0</v>
      </c>
      <c r="V109" s="34">
        <f t="shared" si="91"/>
        <v>0</v>
      </c>
    </row>
    <row r="110" spans="1:22" ht="13.15" outlineLevel="2">
      <c r="A110" s="24"/>
      <c r="B110" s="27"/>
      <c r="C110" s="28" t="s">
        <v>95</v>
      </c>
      <c r="D110" s="27"/>
      <c r="E110" s="9"/>
      <c r="F110" s="96"/>
      <c r="G110" s="96"/>
      <c r="H110" s="96"/>
      <c r="I110" s="34">
        <f t="shared" si="87"/>
        <v>0</v>
      </c>
      <c r="J110" s="96"/>
      <c r="K110" s="96"/>
      <c r="L110" s="96"/>
      <c r="M110" s="34">
        <f t="shared" si="88"/>
        <v>0</v>
      </c>
      <c r="N110" s="96"/>
      <c r="O110" s="96"/>
      <c r="P110" s="96"/>
      <c r="Q110" s="34">
        <f t="shared" si="89"/>
        <v>0</v>
      </c>
      <c r="R110" s="96"/>
      <c r="S110" s="96"/>
      <c r="T110" s="96"/>
      <c r="U110" s="34">
        <f t="shared" si="90"/>
        <v>0</v>
      </c>
      <c r="V110" s="34">
        <f t="shared" si="91"/>
        <v>0</v>
      </c>
    </row>
    <row r="111" spans="1:22" ht="13.15" outlineLevel="2">
      <c r="A111" s="24"/>
      <c r="B111" s="27"/>
      <c r="C111" s="28" t="s">
        <v>63</v>
      </c>
      <c r="D111" s="27"/>
      <c r="E111" s="9"/>
      <c r="F111" s="96"/>
      <c r="G111" s="96"/>
      <c r="H111" s="96"/>
      <c r="I111" s="34">
        <f t="shared" si="87"/>
        <v>0</v>
      </c>
      <c r="J111" s="96"/>
      <c r="K111" s="96"/>
      <c r="L111" s="96"/>
      <c r="M111" s="34">
        <f t="shared" si="88"/>
        <v>0</v>
      </c>
      <c r="N111" s="96"/>
      <c r="O111" s="96"/>
      <c r="P111" s="96"/>
      <c r="Q111" s="34">
        <f t="shared" si="89"/>
        <v>0</v>
      </c>
      <c r="R111" s="96"/>
      <c r="S111" s="96"/>
      <c r="T111" s="96"/>
      <c r="U111" s="34">
        <f t="shared" si="90"/>
        <v>0</v>
      </c>
      <c r="V111" s="34">
        <f t="shared" si="91"/>
        <v>0</v>
      </c>
    </row>
    <row r="112" spans="1:22" ht="13.15" outlineLevel="2">
      <c r="A112" s="24"/>
      <c r="B112" s="27"/>
      <c r="C112" s="28" t="s">
        <v>153</v>
      </c>
      <c r="D112" s="27"/>
      <c r="E112" s="9">
        <v>0</v>
      </c>
      <c r="F112" s="96"/>
      <c r="G112" s="96"/>
      <c r="H112" s="96"/>
      <c r="I112" s="34">
        <f t="shared" si="87"/>
        <v>0</v>
      </c>
      <c r="J112" s="96"/>
      <c r="K112" s="96"/>
      <c r="L112" s="96"/>
      <c r="M112" s="34">
        <f t="shared" si="88"/>
        <v>0</v>
      </c>
      <c r="N112" s="96"/>
      <c r="O112" s="96"/>
      <c r="P112" s="96"/>
      <c r="Q112" s="34">
        <f t="shared" si="89"/>
        <v>0</v>
      </c>
      <c r="R112" s="96"/>
      <c r="S112" s="96"/>
      <c r="T112" s="96"/>
      <c r="U112" s="34">
        <f t="shared" si="90"/>
        <v>0</v>
      </c>
      <c r="V112" s="34">
        <f t="shared" si="91"/>
        <v>0</v>
      </c>
    </row>
    <row r="113" spans="1:22" ht="13.15" outlineLevel="1">
      <c r="A113" s="24"/>
      <c r="B113" s="30" t="s">
        <v>21</v>
      </c>
      <c r="C113" s="30"/>
      <c r="D113" s="30"/>
      <c r="E113" s="10"/>
      <c r="F113" s="45">
        <f t="shared" ref="F113:V113" si="92">SUM(F108:F112)</f>
        <v>0</v>
      </c>
      <c r="G113" s="45">
        <f t="shared" ref="G113:H113" si="93">SUM(G108:G112)</f>
        <v>0</v>
      </c>
      <c r="H113" s="45">
        <f t="shared" si="93"/>
        <v>0</v>
      </c>
      <c r="I113" s="35">
        <f t="shared" si="92"/>
        <v>0</v>
      </c>
      <c r="J113" s="45">
        <f t="shared" si="92"/>
        <v>0</v>
      </c>
      <c r="K113" s="45">
        <f t="shared" si="92"/>
        <v>0</v>
      </c>
      <c r="L113" s="45">
        <f t="shared" si="92"/>
        <v>0</v>
      </c>
      <c r="M113" s="35">
        <f t="shared" si="92"/>
        <v>0</v>
      </c>
      <c r="N113" s="45">
        <f t="shared" si="92"/>
        <v>0</v>
      </c>
      <c r="O113" s="45">
        <f t="shared" si="92"/>
        <v>0</v>
      </c>
      <c r="P113" s="45">
        <f t="shared" si="92"/>
        <v>0</v>
      </c>
      <c r="Q113" s="35">
        <f t="shared" si="92"/>
        <v>0</v>
      </c>
      <c r="R113" s="45">
        <f t="shared" si="92"/>
        <v>0</v>
      </c>
      <c r="S113" s="45">
        <f t="shared" si="92"/>
        <v>0</v>
      </c>
      <c r="T113" s="45">
        <f t="shared" si="92"/>
        <v>0</v>
      </c>
      <c r="U113" s="35">
        <f t="shared" si="92"/>
        <v>0</v>
      </c>
      <c r="V113" s="35">
        <f t="shared" si="92"/>
        <v>0</v>
      </c>
    </row>
    <row r="114" spans="1:22" ht="13.15">
      <c r="A114" s="24"/>
      <c r="B114" s="24"/>
      <c r="C114" s="24"/>
      <c r="D114" s="24" t="s">
        <v>22</v>
      </c>
      <c r="E114" s="8"/>
      <c r="F114" s="44">
        <f t="shared" ref="F114:U114" si="94">F88+F89+F97+F106+F113</f>
        <v>8000</v>
      </c>
      <c r="G114" s="44">
        <f t="shared" ref="G114:H114" si="95">G88+G89+G97+G106+G113</f>
        <v>8000</v>
      </c>
      <c r="H114" s="44">
        <f t="shared" si="95"/>
        <v>8000</v>
      </c>
      <c r="I114" s="35">
        <f t="shared" si="94"/>
        <v>24000</v>
      </c>
      <c r="J114" s="44">
        <f t="shared" si="94"/>
        <v>8000</v>
      </c>
      <c r="K114" s="44">
        <f t="shared" si="94"/>
        <v>8000</v>
      </c>
      <c r="L114" s="44">
        <f t="shared" si="94"/>
        <v>8000</v>
      </c>
      <c r="M114" s="35">
        <f t="shared" si="94"/>
        <v>24000</v>
      </c>
      <c r="N114" s="44">
        <f t="shared" si="94"/>
        <v>8000</v>
      </c>
      <c r="O114" s="44">
        <f t="shared" si="94"/>
        <v>8000</v>
      </c>
      <c r="P114" s="44">
        <f t="shared" si="94"/>
        <v>8000</v>
      </c>
      <c r="Q114" s="35">
        <f t="shared" si="94"/>
        <v>24000</v>
      </c>
      <c r="R114" s="44">
        <f t="shared" si="94"/>
        <v>8000</v>
      </c>
      <c r="S114" s="44">
        <f t="shared" si="94"/>
        <v>8000</v>
      </c>
      <c r="T114" s="44">
        <f t="shared" si="94"/>
        <v>8000</v>
      </c>
      <c r="U114" s="35">
        <f t="shared" si="94"/>
        <v>24000</v>
      </c>
      <c r="V114" s="35">
        <f t="shared" si="91"/>
        <v>96000</v>
      </c>
    </row>
    <row r="115" spans="1:22" ht="13.9">
      <c r="A115" s="11" t="s">
        <v>23</v>
      </c>
      <c r="B115" s="11"/>
      <c r="C115" s="11"/>
      <c r="D115" s="11"/>
      <c r="E115" s="12"/>
      <c r="F115" s="46">
        <f t="shared" ref="F115:U115" si="96">F114+F77</f>
        <v>25800000</v>
      </c>
      <c r="G115" s="46">
        <f t="shared" ref="G115:H115" si="97">G114+G77</f>
        <v>25800000</v>
      </c>
      <c r="H115" s="46">
        <f t="shared" si="97"/>
        <v>25800000</v>
      </c>
      <c r="I115" s="109">
        <f t="shared" si="96"/>
        <v>77400000</v>
      </c>
      <c r="J115" s="46">
        <f t="shared" si="96"/>
        <v>25800000</v>
      </c>
      <c r="K115" s="46">
        <f t="shared" si="96"/>
        <v>25800000</v>
      </c>
      <c r="L115" s="46">
        <f t="shared" si="96"/>
        <v>25800000</v>
      </c>
      <c r="M115" s="109">
        <f t="shared" si="96"/>
        <v>77400000</v>
      </c>
      <c r="N115" s="46">
        <f t="shared" si="96"/>
        <v>25800000</v>
      </c>
      <c r="O115" s="46">
        <f t="shared" si="96"/>
        <v>25800000</v>
      </c>
      <c r="P115" s="46">
        <f t="shared" si="96"/>
        <v>25800000</v>
      </c>
      <c r="Q115" s="109">
        <f t="shared" si="96"/>
        <v>77400000</v>
      </c>
      <c r="R115" s="46">
        <f t="shared" si="96"/>
        <v>25800000</v>
      </c>
      <c r="S115" s="46">
        <f t="shared" si="96"/>
        <v>25800000</v>
      </c>
      <c r="T115" s="46">
        <f t="shared" si="96"/>
        <v>25800000</v>
      </c>
      <c r="U115" s="109">
        <f t="shared" si="96"/>
        <v>77400000</v>
      </c>
      <c r="V115" s="40">
        <f t="shared" si="91"/>
        <v>309600000</v>
      </c>
    </row>
    <row r="116" spans="1:22" s="111" customFormat="1" ht="12.75" customHeight="1">
      <c r="A116" s="462" t="s">
        <v>181</v>
      </c>
      <c r="B116" s="463"/>
      <c r="C116" s="463"/>
      <c r="D116" s="464"/>
      <c r="E116" s="8"/>
      <c r="F116" s="43"/>
      <c r="G116" s="43"/>
      <c r="H116" s="43"/>
      <c r="I116" s="34"/>
      <c r="J116" s="43"/>
      <c r="K116" s="43"/>
      <c r="L116" s="43"/>
      <c r="M116" s="34"/>
      <c r="N116" s="43"/>
      <c r="O116" s="43"/>
      <c r="P116" s="43"/>
      <c r="Q116" s="34"/>
      <c r="R116" s="43"/>
      <c r="S116" s="43"/>
      <c r="T116" s="43"/>
      <c r="U116" s="34"/>
      <c r="V116" s="34"/>
    </row>
    <row r="117" spans="1:22" s="111" customFormat="1" ht="12.75" customHeight="1">
      <c r="A117" s="125"/>
      <c r="B117" s="4"/>
      <c r="C117" s="455" t="s">
        <v>182</v>
      </c>
      <c r="D117" s="456"/>
      <c r="E117" s="8"/>
      <c r="F117" s="138">
        <f>F29-F77</f>
        <v>275658000</v>
      </c>
      <c r="G117" s="138">
        <f>G29-G77-G102-G104</f>
        <v>11213000</v>
      </c>
      <c r="H117" s="138">
        <f>H29-H77-H102-H104</f>
        <v>11213000</v>
      </c>
      <c r="I117" s="35">
        <f>SUM(F117:H117)</f>
        <v>298084000</v>
      </c>
      <c r="J117" s="138">
        <f>J29-J77-J102-J104</f>
        <v>11213000</v>
      </c>
      <c r="K117" s="138">
        <f>K29-K77-K102-K104</f>
        <v>11213000</v>
      </c>
      <c r="L117" s="138">
        <f>L29-L77-L102-L104</f>
        <v>11213000</v>
      </c>
      <c r="M117" s="35">
        <f>SUM(J117:L117)</f>
        <v>33639000</v>
      </c>
      <c r="N117" s="138">
        <f>N29-N77-N102-N104</f>
        <v>11213000</v>
      </c>
      <c r="O117" s="138">
        <f>O29-O77-O102-O104</f>
        <v>11213000</v>
      </c>
      <c r="P117" s="138">
        <f>P29-P77-P102-P104</f>
        <v>11213000</v>
      </c>
      <c r="Q117" s="35">
        <f>SUM(N117:P117)</f>
        <v>33639000</v>
      </c>
      <c r="R117" s="138">
        <f>R29-R77-R102-R104</f>
        <v>11213000</v>
      </c>
      <c r="S117" s="138">
        <f>S29-S77-S102-S104</f>
        <v>11213000</v>
      </c>
      <c r="T117" s="138">
        <f>T29-T77-T102-T104</f>
        <v>11213000</v>
      </c>
      <c r="U117" s="35">
        <f>SUM(R117:T117)</f>
        <v>33639000</v>
      </c>
      <c r="V117" s="35">
        <f t="shared" si="91"/>
        <v>399001000</v>
      </c>
    </row>
    <row r="118" spans="1:22" ht="13.15" thickBot="1">
      <c r="A118" s="14"/>
      <c r="B118" s="14"/>
      <c r="C118" s="14"/>
      <c r="D118" s="14"/>
      <c r="E118" s="15"/>
      <c r="F118" s="47"/>
      <c r="G118" s="47"/>
      <c r="H118" s="47"/>
      <c r="I118" s="37"/>
      <c r="J118" s="47"/>
      <c r="K118" s="47"/>
      <c r="L118" s="47"/>
      <c r="M118" s="37"/>
      <c r="N118" s="47"/>
      <c r="O118" s="47"/>
      <c r="P118" s="47"/>
      <c r="Q118" s="37"/>
      <c r="R118" s="47"/>
      <c r="S118" s="47"/>
      <c r="T118" s="47"/>
      <c r="U118" s="37"/>
      <c r="V118" s="37"/>
    </row>
    <row r="119" spans="1:22">
      <c r="A119" s="7"/>
      <c r="B119" s="7"/>
      <c r="C119" s="7"/>
      <c r="D119" s="7"/>
      <c r="F119" s="13"/>
      <c r="G119" s="13"/>
      <c r="H119" s="13"/>
      <c r="J119" s="13"/>
      <c r="K119" s="13"/>
      <c r="L119" s="13"/>
      <c r="N119" s="13" t="s">
        <v>86</v>
      </c>
      <c r="O119" s="13"/>
      <c r="P119" s="13"/>
      <c r="R119" s="13"/>
      <c r="S119" s="13"/>
      <c r="T119" s="13"/>
    </row>
    <row r="120" spans="1:22">
      <c r="D120" s="106" t="s">
        <v>232</v>
      </c>
      <c r="F120" s="194"/>
      <c r="G120" s="195"/>
      <c r="H120" s="193"/>
      <c r="I120" s="164"/>
      <c r="J120" s="195"/>
      <c r="L120" s="162"/>
      <c r="M120" s="164"/>
      <c r="N120" s="195"/>
      <c r="O120" s="195"/>
      <c r="P120" s="195"/>
      <c r="R120" s="195"/>
      <c r="S120" s="195"/>
      <c r="T120" s="195"/>
    </row>
    <row r="121" spans="1:22">
      <c r="D121" s="106" t="s">
        <v>233</v>
      </c>
      <c r="F121" s="190"/>
      <c r="G121" s="196"/>
      <c r="H121" s="197"/>
      <c r="I121" s="164"/>
      <c r="J121" s="197"/>
      <c r="K121" s="197"/>
      <c r="L121" s="162"/>
      <c r="M121" s="164"/>
      <c r="N121" s="162"/>
      <c r="O121" s="162"/>
      <c r="P121" s="195"/>
      <c r="R121" s="195"/>
      <c r="S121" s="195"/>
      <c r="T121" s="195"/>
    </row>
    <row r="122" spans="1:22" ht="13.15">
      <c r="D122" s="104" t="s">
        <v>283</v>
      </c>
      <c r="F122" s="140">
        <f>F77</f>
        <v>25792000</v>
      </c>
      <c r="G122" s="140">
        <f>G77</f>
        <v>25792000</v>
      </c>
      <c r="H122" s="140">
        <f>H77</f>
        <v>25792000</v>
      </c>
      <c r="I122" s="157">
        <f>F122+G122+H122</f>
        <v>77376000</v>
      </c>
      <c r="J122" s="140">
        <f>J77</f>
        <v>25792000</v>
      </c>
      <c r="K122" s="140">
        <f>K77</f>
        <v>25792000</v>
      </c>
      <c r="L122" s="140">
        <f>L77</f>
        <v>25792000</v>
      </c>
      <c r="M122" s="157">
        <f>J122+K122+L122</f>
        <v>77376000</v>
      </c>
      <c r="N122" s="140">
        <f>N77</f>
        <v>25792000</v>
      </c>
      <c r="O122" s="140">
        <f>O77</f>
        <v>25792000</v>
      </c>
      <c r="P122" s="140">
        <f>P77</f>
        <v>25792000</v>
      </c>
      <c r="Q122" s="157">
        <f>N122+O122+P122</f>
        <v>77376000</v>
      </c>
      <c r="R122" s="140">
        <f>R77</f>
        <v>25792000</v>
      </c>
      <c r="S122" s="140">
        <f>S77</f>
        <v>25792000</v>
      </c>
      <c r="T122" s="140">
        <f>T77</f>
        <v>25792000</v>
      </c>
      <c r="U122" s="157">
        <f>R122+S122+T122</f>
        <v>77376000</v>
      </c>
      <c r="V122" s="157">
        <f>I122+M122+Q122+U122</f>
        <v>309504000</v>
      </c>
    </row>
    <row r="123" spans="1:22" ht="13.15">
      <c r="D123" s="104" t="s">
        <v>290</v>
      </c>
      <c r="F123" s="141">
        <f>+MKT!F119+JGChoi!F120</f>
        <v>20354000</v>
      </c>
      <c r="G123" s="140">
        <f>JGChoi!G120+MKT!G119</f>
        <v>20917000</v>
      </c>
      <c r="H123" s="140">
        <f>JGChoi!H120+MKT!H119</f>
        <v>20917000</v>
      </c>
      <c r="I123" s="157">
        <f>F123+G123+H123</f>
        <v>62188000</v>
      </c>
      <c r="J123" s="140">
        <f>JGChoi!J120+MKT!K119</f>
        <v>20917000</v>
      </c>
      <c r="K123" s="140">
        <f>JGChoi!K120+MKT!K119</f>
        <v>20917000</v>
      </c>
      <c r="L123" s="140">
        <f>JGChoi!L120+MKT!L119</f>
        <v>20917000</v>
      </c>
      <c r="M123" s="157">
        <f>J123+K123+L123</f>
        <v>62751000</v>
      </c>
      <c r="N123" s="140">
        <f>JGChoi!N120+MKT!N119</f>
        <v>20917000</v>
      </c>
      <c r="O123" s="140">
        <f>JGChoi!O120+MKT!O119</f>
        <v>20917000</v>
      </c>
      <c r="P123" s="140">
        <f>JGChoi!P120+MKT!P119</f>
        <v>20917000</v>
      </c>
      <c r="Q123" s="157">
        <f>N123+O123+P123</f>
        <v>62751000</v>
      </c>
      <c r="R123" s="140">
        <f>JGChoi!R120+MKT!R119</f>
        <v>20917000</v>
      </c>
      <c r="S123" s="140">
        <f>JGChoi!S120+MKT!S119</f>
        <v>20917000</v>
      </c>
      <c r="T123" s="140">
        <f>JGChoi!T120+MKT!T119</f>
        <v>20917000</v>
      </c>
      <c r="U123" s="157">
        <f>R123+S123+T123</f>
        <v>62751000</v>
      </c>
      <c r="V123" s="157">
        <f t="shared" ref="V123:V126" si="98">I123+M123+Q123+U123</f>
        <v>250441000</v>
      </c>
    </row>
    <row r="124" spans="1:22" ht="13.15">
      <c r="D124" s="104" t="s">
        <v>281</v>
      </c>
      <c r="F124" s="140">
        <f>F122+F123</f>
        <v>46146000</v>
      </c>
      <c r="G124" s="140">
        <f t="shared" ref="G124:T124" si="99">G122+G123</f>
        <v>46709000</v>
      </c>
      <c r="H124" s="140">
        <f t="shared" si="99"/>
        <v>46709000</v>
      </c>
      <c r="I124" s="157">
        <f t="shared" ref="I124:I125" si="100">F124+G124+H124</f>
        <v>139564000</v>
      </c>
      <c r="J124" s="140">
        <f t="shared" si="99"/>
        <v>46709000</v>
      </c>
      <c r="K124" s="140">
        <f t="shared" si="99"/>
        <v>46709000</v>
      </c>
      <c r="L124" s="140">
        <f t="shared" si="99"/>
        <v>46709000</v>
      </c>
      <c r="M124" s="157">
        <f>J124+K124+L124</f>
        <v>140127000</v>
      </c>
      <c r="N124" s="140">
        <f t="shared" si="99"/>
        <v>46709000</v>
      </c>
      <c r="O124" s="140">
        <f t="shared" si="99"/>
        <v>46709000</v>
      </c>
      <c r="P124" s="140">
        <f t="shared" si="99"/>
        <v>46709000</v>
      </c>
      <c r="Q124" s="157">
        <f t="shared" ref="Q124:Q125" si="101">N124+O124+P124</f>
        <v>140127000</v>
      </c>
      <c r="R124" s="140">
        <f t="shared" si="99"/>
        <v>46709000</v>
      </c>
      <c r="S124" s="140">
        <f t="shared" si="99"/>
        <v>46709000</v>
      </c>
      <c r="T124" s="140">
        <f t="shared" si="99"/>
        <v>46709000</v>
      </c>
      <c r="U124" s="157">
        <f>R124+S124+T124</f>
        <v>140127000</v>
      </c>
      <c r="V124" s="157">
        <f t="shared" ref="V124" si="102">I124+M124+Q124+U124</f>
        <v>559945000</v>
      </c>
    </row>
    <row r="125" spans="1:22" ht="13.15">
      <c r="D125" s="105" t="s">
        <v>207</v>
      </c>
      <c r="F125" s="141">
        <f>ROUND((간접!F124*F124)/(TST!F124+SDT!F124+TSG!F124),-3)</f>
        <v>13736000</v>
      </c>
      <c r="G125" s="141">
        <f>ROUND((간접!G124*G124)/(TST!G124+SDT!G124+TSG!G124),-3)</f>
        <v>13366000</v>
      </c>
      <c r="H125" s="141">
        <f>ROUND((간접!H124*H124)/(TST!H124+SDT!H124+TSG!H124),-3)</f>
        <v>13366000</v>
      </c>
      <c r="I125" s="157">
        <f t="shared" si="100"/>
        <v>40468000</v>
      </c>
      <c r="J125" s="141">
        <f>ROUND((간접!J124*J124)/(TST!J124+SDT!J124+TSG!J124),-3)</f>
        <v>13366000</v>
      </c>
      <c r="K125" s="141">
        <f>ROUND((간접!K124*K124)/(TST!K124+SDT!K124+TSG!K124),-3)</f>
        <v>13366000</v>
      </c>
      <c r="L125" s="141">
        <f>ROUND((간접!L124*L124)/(TST!L124+SDT!L124+TSG!L124),-3)</f>
        <v>13366000</v>
      </c>
      <c r="M125" s="157">
        <f t="shared" ref="M125:M126" si="103">J125+K125+L125</f>
        <v>40098000</v>
      </c>
      <c r="N125" s="141">
        <f>ROUND((간접!N124*N124)/(TST!N124+SDT!N124+TSG!N124),-3)</f>
        <v>13366000</v>
      </c>
      <c r="O125" s="141">
        <f>ROUND((간접!O124*O124)/(TST!O124+SDT!O124+TSG!O124),-3)</f>
        <v>13366000</v>
      </c>
      <c r="P125" s="141">
        <f>ROUND((간접!P124*P124)/(TST!P124+SDT!P124+TSG!P124),-3)</f>
        <v>13366000</v>
      </c>
      <c r="Q125" s="157">
        <f t="shared" si="101"/>
        <v>40098000</v>
      </c>
      <c r="R125" s="141">
        <f>ROUND((간접!R124*R124)/(TST!R124+SDT!R124+TSG!R124),-3)</f>
        <v>13366000</v>
      </c>
      <c r="S125" s="141">
        <f>ROUND((간접!S124*S124)/(TST!S124+SDT!S124+TSG!S124),-3)</f>
        <v>13366000</v>
      </c>
      <c r="T125" s="141">
        <f>ROUND((간접!T124*T124)/(TST!T124+SDT!T124+TSG!T124),-3)</f>
        <v>13366000</v>
      </c>
      <c r="U125" s="157">
        <f t="shared" ref="U125:U126" si="104">R125+S125+T125</f>
        <v>40098000</v>
      </c>
      <c r="V125" s="157">
        <f t="shared" si="98"/>
        <v>160762000</v>
      </c>
    </row>
    <row r="126" spans="1:22" ht="13.15">
      <c r="D126" s="105" t="s">
        <v>282</v>
      </c>
      <c r="F126" s="141">
        <f>F124+F125</f>
        <v>59882000</v>
      </c>
      <c r="G126" s="141">
        <f t="shared" ref="G126:H126" si="105">SUM(G123:G125)</f>
        <v>80992000</v>
      </c>
      <c r="H126" s="141">
        <f t="shared" si="105"/>
        <v>80992000</v>
      </c>
      <c r="I126" s="157">
        <f t="shared" ref="I126" si="106">F126+G126+H126</f>
        <v>221866000</v>
      </c>
      <c r="J126" s="141">
        <f>SUM(J123:J125)</f>
        <v>80992000</v>
      </c>
      <c r="K126" s="141">
        <f t="shared" ref="K126:L126" si="107">SUM(K123:K125)</f>
        <v>80992000</v>
      </c>
      <c r="L126" s="141">
        <f t="shared" si="107"/>
        <v>80992000</v>
      </c>
      <c r="M126" s="157">
        <f t="shared" si="103"/>
        <v>242976000</v>
      </c>
      <c r="N126" s="141">
        <f>SUM(N123:N125)</f>
        <v>80992000</v>
      </c>
      <c r="O126" s="141">
        <f t="shared" ref="O126:P126" si="108">SUM(O123:O125)</f>
        <v>80992000</v>
      </c>
      <c r="P126" s="141">
        <f t="shared" si="108"/>
        <v>80992000</v>
      </c>
      <c r="Q126" s="157">
        <f t="shared" ref="Q126" si="109">N126+O126+P126</f>
        <v>242976000</v>
      </c>
      <c r="R126" s="141">
        <f>SUM(R123:R125)</f>
        <v>80992000</v>
      </c>
      <c r="S126" s="141">
        <f t="shared" ref="S126:T126" si="110">SUM(S123:S125)</f>
        <v>80992000</v>
      </c>
      <c r="T126" s="141">
        <f t="shared" si="110"/>
        <v>80992000</v>
      </c>
      <c r="U126" s="157">
        <f t="shared" si="104"/>
        <v>242976000</v>
      </c>
      <c r="V126" s="157">
        <f t="shared" si="98"/>
        <v>950794000</v>
      </c>
    </row>
    <row r="127" spans="1:22" ht="13.15">
      <c r="D127" s="94" t="s">
        <v>209</v>
      </c>
      <c r="F127" s="142">
        <f>F126/(SDT!F126+TST!F126+TSG!F126)</f>
        <v>0.2051554373967919</v>
      </c>
      <c r="G127" s="142">
        <f>G126/(SDT!G126+TST!G126+TSG!G126)</f>
        <v>0.27762466921695256</v>
      </c>
      <c r="H127" s="142">
        <f>H126/(SDT!H126+TST!H126+TSG!H126)</f>
        <v>0.27762466921695256</v>
      </c>
      <c r="I127" s="158">
        <f>AVERAGE(F127:H127)</f>
        <v>0.25346825861023237</v>
      </c>
      <c r="J127" s="142">
        <f>J126/(SDT!J126+TST!J126+TSG!J126)</f>
        <v>0.27762466921695256</v>
      </c>
      <c r="K127" s="142">
        <f>K126/(SDT!K126+TST!K126+TSG!K126)</f>
        <v>0.27762466921695256</v>
      </c>
      <c r="L127" s="142">
        <f>L126/(SDT!L126+TST!L126+TSG!L126)</f>
        <v>0.27762466921695256</v>
      </c>
      <c r="M127" s="158">
        <f>AVERAGE(J127:L127)</f>
        <v>0.27762466921695256</v>
      </c>
      <c r="N127" s="142">
        <f>N126/(SDT!N126+TST!N126+TSG!N126)</f>
        <v>0.27762466921695256</v>
      </c>
      <c r="O127" s="142">
        <f>O126/(SDT!O126+TST!O126+TSG!O126)</f>
        <v>0.27762466921695256</v>
      </c>
      <c r="P127" s="142">
        <f>P126/(SDT!P126+TST!P126+TSG!P126)</f>
        <v>0.27762466921695256</v>
      </c>
      <c r="Q127" s="158">
        <f>AVERAGE(N127:P127)</f>
        <v>0.27762466921695256</v>
      </c>
      <c r="R127" s="142">
        <f>R126/(SDT!R126+TST!R126+TSG!R126)</f>
        <v>0.27694969618011034</v>
      </c>
      <c r="S127" s="142">
        <f>S126/(SDT!S126+TST!S126+TSG!S126)</f>
        <v>0.27762466921695256</v>
      </c>
      <c r="T127" s="142">
        <f>T126/(SDT!T126+TST!T126+TSG!T126)</f>
        <v>0.27762466921695256</v>
      </c>
      <c r="U127" s="158">
        <f>AVERAGE(R127:T127)</f>
        <v>0.27739967820467187</v>
      </c>
      <c r="V127" s="158">
        <f>AVERAGE(I127,M127,Q127,U127)</f>
        <v>0.27152931881220238</v>
      </c>
    </row>
    <row r="129" spans="6:7">
      <c r="F129" s="264"/>
    </row>
    <row r="130" spans="6:7">
      <c r="F130" s="3" t="s">
        <v>87</v>
      </c>
      <c r="G130" s="3" t="s">
        <v>87</v>
      </c>
    </row>
  </sheetData>
  <mergeCells count="17">
    <mergeCell ref="A3:D3"/>
    <mergeCell ref="A4:A11"/>
    <mergeCell ref="B5:B10"/>
    <mergeCell ref="A12:D12"/>
    <mergeCell ref="A14:D14"/>
    <mergeCell ref="A28:D28"/>
    <mergeCell ref="C23:D23"/>
    <mergeCell ref="A116:D116"/>
    <mergeCell ref="C117:D117"/>
    <mergeCell ref="C29:D29"/>
    <mergeCell ref="A15:A25"/>
    <mergeCell ref="C15:D15"/>
    <mergeCell ref="C21:D21"/>
    <mergeCell ref="C22:D22"/>
    <mergeCell ref="C24:D24"/>
    <mergeCell ref="C25:D25"/>
    <mergeCell ref="A26:D26"/>
  </mergeCells>
  <phoneticPr fontId="8" type="noConversion"/>
  <pageMargins left="0.59055118110236227" right="0.39370078740157483" top="0.78740157480314965" bottom="0.39370078740157483" header="0.31496062992125984" footer="0.51181102362204722"/>
  <pageSetup scale="10" fitToHeight="2" orientation="portrait" r:id="rId1"/>
  <headerFooter alignWithMargins="0">
    <oddHeader>&amp;L&amp;Z&amp;F&amp;A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EA027-E5EE-43AB-B7A9-E1C35D901332}">
  <sheetPr>
    <pageSetUpPr fitToPage="1"/>
  </sheetPr>
  <dimension ref="A1:AU131"/>
  <sheetViews>
    <sheetView zoomScale="115" zoomScaleNormal="115" workbookViewId="0">
      <pane xSplit="4" ySplit="2" topLeftCell="J52" activePane="bottomRight" state="frozen"/>
      <selection activeCell="G36" sqref="G36"/>
      <selection pane="topRight" activeCell="G36" sqref="G36"/>
      <selection pane="bottomLeft" activeCell="G36" sqref="G36"/>
      <selection pane="bottomRight" activeCell="V71" sqref="V71"/>
    </sheetView>
  </sheetViews>
  <sheetFormatPr defaultColWidth="8.87890625" defaultRowHeight="12.75" outlineLevelRow="2" outlineLevelCol="1"/>
  <cols>
    <col min="1" max="3" width="1.3515625" style="3" customWidth="1"/>
    <col min="4" max="4" width="21.1171875" style="3" customWidth="1"/>
    <col min="5" max="5" width="1.64453125" style="7" customWidth="1"/>
    <col min="6" max="6" width="10.234375" style="3" customWidth="1" outlineLevel="1"/>
    <col min="7" max="8" width="10.87890625" style="3" customWidth="1" outlineLevel="1"/>
    <col min="9" max="9" width="10.87890625" style="3" bestFit="1" customWidth="1"/>
    <col min="10" max="10" width="10.234375" style="3" customWidth="1" outlineLevel="1"/>
    <col min="11" max="12" width="10.87890625" style="3" customWidth="1" outlineLevel="1"/>
    <col min="13" max="13" width="10.87890625" style="3" bestFit="1" customWidth="1"/>
    <col min="14" max="14" width="11.234375" style="3" customWidth="1" outlineLevel="1"/>
    <col min="15" max="16" width="10.87890625" style="3" customWidth="1" outlineLevel="1"/>
    <col min="17" max="17" width="10.87890625" style="3" bestFit="1" customWidth="1"/>
    <col min="18" max="20" width="10.234375" style="3" customWidth="1" outlineLevel="1"/>
    <col min="21" max="22" width="10.87890625" style="3" bestFit="1" customWidth="1"/>
    <col min="23" max="16384" width="8.87890625" style="3"/>
  </cols>
  <sheetData>
    <row r="1" spans="1:47" ht="13.9" thickBot="1">
      <c r="A1" s="1"/>
      <c r="B1" s="1"/>
      <c r="C1" s="1"/>
      <c r="D1" s="38"/>
      <c r="E1" s="2"/>
      <c r="F1" s="18" t="s">
        <v>69</v>
      </c>
      <c r="G1" s="135" t="s">
        <v>70</v>
      </c>
      <c r="H1" s="18" t="s">
        <v>71</v>
      </c>
      <c r="I1" s="100" t="s">
        <v>72</v>
      </c>
      <c r="J1" s="18" t="s">
        <v>74</v>
      </c>
      <c r="K1" s="135" t="s">
        <v>75</v>
      </c>
      <c r="L1" s="18" t="s">
        <v>76</v>
      </c>
      <c r="M1" s="18" t="s">
        <v>77</v>
      </c>
      <c r="N1" s="16" t="s">
        <v>80</v>
      </c>
      <c r="O1" s="17" t="s">
        <v>81</v>
      </c>
      <c r="P1" s="17" t="s">
        <v>82</v>
      </c>
      <c r="Q1" s="18" t="s">
        <v>83</v>
      </c>
      <c r="R1" s="16" t="s">
        <v>88</v>
      </c>
      <c r="S1" s="16" t="s">
        <v>91</v>
      </c>
      <c r="T1" s="16" t="s">
        <v>92</v>
      </c>
      <c r="U1" s="18" t="s">
        <v>89</v>
      </c>
      <c r="V1" s="18">
        <v>2026</v>
      </c>
      <c r="AU1" s="4"/>
    </row>
    <row r="2" spans="1:47" ht="13.5" thickBot="1">
      <c r="A2" s="5"/>
      <c r="B2" s="5"/>
      <c r="C2" s="5"/>
      <c r="D2" s="6"/>
      <c r="E2" s="2"/>
      <c r="F2" s="110" t="s">
        <v>24</v>
      </c>
      <c r="G2" s="136" t="s">
        <v>24</v>
      </c>
      <c r="H2" s="107" t="s">
        <v>24</v>
      </c>
      <c r="I2" s="108" t="s">
        <v>25</v>
      </c>
      <c r="J2" s="110" t="s">
        <v>24</v>
      </c>
      <c r="K2" s="136" t="s">
        <v>24</v>
      </c>
      <c r="L2" s="107" t="s">
        <v>24</v>
      </c>
      <c r="M2" s="132" t="s">
        <v>25</v>
      </c>
      <c r="N2" s="130" t="s">
        <v>24</v>
      </c>
      <c r="O2" s="131" t="s">
        <v>24</v>
      </c>
      <c r="P2" s="131" t="s">
        <v>24</v>
      </c>
      <c r="Q2" s="132" t="s">
        <v>25</v>
      </c>
      <c r="R2" s="130" t="s">
        <v>24</v>
      </c>
      <c r="S2" s="130" t="s">
        <v>24</v>
      </c>
      <c r="T2" s="130" t="s">
        <v>24</v>
      </c>
      <c r="U2" s="132" t="s">
        <v>25</v>
      </c>
      <c r="V2" s="132" t="s">
        <v>25</v>
      </c>
    </row>
    <row r="3" spans="1:47" s="111" customFormat="1" ht="12.75" customHeight="1">
      <c r="A3" s="447" t="s">
        <v>159</v>
      </c>
      <c r="B3" s="448"/>
      <c r="C3" s="448"/>
      <c r="D3" s="449"/>
      <c r="E3" s="2"/>
      <c r="F3" s="133"/>
      <c r="G3" s="133"/>
      <c r="H3" s="133"/>
      <c r="I3" s="34"/>
      <c r="J3" s="133"/>
      <c r="K3" s="133"/>
      <c r="L3" s="133"/>
      <c r="M3" s="34"/>
      <c r="N3" s="133"/>
      <c r="O3" s="133"/>
      <c r="P3" s="133"/>
      <c r="Q3" s="34"/>
      <c r="R3" s="133"/>
      <c r="S3" s="133"/>
      <c r="T3" s="133"/>
      <c r="U3" s="34"/>
      <c r="V3" s="134"/>
    </row>
    <row r="4" spans="1:47" s="111" customFormat="1" ht="12.75" customHeight="1">
      <c r="A4" s="450"/>
      <c r="B4" s="112" t="s">
        <v>160</v>
      </c>
      <c r="C4" s="112"/>
      <c r="D4" s="113"/>
      <c r="E4" s="2"/>
      <c r="F4" s="43"/>
      <c r="G4" s="43"/>
      <c r="H4" s="43"/>
      <c r="I4" s="34"/>
      <c r="J4" s="43"/>
      <c r="K4" s="43"/>
      <c r="L4" s="43"/>
      <c r="M4" s="34"/>
      <c r="N4" s="43"/>
      <c r="O4" s="43"/>
      <c r="P4" s="43"/>
      <c r="Q4" s="34"/>
      <c r="R4" s="43"/>
      <c r="S4" s="43"/>
      <c r="T4" s="43"/>
      <c r="U4" s="34"/>
      <c r="V4" s="34"/>
    </row>
    <row r="5" spans="1:47" s="111" customFormat="1" ht="12.75" customHeight="1" outlineLevel="1">
      <c r="A5" s="450"/>
      <c r="B5" s="451"/>
      <c r="C5" s="114"/>
      <c r="D5" s="115" t="s">
        <v>161</v>
      </c>
      <c r="E5" s="7">
        <v>1</v>
      </c>
      <c r="F5" s="43">
        <v>222000000</v>
      </c>
      <c r="G5" s="43">
        <v>0</v>
      </c>
      <c r="H5" s="43">
        <v>0</v>
      </c>
      <c r="I5" s="34">
        <f t="shared" ref="I5:I10" si="0">H5+G5+F5</f>
        <v>222000000</v>
      </c>
      <c r="J5" s="43">
        <v>0</v>
      </c>
      <c r="K5" s="43">
        <v>0</v>
      </c>
      <c r="L5" s="43">
        <v>0</v>
      </c>
      <c r="M5" s="34">
        <f t="shared" ref="M5:M10" si="1">L5+K5+J5</f>
        <v>0</v>
      </c>
      <c r="N5" s="43">
        <v>0</v>
      </c>
      <c r="O5" s="43">
        <v>0</v>
      </c>
      <c r="P5" s="43">
        <v>0</v>
      </c>
      <c r="Q5" s="34">
        <f t="shared" ref="Q5:Q10" si="2">P5+O5+N5</f>
        <v>0</v>
      </c>
      <c r="R5" s="43">
        <v>0</v>
      </c>
      <c r="S5" s="43">
        <v>0</v>
      </c>
      <c r="T5" s="43">
        <v>0</v>
      </c>
      <c r="U5" s="34">
        <f t="shared" ref="U5:U10" si="3">T5+S5+R5</f>
        <v>0</v>
      </c>
      <c r="V5" s="34">
        <f t="shared" ref="V5:V10" si="4">U5+Q5+M5+I5</f>
        <v>222000000</v>
      </c>
    </row>
    <row r="6" spans="1:47" s="111" customFormat="1" ht="12.75" customHeight="1" outlineLevel="1">
      <c r="A6" s="450"/>
      <c r="B6" s="451"/>
      <c r="C6" s="116"/>
      <c r="D6" s="117" t="s">
        <v>162</v>
      </c>
      <c r="E6" s="7">
        <v>1</v>
      </c>
      <c r="F6" s="43">
        <v>265871000</v>
      </c>
      <c r="G6" s="43">
        <v>65000000</v>
      </c>
      <c r="H6" s="43">
        <v>65000000</v>
      </c>
      <c r="I6" s="34">
        <f t="shared" si="0"/>
        <v>395871000</v>
      </c>
      <c r="J6" s="43">
        <v>65000000</v>
      </c>
      <c r="K6" s="43">
        <v>65000000</v>
      </c>
      <c r="L6" s="43">
        <v>65000000</v>
      </c>
      <c r="M6" s="34">
        <f t="shared" si="1"/>
        <v>195000000</v>
      </c>
      <c r="N6" s="43">
        <v>65000000</v>
      </c>
      <c r="O6" s="43">
        <v>65000000</v>
      </c>
      <c r="P6" s="43">
        <v>65000000</v>
      </c>
      <c r="Q6" s="34">
        <f t="shared" si="2"/>
        <v>195000000</v>
      </c>
      <c r="R6" s="43">
        <v>65000000</v>
      </c>
      <c r="S6" s="43">
        <v>65000000</v>
      </c>
      <c r="T6" s="43">
        <v>65000000</v>
      </c>
      <c r="U6" s="34">
        <f t="shared" si="3"/>
        <v>195000000</v>
      </c>
      <c r="V6" s="34">
        <f t="shared" si="4"/>
        <v>980871000</v>
      </c>
    </row>
    <row r="7" spans="1:47" s="111" customFormat="1" ht="12.75" customHeight="1" outlineLevel="1">
      <c r="A7" s="450"/>
      <c r="B7" s="451"/>
      <c r="C7" s="116"/>
      <c r="D7" s="117" t="s">
        <v>163</v>
      </c>
      <c r="E7" s="7">
        <v>1</v>
      </c>
      <c r="F7" s="43">
        <v>93609000</v>
      </c>
      <c r="G7" s="43">
        <v>90000000</v>
      </c>
      <c r="H7" s="43">
        <v>90000000</v>
      </c>
      <c r="I7" s="34">
        <f t="shared" si="0"/>
        <v>273609000</v>
      </c>
      <c r="J7" s="43">
        <v>90000000</v>
      </c>
      <c r="K7" s="43">
        <v>90000000</v>
      </c>
      <c r="L7" s="43">
        <v>90000000</v>
      </c>
      <c r="M7" s="34">
        <f t="shared" si="1"/>
        <v>270000000</v>
      </c>
      <c r="N7" s="43">
        <v>90000000</v>
      </c>
      <c r="O7" s="43">
        <v>90000000</v>
      </c>
      <c r="P7" s="43">
        <v>90000000</v>
      </c>
      <c r="Q7" s="34">
        <f t="shared" si="2"/>
        <v>270000000</v>
      </c>
      <c r="R7" s="43">
        <v>90000000</v>
      </c>
      <c r="S7" s="43">
        <v>90000000</v>
      </c>
      <c r="T7" s="43">
        <v>90000000</v>
      </c>
      <c r="U7" s="34">
        <f t="shared" si="3"/>
        <v>270000000</v>
      </c>
      <c r="V7" s="34">
        <f t="shared" si="4"/>
        <v>1083609000</v>
      </c>
    </row>
    <row r="8" spans="1:47" s="111" customFormat="1" ht="12.75" customHeight="1" outlineLevel="1">
      <c r="A8" s="450"/>
      <c r="B8" s="451"/>
      <c r="C8" s="116"/>
      <c r="D8" s="118" t="s">
        <v>164</v>
      </c>
      <c r="E8" s="7"/>
      <c r="F8" s="43"/>
      <c r="G8" s="43"/>
      <c r="H8" s="43"/>
      <c r="I8" s="34">
        <f t="shared" si="0"/>
        <v>0</v>
      </c>
      <c r="J8" s="43"/>
      <c r="K8" s="43"/>
      <c r="L8" s="43"/>
      <c r="M8" s="34">
        <f t="shared" si="1"/>
        <v>0</v>
      </c>
      <c r="N8" s="43"/>
      <c r="O8" s="43"/>
      <c r="P8" s="43"/>
      <c r="Q8" s="34">
        <f t="shared" si="2"/>
        <v>0</v>
      </c>
      <c r="R8" s="43"/>
      <c r="S8" s="43"/>
      <c r="T8" s="43"/>
      <c r="U8" s="34">
        <f t="shared" si="3"/>
        <v>0</v>
      </c>
      <c r="V8" s="34">
        <f t="shared" si="4"/>
        <v>0</v>
      </c>
    </row>
    <row r="9" spans="1:47" s="111" customFormat="1" ht="12.75" customHeight="1" outlineLevel="1">
      <c r="A9" s="450"/>
      <c r="B9" s="451"/>
      <c r="C9" s="116"/>
      <c r="D9" s="117" t="s">
        <v>166</v>
      </c>
      <c r="E9" s="7"/>
      <c r="F9" s="43"/>
      <c r="G9" s="43"/>
      <c r="H9" s="43"/>
      <c r="I9" s="34">
        <f t="shared" si="0"/>
        <v>0</v>
      </c>
      <c r="J9" s="43"/>
      <c r="K9" s="43"/>
      <c r="L9" s="43"/>
      <c r="M9" s="34">
        <f t="shared" si="1"/>
        <v>0</v>
      </c>
      <c r="N9" s="43"/>
      <c r="O9" s="43"/>
      <c r="P9" s="43"/>
      <c r="Q9" s="34">
        <f t="shared" si="2"/>
        <v>0</v>
      </c>
      <c r="R9" s="43"/>
      <c r="S9" s="43"/>
      <c r="T9" s="43"/>
      <c r="U9" s="34">
        <f t="shared" si="3"/>
        <v>0</v>
      </c>
      <c r="V9" s="34">
        <f t="shared" si="4"/>
        <v>0</v>
      </c>
    </row>
    <row r="10" spans="1:47" s="111" customFormat="1" ht="12.75" customHeight="1" outlineLevel="1">
      <c r="A10" s="450"/>
      <c r="B10" s="451"/>
      <c r="C10" s="116"/>
      <c r="D10" s="117" t="s">
        <v>165</v>
      </c>
      <c r="E10" s="7"/>
      <c r="F10" s="43"/>
      <c r="G10" s="43"/>
      <c r="H10" s="43"/>
      <c r="I10" s="34">
        <f t="shared" si="0"/>
        <v>0</v>
      </c>
      <c r="J10" s="43"/>
      <c r="K10" s="43"/>
      <c r="L10" s="43"/>
      <c r="M10" s="34">
        <f t="shared" si="1"/>
        <v>0</v>
      </c>
      <c r="N10" s="43"/>
      <c r="O10" s="43"/>
      <c r="P10" s="43"/>
      <c r="Q10" s="34">
        <f t="shared" si="2"/>
        <v>0</v>
      </c>
      <c r="R10" s="43"/>
      <c r="S10" s="43"/>
      <c r="T10" s="43"/>
      <c r="U10" s="34">
        <f t="shared" si="3"/>
        <v>0</v>
      </c>
      <c r="V10" s="34">
        <f t="shared" si="4"/>
        <v>0</v>
      </c>
    </row>
    <row r="11" spans="1:47" s="111" customFormat="1" ht="6.75" customHeight="1">
      <c r="A11" s="450"/>
      <c r="B11" s="4"/>
      <c r="C11" s="4"/>
      <c r="D11" s="119"/>
      <c r="E11" s="120"/>
      <c r="F11" s="43"/>
      <c r="G11" s="43"/>
      <c r="H11" s="43"/>
      <c r="I11" s="34"/>
      <c r="J11" s="43"/>
      <c r="K11" s="43"/>
      <c r="L11" s="43"/>
      <c r="M11" s="34"/>
      <c r="N11" s="43"/>
      <c r="O11" s="43"/>
      <c r="P11" s="43"/>
      <c r="Q11" s="34"/>
      <c r="R11" s="43"/>
      <c r="S11" s="43"/>
      <c r="T11" s="43"/>
      <c r="U11" s="34"/>
      <c r="V11" s="34"/>
    </row>
    <row r="12" spans="1:47" s="111" customFormat="1" ht="12.75" customHeight="1">
      <c r="A12" s="447" t="s">
        <v>167</v>
      </c>
      <c r="B12" s="448"/>
      <c r="C12" s="448"/>
      <c r="D12" s="449"/>
      <c r="E12" s="8"/>
      <c r="F12" s="44">
        <f t="shared" ref="F12:V12" si="5">SUM(F5:F10)</f>
        <v>581480000</v>
      </c>
      <c r="G12" s="44">
        <f t="shared" ref="G12:H12" si="6">SUM(G5:G10)</f>
        <v>155000000</v>
      </c>
      <c r="H12" s="44">
        <f t="shared" si="6"/>
        <v>155000000</v>
      </c>
      <c r="I12" s="35">
        <f t="shared" si="5"/>
        <v>891480000</v>
      </c>
      <c r="J12" s="44">
        <f t="shared" si="5"/>
        <v>155000000</v>
      </c>
      <c r="K12" s="44">
        <f t="shared" si="5"/>
        <v>155000000</v>
      </c>
      <c r="L12" s="44">
        <f t="shared" si="5"/>
        <v>155000000</v>
      </c>
      <c r="M12" s="35">
        <f t="shared" si="5"/>
        <v>465000000</v>
      </c>
      <c r="N12" s="44">
        <f t="shared" si="5"/>
        <v>155000000</v>
      </c>
      <c r="O12" s="44">
        <f t="shared" si="5"/>
        <v>155000000</v>
      </c>
      <c r="P12" s="44">
        <f t="shared" si="5"/>
        <v>155000000</v>
      </c>
      <c r="Q12" s="35">
        <f t="shared" si="5"/>
        <v>465000000</v>
      </c>
      <c r="R12" s="44">
        <f t="shared" si="5"/>
        <v>155000000</v>
      </c>
      <c r="S12" s="44">
        <f t="shared" si="5"/>
        <v>155000000</v>
      </c>
      <c r="T12" s="44">
        <f t="shared" si="5"/>
        <v>155000000</v>
      </c>
      <c r="U12" s="35">
        <f t="shared" si="5"/>
        <v>465000000</v>
      </c>
      <c r="V12" s="35">
        <f t="shared" si="5"/>
        <v>2286480000</v>
      </c>
    </row>
    <row r="13" spans="1:47" s="111" customFormat="1" ht="5.25" customHeight="1">
      <c r="A13" s="121"/>
      <c r="B13" s="3"/>
      <c r="C13" s="3"/>
      <c r="D13" s="119"/>
      <c r="E13" s="4"/>
      <c r="F13" s="43"/>
      <c r="G13" s="43"/>
      <c r="H13" s="43"/>
      <c r="I13" s="34"/>
      <c r="J13" s="43"/>
      <c r="K13" s="43"/>
      <c r="L13" s="43"/>
      <c r="M13" s="34"/>
      <c r="N13" s="43"/>
      <c r="O13" s="43"/>
      <c r="P13" s="43"/>
      <c r="Q13" s="34"/>
      <c r="R13" s="43"/>
      <c r="S13" s="43"/>
      <c r="T13" s="43"/>
      <c r="U13" s="34"/>
      <c r="V13" s="34"/>
    </row>
    <row r="14" spans="1:47" s="111" customFormat="1" ht="12.75" customHeight="1">
      <c r="A14" s="452" t="s">
        <v>168</v>
      </c>
      <c r="B14" s="453"/>
      <c r="C14" s="453"/>
      <c r="D14" s="454"/>
      <c r="E14" s="7"/>
      <c r="F14" s="43"/>
      <c r="G14" s="43"/>
      <c r="H14" s="43"/>
      <c r="I14" s="34"/>
      <c r="J14" s="43"/>
      <c r="K14" s="43"/>
      <c r="L14" s="43"/>
      <c r="M14" s="34"/>
      <c r="N14" s="43"/>
      <c r="O14" s="43"/>
      <c r="P14" s="43"/>
      <c r="Q14" s="34"/>
      <c r="R14" s="43"/>
      <c r="S14" s="43"/>
      <c r="T14" s="43"/>
      <c r="U14" s="34"/>
      <c r="V14" s="34"/>
    </row>
    <row r="15" spans="1:47" s="111" customFormat="1" ht="12.75" customHeight="1" outlineLevel="1">
      <c r="A15" s="465"/>
      <c r="B15" s="3"/>
      <c r="C15" s="466" t="s">
        <v>169</v>
      </c>
      <c r="D15" s="467"/>
      <c r="E15" s="7"/>
      <c r="F15" s="43"/>
      <c r="G15" s="43"/>
      <c r="H15" s="43"/>
      <c r="I15" s="34"/>
      <c r="J15" s="43"/>
      <c r="K15" s="43"/>
      <c r="L15" s="43"/>
      <c r="M15" s="34"/>
      <c r="N15" s="43"/>
      <c r="O15" s="43"/>
      <c r="P15" s="43"/>
      <c r="Q15" s="34"/>
      <c r="R15" s="43"/>
      <c r="S15" s="43"/>
      <c r="T15" s="43"/>
      <c r="U15" s="34"/>
      <c r="V15" s="34"/>
    </row>
    <row r="16" spans="1:47" s="111" customFormat="1" ht="12.75" customHeight="1" outlineLevel="1">
      <c r="A16" s="465"/>
      <c r="B16" s="3"/>
      <c r="C16" s="116"/>
      <c r="D16" s="117" t="s">
        <v>170</v>
      </c>
      <c r="E16" s="7">
        <v>0</v>
      </c>
      <c r="F16" s="43">
        <v>49068000</v>
      </c>
      <c r="G16" s="43">
        <v>40000000</v>
      </c>
      <c r="H16" s="43">
        <v>40000000</v>
      </c>
      <c r="I16" s="34">
        <f t="shared" ref="I16:I22" si="7">H16+G16+F16</f>
        <v>129068000</v>
      </c>
      <c r="J16" s="43">
        <v>40000000</v>
      </c>
      <c r="K16" s="43">
        <v>40000000</v>
      </c>
      <c r="L16" s="43">
        <v>40000000</v>
      </c>
      <c r="M16" s="34">
        <f t="shared" ref="M16:M22" si="8">L16+K16+J16</f>
        <v>120000000</v>
      </c>
      <c r="N16" s="43">
        <v>40000000</v>
      </c>
      <c r="O16" s="43">
        <v>40000000</v>
      </c>
      <c r="P16" s="43">
        <v>40000000</v>
      </c>
      <c r="Q16" s="34">
        <f t="shared" ref="Q16:Q22" si="9">P16+O16+N16</f>
        <v>120000000</v>
      </c>
      <c r="R16" s="43">
        <v>40000000</v>
      </c>
      <c r="S16" s="43">
        <v>40000000</v>
      </c>
      <c r="T16" s="43">
        <v>40000000</v>
      </c>
      <c r="U16" s="34">
        <f t="shared" ref="U16:U25" si="10">T16+S16+R16</f>
        <v>120000000</v>
      </c>
      <c r="V16" s="34">
        <f t="shared" ref="V16:V25" si="11">U16+Q16+M16+I16</f>
        <v>489068000</v>
      </c>
    </row>
    <row r="17" spans="1:22" s="111" customFormat="1" ht="12.75" customHeight="1" outlineLevel="1">
      <c r="A17" s="465"/>
      <c r="B17" s="3"/>
      <c r="C17" s="116"/>
      <c r="D17" s="117" t="s">
        <v>172</v>
      </c>
      <c r="E17" s="7"/>
      <c r="F17" s="43">
        <v>43358000</v>
      </c>
      <c r="G17" s="43">
        <v>38000000</v>
      </c>
      <c r="H17" s="43">
        <v>38000000</v>
      </c>
      <c r="I17" s="34">
        <f t="shared" si="7"/>
        <v>119358000</v>
      </c>
      <c r="J17" s="43">
        <v>38000000</v>
      </c>
      <c r="K17" s="43">
        <v>38000000</v>
      </c>
      <c r="L17" s="43">
        <v>38000000</v>
      </c>
      <c r="M17" s="34">
        <f t="shared" si="8"/>
        <v>114000000</v>
      </c>
      <c r="N17" s="43">
        <v>38000000</v>
      </c>
      <c r="O17" s="43">
        <v>38000000</v>
      </c>
      <c r="P17" s="43">
        <v>38000000</v>
      </c>
      <c r="Q17" s="34">
        <f t="shared" si="9"/>
        <v>114000000</v>
      </c>
      <c r="R17" s="43">
        <v>38000000</v>
      </c>
      <c r="S17" s="43">
        <v>38000000</v>
      </c>
      <c r="T17" s="43">
        <v>38000000</v>
      </c>
      <c r="U17" s="34">
        <f t="shared" si="10"/>
        <v>114000000</v>
      </c>
      <c r="V17" s="34">
        <f t="shared" si="11"/>
        <v>461358000</v>
      </c>
    </row>
    <row r="18" spans="1:22" s="111" customFormat="1" ht="12.75" customHeight="1" outlineLevel="1">
      <c r="A18" s="465"/>
      <c r="B18" s="3"/>
      <c r="C18" s="116"/>
      <c r="D18" s="117" t="s">
        <v>294</v>
      </c>
      <c r="E18" s="7"/>
      <c r="F18" s="43"/>
      <c r="G18" s="43"/>
      <c r="H18" s="43"/>
      <c r="I18" s="34">
        <f t="shared" si="7"/>
        <v>0</v>
      </c>
      <c r="J18" s="43"/>
      <c r="K18" s="43"/>
      <c r="L18" s="43"/>
      <c r="M18" s="34">
        <f t="shared" si="8"/>
        <v>0</v>
      </c>
      <c r="N18" s="43"/>
      <c r="O18" s="43"/>
      <c r="P18" s="43"/>
      <c r="Q18" s="34">
        <f t="shared" si="9"/>
        <v>0</v>
      </c>
      <c r="R18" s="43"/>
      <c r="S18" s="43"/>
      <c r="T18" s="43"/>
      <c r="U18" s="34">
        <f t="shared" si="10"/>
        <v>0</v>
      </c>
      <c r="V18" s="34">
        <f t="shared" si="11"/>
        <v>0</v>
      </c>
    </row>
    <row r="19" spans="1:22" s="111" customFormat="1" ht="12.75" customHeight="1" outlineLevel="1">
      <c r="A19" s="465"/>
      <c r="B19" s="3"/>
      <c r="C19" s="116"/>
      <c r="D19" s="117" t="s">
        <v>173</v>
      </c>
      <c r="E19" s="7"/>
      <c r="F19" s="43">
        <v>9090000</v>
      </c>
      <c r="G19" s="43">
        <v>0</v>
      </c>
      <c r="H19" s="43">
        <v>0</v>
      </c>
      <c r="I19" s="34">
        <f t="shared" si="7"/>
        <v>9090000</v>
      </c>
      <c r="J19" s="43">
        <v>0</v>
      </c>
      <c r="K19" s="43">
        <v>0</v>
      </c>
      <c r="L19" s="43">
        <v>0</v>
      </c>
      <c r="M19" s="34">
        <f t="shared" si="8"/>
        <v>0</v>
      </c>
      <c r="N19" s="43">
        <v>0</v>
      </c>
      <c r="O19" s="43">
        <v>0</v>
      </c>
      <c r="P19" s="43">
        <v>0</v>
      </c>
      <c r="Q19" s="34">
        <f t="shared" si="9"/>
        <v>0</v>
      </c>
      <c r="R19" s="43">
        <v>0</v>
      </c>
      <c r="S19" s="43">
        <v>0</v>
      </c>
      <c r="T19" s="43">
        <v>0</v>
      </c>
      <c r="U19" s="34">
        <f t="shared" si="10"/>
        <v>0</v>
      </c>
      <c r="V19" s="34">
        <f t="shared" si="11"/>
        <v>9090000</v>
      </c>
    </row>
    <row r="20" spans="1:22" s="111" customFormat="1" ht="12.75" customHeight="1" outlineLevel="1">
      <c r="A20" s="465"/>
      <c r="B20" s="3"/>
      <c r="C20" s="116"/>
      <c r="D20" s="118" t="s">
        <v>174</v>
      </c>
      <c r="E20" s="7">
        <v>0</v>
      </c>
      <c r="F20" s="43"/>
      <c r="G20" s="43"/>
      <c r="H20" s="43"/>
      <c r="I20" s="34">
        <f t="shared" si="7"/>
        <v>0</v>
      </c>
      <c r="J20" s="43"/>
      <c r="K20" s="43"/>
      <c r="L20" s="43"/>
      <c r="M20" s="34">
        <f t="shared" si="8"/>
        <v>0</v>
      </c>
      <c r="N20" s="43"/>
      <c r="O20" s="43"/>
      <c r="P20" s="43"/>
      <c r="Q20" s="34">
        <f t="shared" si="9"/>
        <v>0</v>
      </c>
      <c r="R20" s="43"/>
      <c r="S20" s="43"/>
      <c r="T20" s="43"/>
      <c r="U20" s="34">
        <f t="shared" si="10"/>
        <v>0</v>
      </c>
      <c r="V20" s="34">
        <f t="shared" si="11"/>
        <v>0</v>
      </c>
    </row>
    <row r="21" spans="1:22" s="111" customFormat="1" ht="12.75" customHeight="1" outlineLevel="1">
      <c r="A21" s="465"/>
      <c r="B21" s="3"/>
      <c r="C21" s="468" t="s">
        <v>175</v>
      </c>
      <c r="D21" s="469"/>
      <c r="E21" s="7"/>
      <c r="F21" s="43"/>
      <c r="G21" s="43"/>
      <c r="H21" s="43"/>
      <c r="I21" s="34">
        <f t="shared" si="7"/>
        <v>0</v>
      </c>
      <c r="J21" s="43"/>
      <c r="K21" s="43"/>
      <c r="L21" s="43"/>
      <c r="M21" s="34">
        <f t="shared" si="8"/>
        <v>0</v>
      </c>
      <c r="N21" s="43"/>
      <c r="O21" s="43"/>
      <c r="P21" s="43"/>
      <c r="Q21" s="34">
        <f t="shared" si="9"/>
        <v>0</v>
      </c>
      <c r="R21" s="43"/>
      <c r="S21" s="43"/>
      <c r="T21" s="43"/>
      <c r="U21" s="34">
        <f t="shared" si="10"/>
        <v>0</v>
      </c>
      <c r="V21" s="34">
        <f t="shared" si="11"/>
        <v>0</v>
      </c>
    </row>
    <row r="22" spans="1:22" s="111" customFormat="1" ht="12.75" customHeight="1" outlineLevel="1">
      <c r="A22" s="465"/>
      <c r="B22" s="3"/>
      <c r="C22" s="468" t="s">
        <v>176</v>
      </c>
      <c r="D22" s="469"/>
      <c r="E22" s="7"/>
      <c r="F22" s="43"/>
      <c r="G22" s="43"/>
      <c r="H22" s="43"/>
      <c r="I22" s="34">
        <f t="shared" si="7"/>
        <v>0</v>
      </c>
      <c r="J22" s="43"/>
      <c r="K22" s="43"/>
      <c r="L22" s="43"/>
      <c r="M22" s="34">
        <f t="shared" si="8"/>
        <v>0</v>
      </c>
      <c r="N22" s="43"/>
      <c r="O22" s="43"/>
      <c r="P22" s="43"/>
      <c r="Q22" s="34">
        <f t="shared" si="9"/>
        <v>0</v>
      </c>
      <c r="R22" s="43"/>
      <c r="S22" s="43"/>
      <c r="T22" s="43"/>
      <c r="U22" s="34">
        <f t="shared" si="10"/>
        <v>0</v>
      </c>
      <c r="V22" s="34">
        <f t="shared" si="11"/>
        <v>0</v>
      </c>
    </row>
    <row r="23" spans="1:22" s="111" customFormat="1" ht="12.75" customHeight="1" outlineLevel="1">
      <c r="A23" s="465"/>
      <c r="B23" s="3"/>
      <c r="C23" s="457" t="s">
        <v>203</v>
      </c>
      <c r="D23" s="470"/>
      <c r="E23" s="7"/>
      <c r="F23" s="96"/>
      <c r="G23" s="96"/>
      <c r="H23" s="96"/>
      <c r="I23" s="34">
        <f>H23+G23+F23</f>
        <v>0</v>
      </c>
      <c r="J23" s="96"/>
      <c r="K23" s="96"/>
      <c r="L23" s="96"/>
      <c r="M23" s="34">
        <f>L23+K23+J23</f>
        <v>0</v>
      </c>
      <c r="N23" s="96"/>
      <c r="O23" s="96"/>
      <c r="P23" s="96"/>
      <c r="Q23" s="34">
        <f>P23+O23+N23</f>
        <v>0</v>
      </c>
      <c r="R23" s="96"/>
      <c r="S23" s="96"/>
      <c r="T23" s="96"/>
      <c r="U23" s="34">
        <f>T23+S23+R23</f>
        <v>0</v>
      </c>
      <c r="V23" s="34">
        <f>U23+Q23+M23+I23</f>
        <v>0</v>
      </c>
    </row>
    <row r="24" spans="1:22" s="111" customFormat="1" ht="12.75" customHeight="1" outlineLevel="1">
      <c r="A24" s="465"/>
      <c r="B24" s="3"/>
      <c r="C24" s="457" t="s">
        <v>184</v>
      </c>
      <c r="D24" s="458"/>
      <c r="E24" s="7"/>
      <c r="F24" s="96">
        <v>29000</v>
      </c>
      <c r="G24" s="96">
        <v>29000</v>
      </c>
      <c r="H24" s="96">
        <v>29000</v>
      </c>
      <c r="I24" s="34">
        <f t="shared" ref="I24:I25" si="12">H24+G24+F24</f>
        <v>87000</v>
      </c>
      <c r="J24" s="96">
        <v>29000</v>
      </c>
      <c r="K24" s="96">
        <v>29000</v>
      </c>
      <c r="L24" s="96">
        <v>29000</v>
      </c>
      <c r="M24" s="34">
        <f t="shared" ref="M24:M25" si="13">L24+K24+J24</f>
        <v>87000</v>
      </c>
      <c r="N24" s="96">
        <v>29000</v>
      </c>
      <c r="O24" s="96">
        <v>29000</v>
      </c>
      <c r="P24" s="96">
        <v>29000</v>
      </c>
      <c r="Q24" s="34">
        <f t="shared" ref="Q24:Q25" si="14">P24+O24+N24</f>
        <v>87000</v>
      </c>
      <c r="R24" s="96">
        <v>29000</v>
      </c>
      <c r="S24" s="96">
        <v>29000</v>
      </c>
      <c r="T24" s="96">
        <v>29000</v>
      </c>
      <c r="U24" s="34">
        <f t="shared" si="10"/>
        <v>87000</v>
      </c>
      <c r="V24" s="34">
        <f t="shared" si="11"/>
        <v>348000</v>
      </c>
    </row>
    <row r="25" spans="1:22" s="111" customFormat="1" ht="12.75" customHeight="1" outlineLevel="1">
      <c r="A25" s="465"/>
      <c r="B25" s="3"/>
      <c r="C25" s="457" t="s">
        <v>183</v>
      </c>
      <c r="D25" s="458"/>
      <c r="E25" s="7">
        <v>0</v>
      </c>
      <c r="F25" s="96"/>
      <c r="G25" s="96"/>
      <c r="H25" s="96"/>
      <c r="I25" s="34">
        <f t="shared" si="12"/>
        <v>0</v>
      </c>
      <c r="J25" s="96"/>
      <c r="K25" s="96"/>
      <c r="L25" s="96"/>
      <c r="M25" s="34">
        <f t="shared" si="13"/>
        <v>0</v>
      </c>
      <c r="N25" s="96"/>
      <c r="O25" s="96"/>
      <c r="P25" s="96"/>
      <c r="Q25" s="34">
        <f t="shared" si="14"/>
        <v>0</v>
      </c>
      <c r="R25" s="96"/>
      <c r="S25" s="96"/>
      <c r="T25" s="96"/>
      <c r="U25" s="34">
        <f t="shared" si="10"/>
        <v>0</v>
      </c>
      <c r="V25" s="34">
        <f t="shared" si="11"/>
        <v>0</v>
      </c>
    </row>
    <row r="26" spans="1:22" s="111" customFormat="1" ht="12.75" customHeight="1">
      <c r="A26" s="459" t="s">
        <v>177</v>
      </c>
      <c r="B26" s="460"/>
      <c r="C26" s="460"/>
      <c r="D26" s="461"/>
      <c r="E26" s="8"/>
      <c r="F26" s="44">
        <f t="shared" ref="F26:V26" si="15">SUM(F16:F25)</f>
        <v>101545000</v>
      </c>
      <c r="G26" s="44">
        <f t="shared" ref="G26:H26" si="16">SUM(G16:G25)</f>
        <v>78029000</v>
      </c>
      <c r="H26" s="44">
        <f t="shared" si="16"/>
        <v>78029000</v>
      </c>
      <c r="I26" s="35">
        <f t="shared" si="15"/>
        <v>257603000</v>
      </c>
      <c r="J26" s="44">
        <f t="shared" si="15"/>
        <v>78029000</v>
      </c>
      <c r="K26" s="44">
        <f t="shared" si="15"/>
        <v>78029000</v>
      </c>
      <c r="L26" s="44">
        <f t="shared" si="15"/>
        <v>78029000</v>
      </c>
      <c r="M26" s="35">
        <f t="shared" si="15"/>
        <v>234087000</v>
      </c>
      <c r="N26" s="44">
        <f t="shared" si="15"/>
        <v>78029000</v>
      </c>
      <c r="O26" s="44">
        <f t="shared" si="15"/>
        <v>78029000</v>
      </c>
      <c r="P26" s="44">
        <f t="shared" si="15"/>
        <v>78029000</v>
      </c>
      <c r="Q26" s="35">
        <f t="shared" si="15"/>
        <v>234087000</v>
      </c>
      <c r="R26" s="44">
        <f t="shared" si="15"/>
        <v>78029000</v>
      </c>
      <c r="S26" s="44">
        <f t="shared" si="15"/>
        <v>78029000</v>
      </c>
      <c r="T26" s="44">
        <f t="shared" si="15"/>
        <v>78029000</v>
      </c>
      <c r="U26" s="35">
        <f t="shared" si="15"/>
        <v>234087000</v>
      </c>
      <c r="V26" s="35">
        <f t="shared" si="15"/>
        <v>959864000</v>
      </c>
    </row>
    <row r="27" spans="1:22" s="111" customFormat="1" ht="8.25" customHeight="1">
      <c r="A27" s="122"/>
      <c r="B27" s="123"/>
      <c r="C27" s="123"/>
      <c r="D27" s="124"/>
      <c r="E27" s="8"/>
      <c r="F27" s="43"/>
      <c r="G27" s="43"/>
      <c r="H27" s="43"/>
      <c r="I27" s="34"/>
      <c r="J27" s="43"/>
      <c r="K27" s="43"/>
      <c r="L27" s="43"/>
      <c r="M27" s="34"/>
      <c r="N27" s="43"/>
      <c r="O27" s="43"/>
      <c r="P27" s="43"/>
      <c r="Q27" s="34"/>
      <c r="R27" s="43"/>
      <c r="S27" s="43"/>
      <c r="T27" s="43"/>
      <c r="U27" s="34"/>
      <c r="V27" s="34"/>
    </row>
    <row r="28" spans="1:22" s="111" customFormat="1" ht="12.75" customHeight="1">
      <c r="A28" s="462" t="s">
        <v>178</v>
      </c>
      <c r="B28" s="463"/>
      <c r="C28" s="463"/>
      <c r="D28" s="464"/>
      <c r="E28" s="8"/>
      <c r="F28" s="43"/>
      <c r="G28" s="43"/>
      <c r="H28" s="43"/>
      <c r="I28" s="34"/>
      <c r="J28" s="43"/>
      <c r="K28" s="43"/>
      <c r="L28" s="43"/>
      <c r="M28" s="34"/>
      <c r="N28" s="43"/>
      <c r="O28" s="43"/>
      <c r="P28" s="43"/>
      <c r="Q28" s="34"/>
      <c r="R28" s="43"/>
      <c r="S28" s="43"/>
      <c r="T28" s="43"/>
      <c r="U28" s="34"/>
      <c r="V28" s="34"/>
    </row>
    <row r="29" spans="1:22" s="111" customFormat="1" ht="12.75" customHeight="1">
      <c r="A29" s="125"/>
      <c r="B29" s="4"/>
      <c r="C29" s="455" t="s">
        <v>179</v>
      </c>
      <c r="D29" s="456"/>
      <c r="E29" s="8"/>
      <c r="F29" s="44">
        <f t="shared" ref="F29:V29" si="17">F12-F26</f>
        <v>479935000</v>
      </c>
      <c r="G29" s="44">
        <f t="shared" ref="G29:H29" si="18">G12-G26</f>
        <v>76971000</v>
      </c>
      <c r="H29" s="44">
        <f t="shared" si="18"/>
        <v>76971000</v>
      </c>
      <c r="I29" s="35">
        <f t="shared" si="17"/>
        <v>633877000</v>
      </c>
      <c r="J29" s="44">
        <f t="shared" si="17"/>
        <v>76971000</v>
      </c>
      <c r="K29" s="44">
        <f t="shared" si="17"/>
        <v>76971000</v>
      </c>
      <c r="L29" s="44">
        <f t="shared" si="17"/>
        <v>76971000</v>
      </c>
      <c r="M29" s="35">
        <f t="shared" si="17"/>
        <v>230913000</v>
      </c>
      <c r="N29" s="44">
        <f t="shared" si="17"/>
        <v>76971000</v>
      </c>
      <c r="O29" s="44">
        <f t="shared" si="17"/>
        <v>76971000</v>
      </c>
      <c r="P29" s="44">
        <f t="shared" si="17"/>
        <v>76971000</v>
      </c>
      <c r="Q29" s="35">
        <f t="shared" si="17"/>
        <v>230913000</v>
      </c>
      <c r="R29" s="44">
        <f t="shared" si="17"/>
        <v>76971000</v>
      </c>
      <c r="S29" s="44">
        <f t="shared" si="17"/>
        <v>76971000</v>
      </c>
      <c r="T29" s="44">
        <f t="shared" si="17"/>
        <v>76971000</v>
      </c>
      <c r="U29" s="35">
        <f t="shared" si="17"/>
        <v>230913000</v>
      </c>
      <c r="V29" s="35">
        <f t="shared" si="17"/>
        <v>1326616000</v>
      </c>
    </row>
    <row r="30" spans="1:22" s="111" customFormat="1" ht="12.75" customHeight="1">
      <c r="A30" s="121"/>
      <c r="B30" s="3"/>
      <c r="C30" s="3"/>
      <c r="D30" s="118" t="s">
        <v>180</v>
      </c>
      <c r="E30" s="7"/>
      <c r="F30" s="126">
        <f t="shared" ref="F30:V30" si="19">IF(F12=0,0,F29/F12)</f>
        <v>0.82536802641535389</v>
      </c>
      <c r="G30" s="126">
        <f t="shared" ref="G30:H30" si="20">IF(G12=0,0,G29/G12)</f>
        <v>0.49658709677419355</v>
      </c>
      <c r="H30" s="126">
        <f t="shared" si="20"/>
        <v>0.49658709677419355</v>
      </c>
      <c r="I30" s="127">
        <f t="shared" si="19"/>
        <v>0.71103894647103694</v>
      </c>
      <c r="J30" s="126">
        <f t="shared" si="19"/>
        <v>0.49658709677419355</v>
      </c>
      <c r="K30" s="126">
        <f t="shared" si="19"/>
        <v>0.49658709677419355</v>
      </c>
      <c r="L30" s="126">
        <f t="shared" si="19"/>
        <v>0.49658709677419355</v>
      </c>
      <c r="M30" s="127">
        <f t="shared" si="19"/>
        <v>0.49658709677419355</v>
      </c>
      <c r="N30" s="126">
        <f t="shared" si="19"/>
        <v>0.49658709677419355</v>
      </c>
      <c r="O30" s="126">
        <f t="shared" si="19"/>
        <v>0.49658709677419355</v>
      </c>
      <c r="P30" s="126">
        <f t="shared" si="19"/>
        <v>0.49658709677419355</v>
      </c>
      <c r="Q30" s="127">
        <f t="shared" si="19"/>
        <v>0.49658709677419355</v>
      </c>
      <c r="R30" s="126">
        <f t="shared" si="19"/>
        <v>0.49658709677419355</v>
      </c>
      <c r="S30" s="126">
        <f t="shared" si="19"/>
        <v>0.49658709677419355</v>
      </c>
      <c r="T30" s="126">
        <f t="shared" si="19"/>
        <v>0.49658709677419355</v>
      </c>
      <c r="U30" s="127">
        <f t="shared" si="19"/>
        <v>0.49658709677419355</v>
      </c>
      <c r="V30" s="127">
        <f t="shared" si="19"/>
        <v>0.58020013295545991</v>
      </c>
    </row>
    <row r="31" spans="1:22" ht="13.15" outlineLevel="1">
      <c r="A31" s="21" t="s">
        <v>49</v>
      </c>
      <c r="B31" s="22"/>
      <c r="C31" s="22"/>
      <c r="D31" s="22"/>
      <c r="F31" s="43"/>
      <c r="G31" s="43"/>
      <c r="H31" s="43"/>
      <c r="I31" s="34"/>
      <c r="J31" s="43"/>
      <c r="K31" s="43"/>
      <c r="L31" s="43"/>
      <c r="M31" s="34"/>
      <c r="N31" s="43"/>
      <c r="O31" s="43"/>
      <c r="P31" s="43"/>
      <c r="Q31" s="34"/>
      <c r="R31" s="43"/>
      <c r="S31" s="43"/>
      <c r="T31" s="43"/>
      <c r="U31" s="34"/>
      <c r="V31" s="34"/>
    </row>
    <row r="32" spans="1:22" ht="13.5" outlineLevel="2">
      <c r="A32" s="22"/>
      <c r="B32" s="22"/>
      <c r="C32" s="23" t="s">
        <v>37</v>
      </c>
      <c r="D32" s="24"/>
      <c r="E32" s="8"/>
      <c r="F32" s="43"/>
      <c r="G32" s="43"/>
      <c r="H32" s="43"/>
      <c r="I32" s="34"/>
      <c r="J32" s="43"/>
      <c r="K32" s="43"/>
      <c r="L32" s="43"/>
      <c r="M32" s="34"/>
      <c r="N32" s="43"/>
      <c r="O32" s="43"/>
      <c r="P32" s="43"/>
      <c r="Q32" s="34"/>
      <c r="R32" s="43"/>
      <c r="S32" s="43"/>
      <c r="T32" s="43"/>
      <c r="U32" s="34"/>
      <c r="V32" s="34"/>
    </row>
    <row r="33" spans="1:22" ht="13.15" outlineLevel="2">
      <c r="A33" s="22"/>
      <c r="B33" s="22"/>
      <c r="C33" s="22"/>
      <c r="D33" s="25" t="s">
        <v>27</v>
      </c>
      <c r="E33" s="7">
        <v>0</v>
      </c>
      <c r="F33" s="43">
        <v>10000000</v>
      </c>
      <c r="G33" s="43">
        <v>10000000</v>
      </c>
      <c r="H33" s="43">
        <v>10000000</v>
      </c>
      <c r="I33" s="34">
        <f>SUM(F33:H33)</f>
        <v>30000000</v>
      </c>
      <c r="J33" s="43">
        <v>10000000</v>
      </c>
      <c r="K33" s="43">
        <v>10000000</v>
      </c>
      <c r="L33" s="43">
        <v>10000000</v>
      </c>
      <c r="M33" s="34">
        <f>SUM(J33:L33)</f>
        <v>30000000</v>
      </c>
      <c r="N33" s="43">
        <v>10000000</v>
      </c>
      <c r="O33" s="43">
        <v>10000000</v>
      </c>
      <c r="P33" s="43">
        <v>10000000</v>
      </c>
      <c r="Q33" s="34">
        <f>SUM(N33:P33)</f>
        <v>30000000</v>
      </c>
      <c r="R33" s="43">
        <v>10000000</v>
      </c>
      <c r="S33" s="43">
        <v>10000000</v>
      </c>
      <c r="T33" s="43">
        <v>10000000</v>
      </c>
      <c r="U33" s="34">
        <f>SUM(R33:T33)</f>
        <v>30000000</v>
      </c>
      <c r="V33" s="34">
        <f t="shared" ref="V33:V37" si="21">I33+M33+Q33+U33</f>
        <v>120000000</v>
      </c>
    </row>
    <row r="34" spans="1:22" ht="13.15" outlineLevel="2">
      <c r="A34" s="22"/>
      <c r="B34" s="22"/>
      <c r="C34" s="22"/>
      <c r="D34" s="25" t="s">
        <v>73</v>
      </c>
      <c r="F34" s="43">
        <v>0</v>
      </c>
      <c r="G34" s="43">
        <v>0</v>
      </c>
      <c r="H34" s="43">
        <v>0</v>
      </c>
      <c r="I34" s="34">
        <f>SUM(F34:H34)</f>
        <v>0</v>
      </c>
      <c r="J34" s="43">
        <v>0</v>
      </c>
      <c r="K34" s="43">
        <v>0</v>
      </c>
      <c r="L34" s="43">
        <v>0</v>
      </c>
      <c r="M34" s="34">
        <f>SUM(J34:L34)</f>
        <v>0</v>
      </c>
      <c r="N34" s="43">
        <v>0</v>
      </c>
      <c r="O34" s="43">
        <v>0</v>
      </c>
      <c r="P34" s="43">
        <v>0</v>
      </c>
      <c r="Q34" s="34">
        <f>SUM(N34:P34)</f>
        <v>0</v>
      </c>
      <c r="R34" s="43">
        <v>0</v>
      </c>
      <c r="S34" s="43">
        <v>0</v>
      </c>
      <c r="T34" s="43">
        <v>0</v>
      </c>
      <c r="U34" s="34">
        <f>SUM(R34:T34)</f>
        <v>0</v>
      </c>
      <c r="V34" s="34">
        <f t="shared" si="21"/>
        <v>0</v>
      </c>
    </row>
    <row r="35" spans="1:22" ht="13.15" outlineLevel="2">
      <c r="A35" s="22"/>
      <c r="B35" s="22"/>
      <c r="C35" s="22"/>
      <c r="D35" s="25" t="s">
        <v>55</v>
      </c>
      <c r="E35" s="7">
        <v>0</v>
      </c>
      <c r="F35" s="43"/>
      <c r="G35" s="43"/>
      <c r="H35" s="43"/>
      <c r="I35" s="34">
        <f>SUM(F35:H35)</f>
        <v>0</v>
      </c>
      <c r="J35" s="43"/>
      <c r="K35" s="43"/>
      <c r="L35" s="43"/>
      <c r="M35" s="34">
        <f>SUM(J35:L35)</f>
        <v>0</v>
      </c>
      <c r="N35" s="43"/>
      <c r="O35" s="43"/>
      <c r="P35" s="43"/>
      <c r="Q35" s="34">
        <f>SUM(N35:P35)</f>
        <v>0</v>
      </c>
      <c r="R35" s="43"/>
      <c r="S35" s="43"/>
      <c r="T35" s="43"/>
      <c r="U35" s="34">
        <f>SUM(R35:T35)</f>
        <v>0</v>
      </c>
      <c r="V35" s="34">
        <f t="shared" si="21"/>
        <v>0</v>
      </c>
    </row>
    <row r="36" spans="1:22" ht="13.15" outlineLevel="2">
      <c r="A36" s="22"/>
      <c r="B36" s="22"/>
      <c r="C36" s="22"/>
      <c r="D36" s="25" t="s">
        <v>96</v>
      </c>
      <c r="E36" s="7">
        <v>0</v>
      </c>
      <c r="F36" s="43">
        <v>1500000</v>
      </c>
      <c r="G36" s="43">
        <v>1500000</v>
      </c>
      <c r="H36" s="43">
        <v>1500000</v>
      </c>
      <c r="I36" s="34">
        <f>SUM(F36:H36)</f>
        <v>4500000</v>
      </c>
      <c r="J36" s="43">
        <v>1500000</v>
      </c>
      <c r="K36" s="43">
        <v>1500000</v>
      </c>
      <c r="L36" s="43">
        <v>1500000</v>
      </c>
      <c r="M36" s="34">
        <f>SUM(J36:L36)</f>
        <v>4500000</v>
      </c>
      <c r="N36" s="43">
        <v>1500000</v>
      </c>
      <c r="O36" s="43">
        <v>1500000</v>
      </c>
      <c r="P36" s="43">
        <v>1500000</v>
      </c>
      <c r="Q36" s="34">
        <f>SUM(N36:P36)</f>
        <v>4500000</v>
      </c>
      <c r="R36" s="43">
        <v>1500000</v>
      </c>
      <c r="S36" s="43">
        <v>1500000</v>
      </c>
      <c r="T36" s="43">
        <v>1500000</v>
      </c>
      <c r="U36" s="34">
        <f>SUM(R36:T36)</f>
        <v>4500000</v>
      </c>
      <c r="V36" s="34">
        <f t="shared" si="21"/>
        <v>18000000</v>
      </c>
    </row>
    <row r="37" spans="1:22" ht="13.15" outlineLevel="1">
      <c r="A37" s="24"/>
      <c r="B37" s="24" t="s">
        <v>0</v>
      </c>
      <c r="C37" s="24"/>
      <c r="D37" s="24"/>
      <c r="E37" s="8"/>
      <c r="F37" s="44">
        <f t="shared" ref="F37" si="22">SUM(F33:F36)</f>
        <v>11500000</v>
      </c>
      <c r="G37" s="44">
        <f t="shared" ref="G37:H37" si="23">SUM(G33:G36)</f>
        <v>11500000</v>
      </c>
      <c r="H37" s="44">
        <f t="shared" si="23"/>
        <v>11500000</v>
      </c>
      <c r="I37" s="35">
        <f>SUM(I33:I36)</f>
        <v>34500000</v>
      </c>
      <c r="J37" s="44">
        <f t="shared" ref="J37:L37" si="24">SUM(J33:J36)</f>
        <v>11500000</v>
      </c>
      <c r="K37" s="44">
        <f t="shared" si="24"/>
        <v>11500000</v>
      </c>
      <c r="L37" s="44">
        <f t="shared" si="24"/>
        <v>11500000</v>
      </c>
      <c r="M37" s="35">
        <f>SUM(M33:M36)</f>
        <v>34500000</v>
      </c>
      <c r="N37" s="44">
        <f t="shared" ref="N37:P37" si="25">SUM(N33:N36)</f>
        <v>11500000</v>
      </c>
      <c r="O37" s="44">
        <f t="shared" si="25"/>
        <v>11500000</v>
      </c>
      <c r="P37" s="44">
        <f t="shared" si="25"/>
        <v>11500000</v>
      </c>
      <c r="Q37" s="35">
        <f>SUM(Q33:Q36)</f>
        <v>34500000</v>
      </c>
      <c r="R37" s="44">
        <f t="shared" ref="R37:T37" si="26">SUM(R33:R36)</f>
        <v>11500000</v>
      </c>
      <c r="S37" s="44">
        <f t="shared" si="26"/>
        <v>11500000</v>
      </c>
      <c r="T37" s="44">
        <f t="shared" si="26"/>
        <v>11500000</v>
      </c>
      <c r="U37" s="35">
        <f>SUM(U33:U36)</f>
        <v>34500000</v>
      </c>
      <c r="V37" s="35">
        <f t="shared" si="21"/>
        <v>138000000</v>
      </c>
    </row>
    <row r="38" spans="1:22" ht="13.15" outlineLevel="2">
      <c r="A38" s="22"/>
      <c r="B38" s="22"/>
      <c r="C38" s="23" t="s">
        <v>38</v>
      </c>
      <c r="D38" s="22"/>
      <c r="F38" s="43"/>
      <c r="G38" s="43"/>
      <c r="H38" s="43"/>
      <c r="I38" s="34"/>
      <c r="J38" s="43"/>
      <c r="K38" s="43"/>
      <c r="L38" s="43"/>
      <c r="M38" s="34"/>
      <c r="N38" s="43"/>
      <c r="O38" s="43"/>
      <c r="P38" s="43"/>
      <c r="Q38" s="34"/>
      <c r="R38" s="43"/>
      <c r="S38" s="43"/>
      <c r="T38" s="43"/>
      <c r="U38" s="34"/>
      <c r="V38" s="34"/>
    </row>
    <row r="39" spans="1:22" ht="13.15" outlineLevel="2">
      <c r="A39" s="22"/>
      <c r="B39" s="22"/>
      <c r="C39" s="22"/>
      <c r="D39" s="25" t="s">
        <v>30</v>
      </c>
      <c r="E39" s="7">
        <v>0</v>
      </c>
      <c r="F39" s="43">
        <v>400000</v>
      </c>
      <c r="G39" s="43">
        <v>400000</v>
      </c>
      <c r="H39" s="43">
        <v>400000</v>
      </c>
      <c r="I39" s="34">
        <f t="shared" ref="I39:I50" si="27">SUM(F39:H39)</f>
        <v>1200000</v>
      </c>
      <c r="J39" s="43">
        <v>400000</v>
      </c>
      <c r="K39" s="43">
        <v>400000</v>
      </c>
      <c r="L39" s="43">
        <v>400000</v>
      </c>
      <c r="M39" s="34">
        <f t="shared" ref="M39:M50" si="28">SUM(J39:L39)</f>
        <v>1200000</v>
      </c>
      <c r="N39" s="43">
        <v>400000</v>
      </c>
      <c r="O39" s="43">
        <v>400000</v>
      </c>
      <c r="P39" s="43">
        <v>400000</v>
      </c>
      <c r="Q39" s="34">
        <f t="shared" ref="Q39:Q50" si="29">SUM(N39:P39)</f>
        <v>1200000</v>
      </c>
      <c r="R39" s="43">
        <v>400000</v>
      </c>
      <c r="S39" s="43">
        <v>400000</v>
      </c>
      <c r="T39" s="43">
        <v>400000</v>
      </c>
      <c r="U39" s="34">
        <f t="shared" ref="U39:U50" si="30">SUM(R39:T39)</f>
        <v>1200000</v>
      </c>
      <c r="V39" s="34">
        <f t="shared" ref="V39:V53" si="31">I39+M39+Q39+U39</f>
        <v>4800000</v>
      </c>
    </row>
    <row r="40" spans="1:22" ht="13.15" outlineLevel="2">
      <c r="A40" s="22"/>
      <c r="B40" s="22"/>
      <c r="C40" s="22"/>
      <c r="D40" s="25" t="s">
        <v>31</v>
      </c>
      <c r="E40" s="7">
        <v>0</v>
      </c>
      <c r="F40" s="43">
        <v>200000</v>
      </c>
      <c r="G40" s="43">
        <v>200000</v>
      </c>
      <c r="H40" s="43">
        <v>200000</v>
      </c>
      <c r="I40" s="34">
        <f t="shared" si="27"/>
        <v>600000</v>
      </c>
      <c r="J40" s="43">
        <v>200000</v>
      </c>
      <c r="K40" s="43">
        <v>200000</v>
      </c>
      <c r="L40" s="43">
        <v>200000</v>
      </c>
      <c r="M40" s="34">
        <f t="shared" si="28"/>
        <v>600000</v>
      </c>
      <c r="N40" s="43">
        <v>200000</v>
      </c>
      <c r="O40" s="43">
        <v>200000</v>
      </c>
      <c r="P40" s="43">
        <v>200000</v>
      </c>
      <c r="Q40" s="34">
        <f t="shared" si="29"/>
        <v>600000</v>
      </c>
      <c r="R40" s="43">
        <v>200000</v>
      </c>
      <c r="S40" s="43">
        <v>200000</v>
      </c>
      <c r="T40" s="43">
        <v>200000</v>
      </c>
      <c r="U40" s="34">
        <f t="shared" si="30"/>
        <v>600000</v>
      </c>
      <c r="V40" s="34">
        <f t="shared" si="31"/>
        <v>2400000</v>
      </c>
    </row>
    <row r="41" spans="1:22" ht="13.15" outlineLevel="2">
      <c r="A41" s="22"/>
      <c r="B41" s="22"/>
      <c r="C41" s="22"/>
      <c r="D41" s="25" t="s">
        <v>32</v>
      </c>
      <c r="E41" s="7">
        <v>0</v>
      </c>
      <c r="F41" s="43">
        <v>100000</v>
      </c>
      <c r="G41" s="43">
        <v>100000</v>
      </c>
      <c r="H41" s="43">
        <v>100000</v>
      </c>
      <c r="I41" s="34">
        <f t="shared" si="27"/>
        <v>300000</v>
      </c>
      <c r="J41" s="43">
        <v>100000</v>
      </c>
      <c r="K41" s="43">
        <v>100000</v>
      </c>
      <c r="L41" s="43">
        <v>100000</v>
      </c>
      <c r="M41" s="34">
        <f t="shared" si="28"/>
        <v>300000</v>
      </c>
      <c r="N41" s="43">
        <v>100000</v>
      </c>
      <c r="O41" s="43">
        <v>100000</v>
      </c>
      <c r="P41" s="43">
        <v>100000</v>
      </c>
      <c r="Q41" s="34">
        <f t="shared" si="29"/>
        <v>300000</v>
      </c>
      <c r="R41" s="43">
        <v>100000</v>
      </c>
      <c r="S41" s="43">
        <v>100000</v>
      </c>
      <c r="T41" s="43">
        <v>100000</v>
      </c>
      <c r="U41" s="34">
        <f t="shared" si="30"/>
        <v>300000</v>
      </c>
      <c r="V41" s="34">
        <f t="shared" si="31"/>
        <v>1200000</v>
      </c>
    </row>
    <row r="42" spans="1:22" ht="13.15" outlineLevel="2">
      <c r="A42" s="22"/>
      <c r="B42" s="22"/>
      <c r="C42" s="22"/>
      <c r="D42" s="25" t="s">
        <v>98</v>
      </c>
      <c r="E42" s="7">
        <v>0</v>
      </c>
      <c r="F42" s="43">
        <v>50000</v>
      </c>
      <c r="G42" s="43">
        <v>50000</v>
      </c>
      <c r="H42" s="43">
        <v>50000</v>
      </c>
      <c r="I42" s="34">
        <f t="shared" si="27"/>
        <v>150000</v>
      </c>
      <c r="J42" s="43">
        <v>50000</v>
      </c>
      <c r="K42" s="43">
        <v>50000</v>
      </c>
      <c r="L42" s="43">
        <v>50000</v>
      </c>
      <c r="M42" s="34">
        <f t="shared" si="28"/>
        <v>150000</v>
      </c>
      <c r="N42" s="43">
        <v>50000</v>
      </c>
      <c r="O42" s="43">
        <v>50000</v>
      </c>
      <c r="P42" s="43">
        <v>50000</v>
      </c>
      <c r="Q42" s="34">
        <f t="shared" si="29"/>
        <v>150000</v>
      </c>
      <c r="R42" s="43">
        <v>50000</v>
      </c>
      <c r="S42" s="43">
        <v>50000</v>
      </c>
      <c r="T42" s="43">
        <v>50000</v>
      </c>
      <c r="U42" s="34">
        <f t="shared" ref="U42" si="32">SUM(R42:T42)</f>
        <v>150000</v>
      </c>
      <c r="V42" s="34">
        <f t="shared" si="31"/>
        <v>600000</v>
      </c>
    </row>
    <row r="43" spans="1:22" ht="13.15" outlineLevel="2">
      <c r="A43" s="22"/>
      <c r="B43" s="22"/>
      <c r="C43" s="22"/>
      <c r="D43" s="25" t="s">
        <v>56</v>
      </c>
      <c r="E43" s="7">
        <v>0</v>
      </c>
      <c r="F43" s="43">
        <v>64000</v>
      </c>
      <c r="G43" s="43">
        <v>64000</v>
      </c>
      <c r="H43" s="43">
        <v>64000</v>
      </c>
      <c r="I43" s="34">
        <f t="shared" si="27"/>
        <v>192000</v>
      </c>
      <c r="J43" s="43">
        <v>64000</v>
      </c>
      <c r="K43" s="43">
        <v>64000</v>
      </c>
      <c r="L43" s="43">
        <v>64000</v>
      </c>
      <c r="M43" s="34">
        <f t="shared" si="28"/>
        <v>192000</v>
      </c>
      <c r="N43" s="43">
        <v>64000</v>
      </c>
      <c r="O43" s="43">
        <v>64000</v>
      </c>
      <c r="P43" s="43">
        <v>64000</v>
      </c>
      <c r="Q43" s="34">
        <f t="shared" si="29"/>
        <v>192000</v>
      </c>
      <c r="R43" s="43">
        <v>64000</v>
      </c>
      <c r="S43" s="43">
        <v>64000</v>
      </c>
      <c r="T43" s="43">
        <v>64000</v>
      </c>
      <c r="U43" s="34">
        <f t="shared" si="30"/>
        <v>192000</v>
      </c>
      <c r="V43" s="34">
        <f t="shared" si="31"/>
        <v>768000</v>
      </c>
    </row>
    <row r="44" spans="1:22" ht="13.15" outlineLevel="2">
      <c r="A44" s="22"/>
      <c r="B44" s="22"/>
      <c r="C44" s="22"/>
      <c r="D44" s="25" t="s">
        <v>57</v>
      </c>
      <c r="F44" s="43"/>
      <c r="G44" s="43"/>
      <c r="H44" s="43"/>
      <c r="I44" s="34">
        <f t="shared" si="27"/>
        <v>0</v>
      </c>
      <c r="J44" s="43"/>
      <c r="K44" s="43"/>
      <c r="L44" s="43"/>
      <c r="M44" s="34">
        <f t="shared" si="28"/>
        <v>0</v>
      </c>
      <c r="N44" s="43"/>
      <c r="O44" s="43"/>
      <c r="P44" s="43"/>
      <c r="Q44" s="34">
        <f t="shared" si="29"/>
        <v>0</v>
      </c>
      <c r="R44" s="43"/>
      <c r="S44" s="43"/>
      <c r="T44" s="43"/>
      <c r="U44" s="34">
        <f t="shared" si="30"/>
        <v>0</v>
      </c>
      <c r="V44" s="34">
        <f t="shared" si="31"/>
        <v>0</v>
      </c>
    </row>
    <row r="45" spans="1:22" ht="13.15" outlineLevel="2">
      <c r="A45" s="22"/>
      <c r="B45" s="22"/>
      <c r="C45" s="22"/>
      <c r="D45" s="25" t="s">
        <v>54</v>
      </c>
      <c r="E45" s="7">
        <v>0</v>
      </c>
      <c r="F45" s="43"/>
      <c r="G45" s="43"/>
      <c r="H45" s="43"/>
      <c r="I45" s="34">
        <f t="shared" si="27"/>
        <v>0</v>
      </c>
      <c r="J45" s="43"/>
      <c r="K45" s="43"/>
      <c r="L45" s="43"/>
      <c r="M45" s="34">
        <f t="shared" si="28"/>
        <v>0</v>
      </c>
      <c r="N45" s="43"/>
      <c r="O45" s="43"/>
      <c r="P45" s="43"/>
      <c r="Q45" s="34">
        <f t="shared" si="29"/>
        <v>0</v>
      </c>
      <c r="R45" s="43"/>
      <c r="S45" s="43"/>
      <c r="T45" s="43"/>
      <c r="U45" s="34">
        <f t="shared" si="30"/>
        <v>0</v>
      </c>
      <c r="V45" s="34">
        <f t="shared" si="31"/>
        <v>0</v>
      </c>
    </row>
    <row r="46" spans="1:22" ht="13.15" outlineLevel="2">
      <c r="A46" s="22"/>
      <c r="B46" s="22"/>
      <c r="C46" s="22"/>
      <c r="D46" s="25" t="s">
        <v>34</v>
      </c>
      <c r="E46" s="7">
        <v>0</v>
      </c>
      <c r="F46" s="43"/>
      <c r="G46" s="43"/>
      <c r="H46" s="43"/>
      <c r="I46" s="34">
        <f t="shared" si="27"/>
        <v>0</v>
      </c>
      <c r="J46" s="43"/>
      <c r="K46" s="43"/>
      <c r="L46" s="43"/>
      <c r="M46" s="34">
        <f t="shared" si="28"/>
        <v>0</v>
      </c>
      <c r="N46" s="43"/>
      <c r="O46" s="43"/>
      <c r="P46" s="43"/>
      <c r="Q46" s="34">
        <f t="shared" si="29"/>
        <v>0</v>
      </c>
      <c r="R46" s="43"/>
      <c r="S46" s="43"/>
      <c r="T46" s="43"/>
      <c r="U46" s="34">
        <f t="shared" si="30"/>
        <v>0</v>
      </c>
      <c r="V46" s="34">
        <f t="shared" si="31"/>
        <v>0</v>
      </c>
    </row>
    <row r="47" spans="1:22" ht="13.15" outlineLevel="2">
      <c r="A47" s="22"/>
      <c r="B47" s="22"/>
      <c r="C47" s="22"/>
      <c r="D47" s="25" t="s">
        <v>65</v>
      </c>
      <c r="E47" s="7">
        <v>0</v>
      </c>
      <c r="F47" s="43"/>
      <c r="G47" s="43"/>
      <c r="H47" s="43"/>
      <c r="I47" s="34">
        <f t="shared" si="27"/>
        <v>0</v>
      </c>
      <c r="J47" s="43"/>
      <c r="K47" s="43"/>
      <c r="L47" s="43"/>
      <c r="M47" s="34">
        <f t="shared" si="28"/>
        <v>0</v>
      </c>
      <c r="N47" s="43"/>
      <c r="O47" s="43"/>
      <c r="P47" s="43"/>
      <c r="Q47" s="34">
        <f t="shared" si="29"/>
        <v>0</v>
      </c>
      <c r="R47" s="43"/>
      <c r="S47" s="43"/>
      <c r="T47" s="43"/>
      <c r="U47" s="34">
        <f t="shared" si="30"/>
        <v>0</v>
      </c>
      <c r="V47" s="34">
        <f t="shared" si="31"/>
        <v>0</v>
      </c>
    </row>
    <row r="48" spans="1:22" ht="13.15" outlineLevel="2">
      <c r="A48" s="22"/>
      <c r="B48" s="22"/>
      <c r="C48" s="22"/>
      <c r="D48" s="25" t="s">
        <v>64</v>
      </c>
      <c r="E48" s="7">
        <v>0</v>
      </c>
      <c r="F48" s="43"/>
      <c r="G48" s="43"/>
      <c r="H48" s="43"/>
      <c r="I48" s="34">
        <f t="shared" si="27"/>
        <v>0</v>
      </c>
      <c r="J48" s="43"/>
      <c r="K48" s="43"/>
      <c r="L48" s="43"/>
      <c r="M48" s="34">
        <f t="shared" si="28"/>
        <v>0</v>
      </c>
      <c r="N48" s="43"/>
      <c r="O48" s="43"/>
      <c r="P48" s="43"/>
      <c r="Q48" s="34">
        <f t="shared" si="29"/>
        <v>0</v>
      </c>
      <c r="R48" s="43"/>
      <c r="S48" s="43"/>
      <c r="T48" s="43"/>
      <c r="U48" s="34">
        <f t="shared" si="30"/>
        <v>0</v>
      </c>
      <c r="V48" s="34">
        <f t="shared" si="31"/>
        <v>0</v>
      </c>
    </row>
    <row r="49" spans="1:22" ht="13.15" outlineLevel="2">
      <c r="A49" s="22"/>
      <c r="B49" s="22"/>
      <c r="C49" s="22"/>
      <c r="D49" s="25" t="s">
        <v>112</v>
      </c>
      <c r="F49" s="43">
        <v>130000</v>
      </c>
      <c r="G49" s="43">
        <v>130000</v>
      </c>
      <c r="H49" s="43">
        <v>130000</v>
      </c>
      <c r="I49" s="34">
        <f t="shared" si="27"/>
        <v>390000</v>
      </c>
      <c r="J49" s="43">
        <v>130000</v>
      </c>
      <c r="K49" s="43">
        <v>130000</v>
      </c>
      <c r="L49" s="43">
        <v>130000</v>
      </c>
      <c r="M49" s="34">
        <f t="shared" si="28"/>
        <v>390000</v>
      </c>
      <c r="N49" s="43">
        <v>130000</v>
      </c>
      <c r="O49" s="43">
        <v>130000</v>
      </c>
      <c r="P49" s="43">
        <v>130000</v>
      </c>
      <c r="Q49" s="34">
        <f t="shared" si="29"/>
        <v>390000</v>
      </c>
      <c r="R49" s="43">
        <v>130000</v>
      </c>
      <c r="S49" s="43">
        <v>130000</v>
      </c>
      <c r="T49" s="43">
        <v>130000</v>
      </c>
      <c r="U49" s="34">
        <f t="shared" si="30"/>
        <v>390000</v>
      </c>
      <c r="V49" s="34">
        <f t="shared" si="31"/>
        <v>1560000</v>
      </c>
    </row>
    <row r="50" spans="1:22" ht="13.15" outlineLevel="2">
      <c r="A50" s="22"/>
      <c r="B50" s="22"/>
      <c r="C50" s="22"/>
      <c r="D50" s="25" t="s">
        <v>119</v>
      </c>
      <c r="F50" s="43">
        <v>60000</v>
      </c>
      <c r="G50" s="43">
        <v>60000</v>
      </c>
      <c r="H50" s="43">
        <v>60000</v>
      </c>
      <c r="I50" s="34">
        <f t="shared" si="27"/>
        <v>180000</v>
      </c>
      <c r="J50" s="43">
        <v>60000</v>
      </c>
      <c r="K50" s="43">
        <v>60000</v>
      </c>
      <c r="L50" s="43">
        <v>60000</v>
      </c>
      <c r="M50" s="34">
        <f t="shared" si="28"/>
        <v>180000</v>
      </c>
      <c r="N50" s="43">
        <v>60000</v>
      </c>
      <c r="O50" s="43">
        <v>60000</v>
      </c>
      <c r="P50" s="43">
        <v>60000</v>
      </c>
      <c r="Q50" s="34">
        <f t="shared" si="29"/>
        <v>180000</v>
      </c>
      <c r="R50" s="43">
        <v>60000</v>
      </c>
      <c r="S50" s="43">
        <v>60000</v>
      </c>
      <c r="T50" s="43">
        <v>60000</v>
      </c>
      <c r="U50" s="34">
        <f t="shared" si="30"/>
        <v>180000</v>
      </c>
      <c r="V50" s="34">
        <f t="shared" si="31"/>
        <v>720000</v>
      </c>
    </row>
    <row r="51" spans="1:22" ht="13.15" outlineLevel="1">
      <c r="A51" s="24"/>
      <c r="B51" s="24" t="s">
        <v>1</v>
      </c>
      <c r="C51" s="24"/>
      <c r="D51" s="24"/>
      <c r="E51" s="8"/>
      <c r="F51" s="44">
        <f t="shared" ref="F51" si="33">SUM(F39:F50)</f>
        <v>1004000</v>
      </c>
      <c r="G51" s="44">
        <f t="shared" ref="G51:H51" si="34">SUM(G39:G50)</f>
        <v>1004000</v>
      </c>
      <c r="H51" s="44">
        <f t="shared" si="34"/>
        <v>1004000</v>
      </c>
      <c r="I51" s="35">
        <f>SUM(I39:I50)</f>
        <v>3012000</v>
      </c>
      <c r="J51" s="44">
        <f t="shared" ref="J51:L51" si="35">SUM(J39:J50)</f>
        <v>1004000</v>
      </c>
      <c r="K51" s="44">
        <f t="shared" si="35"/>
        <v>1004000</v>
      </c>
      <c r="L51" s="44">
        <f t="shared" si="35"/>
        <v>1004000</v>
      </c>
      <c r="M51" s="35">
        <f>SUM(M39:M50)</f>
        <v>3012000</v>
      </c>
      <c r="N51" s="44">
        <f t="shared" ref="N51:P51" si="36">SUM(N39:N50)</f>
        <v>1004000</v>
      </c>
      <c r="O51" s="44">
        <f t="shared" si="36"/>
        <v>1004000</v>
      </c>
      <c r="P51" s="44">
        <f t="shared" si="36"/>
        <v>1004000</v>
      </c>
      <c r="Q51" s="35">
        <f>SUM(Q39:Q50)</f>
        <v>3012000</v>
      </c>
      <c r="R51" s="44">
        <f t="shared" ref="R51:T51" si="37">SUM(R39:R50)</f>
        <v>1004000</v>
      </c>
      <c r="S51" s="44">
        <f t="shared" si="37"/>
        <v>1004000</v>
      </c>
      <c r="T51" s="44">
        <f t="shared" si="37"/>
        <v>1004000</v>
      </c>
      <c r="U51" s="35">
        <f>SUM(U39:U50)</f>
        <v>3012000</v>
      </c>
      <c r="V51" s="35">
        <f t="shared" si="31"/>
        <v>12048000</v>
      </c>
    </row>
    <row r="52" spans="1:22" ht="13.15" outlineLevel="1">
      <c r="A52" s="24"/>
      <c r="B52" s="24" t="s">
        <v>2</v>
      </c>
      <c r="C52" s="24"/>
      <c r="D52" s="24"/>
      <c r="E52" s="8"/>
      <c r="F52" s="44">
        <f>F37+F51</f>
        <v>12504000</v>
      </c>
      <c r="G52" s="44">
        <f>G37+G51</f>
        <v>12504000</v>
      </c>
      <c r="H52" s="44">
        <f>H37+H51</f>
        <v>12504000</v>
      </c>
      <c r="I52" s="35">
        <f>I51+I37</f>
        <v>37512000</v>
      </c>
      <c r="J52" s="44">
        <f>J37+J51</f>
        <v>12504000</v>
      </c>
      <c r="K52" s="44">
        <f>K37+K51</f>
        <v>12504000</v>
      </c>
      <c r="L52" s="44">
        <f>L37+L51</f>
        <v>12504000</v>
      </c>
      <c r="M52" s="35">
        <f>M51+M37</f>
        <v>37512000</v>
      </c>
      <c r="N52" s="44">
        <f>N37+N51</f>
        <v>12504000</v>
      </c>
      <c r="O52" s="44">
        <f>O37+O51</f>
        <v>12504000</v>
      </c>
      <c r="P52" s="44">
        <f>P37+P51</f>
        <v>12504000</v>
      </c>
      <c r="Q52" s="35">
        <f>Q51+Q37</f>
        <v>37512000</v>
      </c>
      <c r="R52" s="44">
        <f>R37+R51</f>
        <v>12504000</v>
      </c>
      <c r="S52" s="44">
        <f>S37+S51</f>
        <v>12504000</v>
      </c>
      <c r="T52" s="44">
        <f>T37+T51</f>
        <v>12504000</v>
      </c>
      <c r="U52" s="35">
        <f>U51+U37</f>
        <v>37512000</v>
      </c>
      <c r="V52" s="35">
        <f t="shared" si="31"/>
        <v>150048000</v>
      </c>
    </row>
    <row r="53" spans="1:22" s="4" customFormat="1" ht="13.15" outlineLevel="1">
      <c r="A53" s="24"/>
      <c r="B53" s="24" t="s">
        <v>3</v>
      </c>
      <c r="C53" s="24"/>
      <c r="D53" s="24"/>
      <c r="E53" s="8">
        <v>0</v>
      </c>
      <c r="F53" s="44">
        <v>0</v>
      </c>
      <c r="G53" s="44">
        <v>0</v>
      </c>
      <c r="H53" s="44">
        <v>0</v>
      </c>
      <c r="I53" s="35">
        <v>0</v>
      </c>
      <c r="J53" s="44">
        <v>0</v>
      </c>
      <c r="K53" s="44">
        <v>0</v>
      </c>
      <c r="L53" s="44">
        <v>0</v>
      </c>
      <c r="M53" s="35">
        <v>0</v>
      </c>
      <c r="N53" s="44">
        <v>0</v>
      </c>
      <c r="O53" s="44">
        <v>0</v>
      </c>
      <c r="P53" s="44">
        <v>0</v>
      </c>
      <c r="Q53" s="35">
        <v>0</v>
      </c>
      <c r="R53" s="44">
        <v>0</v>
      </c>
      <c r="S53" s="44">
        <v>0</v>
      </c>
      <c r="T53" s="44">
        <v>0</v>
      </c>
      <c r="U53" s="35">
        <v>0</v>
      </c>
      <c r="V53" s="35">
        <f t="shared" si="31"/>
        <v>0</v>
      </c>
    </row>
    <row r="54" spans="1:22" ht="13.15" outlineLevel="2">
      <c r="A54" s="22"/>
      <c r="B54" s="23" t="s">
        <v>39</v>
      </c>
      <c r="C54" s="22"/>
      <c r="D54" s="22"/>
      <c r="F54" s="43"/>
      <c r="G54" s="43"/>
      <c r="H54" s="43"/>
      <c r="I54" s="34"/>
      <c r="J54" s="43"/>
      <c r="K54" s="43"/>
      <c r="L54" s="43"/>
      <c r="M54" s="34"/>
      <c r="N54" s="43"/>
      <c r="O54" s="43"/>
      <c r="P54" s="43"/>
      <c r="Q54" s="34"/>
      <c r="R54" s="43"/>
      <c r="S54" s="43"/>
      <c r="T54" s="43"/>
      <c r="U54" s="34"/>
      <c r="V54" s="34"/>
    </row>
    <row r="55" spans="1:22" ht="13.15" outlineLevel="2">
      <c r="A55" s="22"/>
      <c r="B55" s="22"/>
      <c r="C55" s="25" t="s">
        <v>58</v>
      </c>
      <c r="D55" s="22"/>
      <c r="E55" s="7">
        <v>0</v>
      </c>
      <c r="F55" s="43"/>
      <c r="G55" s="43"/>
      <c r="H55" s="43"/>
      <c r="I55" s="34">
        <f t="shared" ref="I55:I65" si="38">SUM(F55:H55)</f>
        <v>0</v>
      </c>
      <c r="J55" s="43"/>
      <c r="K55" s="43"/>
      <c r="L55" s="43"/>
      <c r="M55" s="34">
        <f t="shared" ref="M55:M65" si="39">SUM(J55:L55)</f>
        <v>0</v>
      </c>
      <c r="N55" s="43"/>
      <c r="O55" s="43"/>
      <c r="P55" s="43"/>
      <c r="Q55" s="34">
        <f t="shared" ref="Q55:Q65" si="40">SUM(N55:P55)</f>
        <v>0</v>
      </c>
      <c r="R55" s="43"/>
      <c r="S55" s="43"/>
      <c r="T55" s="43"/>
      <c r="U55" s="34">
        <f t="shared" ref="U55:U65" si="41">SUM(R55:T55)</f>
        <v>0</v>
      </c>
      <c r="V55" s="34">
        <f t="shared" ref="V55:V66" si="42">I55+M55+Q55+U55</f>
        <v>0</v>
      </c>
    </row>
    <row r="56" spans="1:22" ht="13.15" outlineLevel="2">
      <c r="A56" s="22"/>
      <c r="B56" s="22"/>
      <c r="C56" s="25" t="s">
        <v>59</v>
      </c>
      <c r="D56" s="22"/>
      <c r="F56" s="43">
        <v>166000</v>
      </c>
      <c r="G56" s="43">
        <v>166000</v>
      </c>
      <c r="H56" s="43">
        <v>166000</v>
      </c>
      <c r="I56" s="34">
        <f t="shared" si="38"/>
        <v>498000</v>
      </c>
      <c r="J56" s="43">
        <v>166000</v>
      </c>
      <c r="K56" s="43">
        <v>166000</v>
      </c>
      <c r="L56" s="43">
        <v>166000</v>
      </c>
      <c r="M56" s="34">
        <f t="shared" si="39"/>
        <v>498000</v>
      </c>
      <c r="N56" s="43">
        <v>166000</v>
      </c>
      <c r="O56" s="43">
        <v>166000</v>
      </c>
      <c r="P56" s="43">
        <v>166000</v>
      </c>
      <c r="Q56" s="34">
        <f t="shared" si="40"/>
        <v>498000</v>
      </c>
      <c r="R56" s="43">
        <v>166000</v>
      </c>
      <c r="S56" s="43">
        <v>166000</v>
      </c>
      <c r="T56" s="43">
        <v>166000</v>
      </c>
      <c r="U56" s="34">
        <f t="shared" si="41"/>
        <v>498000</v>
      </c>
      <c r="V56" s="34">
        <f t="shared" si="42"/>
        <v>1992000</v>
      </c>
    </row>
    <row r="57" spans="1:22" ht="13.15" outlineLevel="2">
      <c r="A57" s="22"/>
      <c r="B57" s="22"/>
      <c r="C57" s="25" t="s">
        <v>60</v>
      </c>
      <c r="D57" s="22"/>
      <c r="F57" s="43">
        <v>105000</v>
      </c>
      <c r="G57" s="43">
        <v>105000</v>
      </c>
      <c r="H57" s="43">
        <v>105000</v>
      </c>
      <c r="I57" s="34">
        <f t="shared" si="38"/>
        <v>315000</v>
      </c>
      <c r="J57" s="43">
        <v>105000</v>
      </c>
      <c r="K57" s="43">
        <v>105000</v>
      </c>
      <c r="L57" s="43">
        <v>105000</v>
      </c>
      <c r="M57" s="34">
        <f t="shared" si="39"/>
        <v>315000</v>
      </c>
      <c r="N57" s="43">
        <v>105000</v>
      </c>
      <c r="O57" s="43">
        <v>105000</v>
      </c>
      <c r="P57" s="43">
        <v>105000</v>
      </c>
      <c r="Q57" s="34">
        <f t="shared" si="40"/>
        <v>315000</v>
      </c>
      <c r="R57" s="43">
        <v>105000</v>
      </c>
      <c r="S57" s="43">
        <v>105000</v>
      </c>
      <c r="T57" s="43">
        <v>105000</v>
      </c>
      <c r="U57" s="34">
        <f t="shared" si="41"/>
        <v>315000</v>
      </c>
      <c r="V57" s="34">
        <f t="shared" si="42"/>
        <v>1260000</v>
      </c>
    </row>
    <row r="58" spans="1:22" ht="13.15" outlineLevel="2">
      <c r="A58" s="22"/>
      <c r="B58" s="22"/>
      <c r="C58" s="25" t="s">
        <v>61</v>
      </c>
      <c r="D58" s="22"/>
      <c r="F58" s="43">
        <v>222000</v>
      </c>
      <c r="G58" s="43">
        <v>222000</v>
      </c>
      <c r="H58" s="43">
        <v>222000</v>
      </c>
      <c r="I58" s="34">
        <f t="shared" si="38"/>
        <v>666000</v>
      </c>
      <c r="J58" s="43">
        <v>222000</v>
      </c>
      <c r="K58" s="43">
        <v>222000</v>
      </c>
      <c r="L58" s="43">
        <v>222000</v>
      </c>
      <c r="M58" s="34">
        <f t="shared" si="39"/>
        <v>666000</v>
      </c>
      <c r="N58" s="43">
        <v>222000</v>
      </c>
      <c r="O58" s="43">
        <v>222000</v>
      </c>
      <c r="P58" s="43">
        <v>222000</v>
      </c>
      <c r="Q58" s="34">
        <f t="shared" si="40"/>
        <v>666000</v>
      </c>
      <c r="R58" s="43">
        <v>222000</v>
      </c>
      <c r="S58" s="43">
        <v>222000</v>
      </c>
      <c r="T58" s="43">
        <v>222000</v>
      </c>
      <c r="U58" s="34">
        <f t="shared" si="41"/>
        <v>666000</v>
      </c>
      <c r="V58" s="34">
        <f t="shared" si="42"/>
        <v>2664000</v>
      </c>
    </row>
    <row r="59" spans="1:22" ht="13.15" outlineLevel="2">
      <c r="A59" s="22"/>
      <c r="B59" s="22"/>
      <c r="C59" s="25" t="s">
        <v>62</v>
      </c>
      <c r="D59" s="22"/>
      <c r="F59" s="43"/>
      <c r="G59" s="43"/>
      <c r="H59" s="43"/>
      <c r="I59" s="34">
        <f t="shared" si="38"/>
        <v>0</v>
      </c>
      <c r="J59" s="43"/>
      <c r="K59" s="43"/>
      <c r="L59" s="43"/>
      <c r="M59" s="34">
        <f t="shared" si="39"/>
        <v>0</v>
      </c>
      <c r="N59" s="43"/>
      <c r="O59" s="43"/>
      <c r="P59" s="43"/>
      <c r="Q59" s="34">
        <f t="shared" si="40"/>
        <v>0</v>
      </c>
      <c r="R59" s="43"/>
      <c r="S59" s="43"/>
      <c r="T59" s="43"/>
      <c r="U59" s="34">
        <f t="shared" si="41"/>
        <v>0</v>
      </c>
      <c r="V59" s="34">
        <f t="shared" si="42"/>
        <v>0</v>
      </c>
    </row>
    <row r="60" spans="1:22" ht="13.15" outlineLevel="2">
      <c r="A60" s="22"/>
      <c r="B60" s="22"/>
      <c r="C60" s="25" t="s">
        <v>118</v>
      </c>
      <c r="D60" s="22"/>
      <c r="F60" s="43">
        <v>231000</v>
      </c>
      <c r="G60" s="43">
        <v>231000</v>
      </c>
      <c r="H60" s="43">
        <v>231000</v>
      </c>
      <c r="I60" s="34">
        <f t="shared" si="38"/>
        <v>693000</v>
      </c>
      <c r="J60" s="43">
        <v>231000</v>
      </c>
      <c r="K60" s="43">
        <v>231000</v>
      </c>
      <c r="L60" s="43">
        <v>231000</v>
      </c>
      <c r="M60" s="34">
        <f t="shared" si="39"/>
        <v>693000</v>
      </c>
      <c r="N60" s="43">
        <v>231000</v>
      </c>
      <c r="O60" s="43">
        <v>231000</v>
      </c>
      <c r="P60" s="43">
        <v>231000</v>
      </c>
      <c r="Q60" s="34">
        <f t="shared" si="40"/>
        <v>693000</v>
      </c>
      <c r="R60" s="43">
        <v>231000</v>
      </c>
      <c r="S60" s="43">
        <v>231000</v>
      </c>
      <c r="T60" s="43">
        <v>231000</v>
      </c>
      <c r="U60" s="34">
        <f t="shared" si="41"/>
        <v>693000</v>
      </c>
      <c r="V60" s="34">
        <f t="shared" si="42"/>
        <v>2772000</v>
      </c>
    </row>
    <row r="61" spans="1:22" ht="13.15" outlineLevel="2">
      <c r="A61" s="22"/>
      <c r="B61" s="22"/>
      <c r="C61" s="25" t="s">
        <v>157</v>
      </c>
      <c r="D61" s="22"/>
      <c r="F61" s="43"/>
      <c r="G61" s="43"/>
      <c r="H61" s="43"/>
      <c r="I61" s="34">
        <f t="shared" si="38"/>
        <v>0</v>
      </c>
      <c r="J61" s="43"/>
      <c r="K61" s="43"/>
      <c r="L61" s="43"/>
      <c r="M61" s="34">
        <f t="shared" si="39"/>
        <v>0</v>
      </c>
      <c r="N61" s="43"/>
      <c r="O61" s="43"/>
      <c r="P61" s="43"/>
      <c r="Q61" s="34">
        <f t="shared" si="40"/>
        <v>0</v>
      </c>
      <c r="R61" s="43"/>
      <c r="S61" s="43"/>
      <c r="T61" s="43"/>
      <c r="U61" s="34">
        <f t="shared" si="41"/>
        <v>0</v>
      </c>
      <c r="V61" s="34">
        <f t="shared" si="42"/>
        <v>0</v>
      </c>
    </row>
    <row r="62" spans="1:22" ht="13.15" outlineLevel="2">
      <c r="A62" s="22"/>
      <c r="B62" s="22"/>
      <c r="C62" s="25" t="s">
        <v>28</v>
      </c>
      <c r="D62" s="22"/>
      <c r="E62" s="7">
        <v>0</v>
      </c>
      <c r="F62" s="43"/>
      <c r="G62" s="43"/>
      <c r="H62" s="43"/>
      <c r="I62" s="34">
        <f t="shared" si="38"/>
        <v>0</v>
      </c>
      <c r="J62" s="43"/>
      <c r="K62" s="43"/>
      <c r="L62" s="43"/>
      <c r="M62" s="34">
        <f t="shared" si="39"/>
        <v>0</v>
      </c>
      <c r="N62" s="43"/>
      <c r="O62" s="43"/>
      <c r="P62" s="43"/>
      <c r="Q62" s="34">
        <f t="shared" si="40"/>
        <v>0</v>
      </c>
      <c r="R62" s="43"/>
      <c r="S62" s="43"/>
      <c r="T62" s="43"/>
      <c r="U62" s="34">
        <f t="shared" si="41"/>
        <v>0</v>
      </c>
      <c r="V62" s="34">
        <f t="shared" si="42"/>
        <v>0</v>
      </c>
    </row>
    <row r="63" spans="1:22" ht="13.15" outlineLevel="2">
      <c r="A63" s="22"/>
      <c r="B63" s="22"/>
      <c r="C63" s="25" t="s">
        <v>35</v>
      </c>
      <c r="D63" s="22"/>
      <c r="E63" s="7">
        <v>0</v>
      </c>
      <c r="F63" s="43">
        <v>724000</v>
      </c>
      <c r="G63" s="43">
        <v>724000</v>
      </c>
      <c r="H63" s="43">
        <v>724000</v>
      </c>
      <c r="I63" s="34">
        <f t="shared" si="38"/>
        <v>2172000</v>
      </c>
      <c r="J63" s="43">
        <v>724000</v>
      </c>
      <c r="K63" s="43">
        <v>724000</v>
      </c>
      <c r="L63" s="43">
        <v>724000</v>
      </c>
      <c r="M63" s="34">
        <f t="shared" si="39"/>
        <v>2172000</v>
      </c>
      <c r="N63" s="43">
        <v>724000</v>
      </c>
      <c r="O63" s="43">
        <v>724000</v>
      </c>
      <c r="P63" s="43">
        <v>724000</v>
      </c>
      <c r="Q63" s="34">
        <f t="shared" si="40"/>
        <v>2172000</v>
      </c>
      <c r="R63" s="43">
        <v>724000</v>
      </c>
      <c r="S63" s="43">
        <v>724000</v>
      </c>
      <c r="T63" s="43">
        <v>724000</v>
      </c>
      <c r="U63" s="34">
        <f t="shared" si="41"/>
        <v>2172000</v>
      </c>
      <c r="V63" s="34">
        <f t="shared" si="42"/>
        <v>8688000</v>
      </c>
    </row>
    <row r="64" spans="1:22" ht="13.15" outlineLevel="2">
      <c r="A64" s="22"/>
      <c r="B64" s="22"/>
      <c r="C64" s="25" t="s">
        <v>52</v>
      </c>
      <c r="D64" s="22"/>
      <c r="E64" s="7">
        <v>0</v>
      </c>
      <c r="F64" s="43">
        <v>362000</v>
      </c>
      <c r="G64" s="43">
        <v>362000</v>
      </c>
      <c r="H64" s="43">
        <v>362000</v>
      </c>
      <c r="I64" s="34">
        <f t="shared" si="38"/>
        <v>1086000</v>
      </c>
      <c r="J64" s="43">
        <v>362000</v>
      </c>
      <c r="K64" s="43">
        <v>362000</v>
      </c>
      <c r="L64" s="43">
        <v>362000</v>
      </c>
      <c r="M64" s="34">
        <f t="shared" si="39"/>
        <v>1086000</v>
      </c>
      <c r="N64" s="43">
        <v>362000</v>
      </c>
      <c r="O64" s="43">
        <v>362000</v>
      </c>
      <c r="P64" s="43">
        <v>362000</v>
      </c>
      <c r="Q64" s="34">
        <f t="shared" si="40"/>
        <v>1086000</v>
      </c>
      <c r="R64" s="43">
        <v>362000</v>
      </c>
      <c r="S64" s="43">
        <v>362000</v>
      </c>
      <c r="T64" s="43">
        <v>362000</v>
      </c>
      <c r="U64" s="34">
        <f t="shared" si="41"/>
        <v>1086000</v>
      </c>
      <c r="V64" s="34">
        <f t="shared" si="42"/>
        <v>4344000</v>
      </c>
    </row>
    <row r="65" spans="1:22" ht="13.15" outlineLevel="2">
      <c r="A65" s="22"/>
      <c r="B65" s="22"/>
      <c r="C65" s="25" t="s">
        <v>36</v>
      </c>
      <c r="D65" s="22"/>
      <c r="E65" s="7">
        <v>0</v>
      </c>
      <c r="F65" s="43">
        <v>570000</v>
      </c>
      <c r="G65" s="43">
        <v>570000</v>
      </c>
      <c r="H65" s="43">
        <v>570000</v>
      </c>
      <c r="I65" s="34">
        <f t="shared" si="38"/>
        <v>1710000</v>
      </c>
      <c r="J65" s="43">
        <v>570000</v>
      </c>
      <c r="K65" s="43">
        <v>570000</v>
      </c>
      <c r="L65" s="43">
        <v>570000</v>
      </c>
      <c r="M65" s="34">
        <f t="shared" si="39"/>
        <v>1710000</v>
      </c>
      <c r="N65" s="43">
        <v>570000</v>
      </c>
      <c r="O65" s="43">
        <v>570000</v>
      </c>
      <c r="P65" s="43">
        <v>570000</v>
      </c>
      <c r="Q65" s="34">
        <f t="shared" si="40"/>
        <v>1710000</v>
      </c>
      <c r="R65" s="43">
        <v>570000</v>
      </c>
      <c r="S65" s="43">
        <v>570000</v>
      </c>
      <c r="T65" s="43">
        <v>570000</v>
      </c>
      <c r="U65" s="34">
        <f t="shared" si="41"/>
        <v>1710000</v>
      </c>
      <c r="V65" s="34">
        <f t="shared" si="42"/>
        <v>6840000</v>
      </c>
    </row>
    <row r="66" spans="1:22" ht="13.15" outlineLevel="1">
      <c r="A66" s="24"/>
      <c r="B66" s="24" t="s">
        <v>4</v>
      </c>
      <c r="C66" s="24"/>
      <c r="D66" s="24"/>
      <c r="E66" s="8"/>
      <c r="F66" s="44">
        <f t="shared" ref="F66" si="43">SUM(F55:F65)</f>
        <v>2380000</v>
      </c>
      <c r="G66" s="44">
        <f t="shared" ref="G66:H66" si="44">SUM(G55:G65)</f>
        <v>2380000</v>
      </c>
      <c r="H66" s="44">
        <f t="shared" si="44"/>
        <v>2380000</v>
      </c>
      <c r="I66" s="35">
        <f>SUM(I55:I65)</f>
        <v>7140000</v>
      </c>
      <c r="J66" s="44">
        <f t="shared" ref="J66:L66" si="45">SUM(J55:J65)</f>
        <v>2380000</v>
      </c>
      <c r="K66" s="44">
        <f t="shared" si="45"/>
        <v>2380000</v>
      </c>
      <c r="L66" s="44">
        <f t="shared" si="45"/>
        <v>2380000</v>
      </c>
      <c r="M66" s="35">
        <f>SUM(M55:M65)</f>
        <v>7140000</v>
      </c>
      <c r="N66" s="44">
        <f t="shared" ref="N66:P66" si="46">SUM(N55:N65)</f>
        <v>2380000</v>
      </c>
      <c r="O66" s="44">
        <f t="shared" si="46"/>
        <v>2380000</v>
      </c>
      <c r="P66" s="44">
        <f t="shared" si="46"/>
        <v>2380000</v>
      </c>
      <c r="Q66" s="35">
        <f>SUM(Q55:Q65)</f>
        <v>7140000</v>
      </c>
      <c r="R66" s="44">
        <f t="shared" ref="R66:T66" si="47">SUM(R55:R65)</f>
        <v>2380000</v>
      </c>
      <c r="S66" s="44">
        <f t="shared" si="47"/>
        <v>2380000</v>
      </c>
      <c r="T66" s="44">
        <f t="shared" si="47"/>
        <v>2380000</v>
      </c>
      <c r="U66" s="35">
        <f>SUM(U55:U65)</f>
        <v>7140000</v>
      </c>
      <c r="V66" s="35">
        <f t="shared" si="42"/>
        <v>28560000</v>
      </c>
    </row>
    <row r="67" spans="1:22" ht="13.15" outlineLevel="2">
      <c r="A67" s="24"/>
      <c r="B67" s="26" t="s">
        <v>5</v>
      </c>
      <c r="C67" s="27"/>
      <c r="D67" s="27"/>
      <c r="E67" s="9"/>
      <c r="F67" s="129"/>
      <c r="G67" s="129"/>
      <c r="H67" s="129"/>
      <c r="I67" s="36"/>
      <c r="J67" s="129"/>
      <c r="K67" s="129"/>
      <c r="L67" s="129"/>
      <c r="M67" s="36"/>
      <c r="N67" s="129"/>
      <c r="O67" s="129"/>
      <c r="P67" s="129"/>
      <c r="Q67" s="36"/>
      <c r="R67" s="129"/>
      <c r="S67" s="129"/>
      <c r="T67" s="129"/>
      <c r="U67" s="36"/>
      <c r="V67" s="35" t="s">
        <v>86</v>
      </c>
    </row>
    <row r="68" spans="1:22" ht="13.15" outlineLevel="2">
      <c r="A68" s="24"/>
      <c r="B68" s="27"/>
      <c r="C68" s="28" t="s">
        <v>47</v>
      </c>
      <c r="D68" s="27"/>
      <c r="E68" s="9">
        <v>0</v>
      </c>
      <c r="F68" s="43"/>
      <c r="G68" s="43"/>
      <c r="H68" s="43"/>
      <c r="I68" s="34">
        <f>SUM(F68:H68)</f>
        <v>0</v>
      </c>
      <c r="J68" s="43"/>
      <c r="K68" s="43"/>
      <c r="L68" s="43"/>
      <c r="M68" s="34">
        <f>SUM(J68:L68)</f>
        <v>0</v>
      </c>
      <c r="N68" s="43"/>
      <c r="O68" s="43"/>
      <c r="P68" s="43"/>
      <c r="Q68" s="34">
        <f>SUM(N68:P68)</f>
        <v>0</v>
      </c>
      <c r="R68" s="43"/>
      <c r="S68" s="43"/>
      <c r="T68" s="43"/>
      <c r="U68" s="34">
        <f>SUM(R68:T68)</f>
        <v>0</v>
      </c>
      <c r="V68" s="34">
        <f>I68+M68+Q68+U68</f>
        <v>0</v>
      </c>
    </row>
    <row r="69" spans="1:22" ht="13.15" outlineLevel="2">
      <c r="A69" s="24"/>
      <c r="B69" s="27"/>
      <c r="C69" s="28" t="s">
        <v>48</v>
      </c>
      <c r="D69" s="27"/>
      <c r="E69" s="9">
        <v>0</v>
      </c>
      <c r="F69" s="43"/>
      <c r="G69" s="43"/>
      <c r="H69" s="43"/>
      <c r="I69" s="34">
        <f>SUM(F69:H69)</f>
        <v>0</v>
      </c>
      <c r="J69" s="43"/>
      <c r="K69" s="43"/>
      <c r="L69" s="43"/>
      <c r="M69" s="34">
        <f>SUM(J69:L69)</f>
        <v>0</v>
      </c>
      <c r="N69" s="43"/>
      <c r="O69" s="43"/>
      <c r="P69" s="43"/>
      <c r="Q69" s="34">
        <f>SUM(N69:P69)</f>
        <v>0</v>
      </c>
      <c r="R69" s="43"/>
      <c r="S69" s="43"/>
      <c r="T69" s="43"/>
      <c r="U69" s="34">
        <f>SUM(R69:T69)</f>
        <v>0</v>
      </c>
      <c r="V69" s="34">
        <f>I69+M69+Q69+U69</f>
        <v>0</v>
      </c>
    </row>
    <row r="70" spans="1:22" ht="13.15" outlineLevel="2">
      <c r="A70" s="24"/>
      <c r="B70" s="27"/>
      <c r="C70" s="28" t="s">
        <v>26</v>
      </c>
      <c r="D70" s="27"/>
      <c r="E70" s="9">
        <v>0</v>
      </c>
      <c r="F70" s="43"/>
      <c r="G70" s="43"/>
      <c r="H70" s="43"/>
      <c r="I70" s="34">
        <f>SUM(F70:H70)</f>
        <v>0</v>
      </c>
      <c r="J70" s="43"/>
      <c r="K70" s="43"/>
      <c r="L70" s="43"/>
      <c r="M70" s="34">
        <f>SUM(J70:L70)</f>
        <v>0</v>
      </c>
      <c r="N70" s="43"/>
      <c r="O70" s="43"/>
      <c r="P70" s="43"/>
      <c r="Q70" s="34">
        <f>SUM(N70:P70)</f>
        <v>0</v>
      </c>
      <c r="R70" s="43"/>
      <c r="S70" s="43"/>
      <c r="T70" s="43"/>
      <c r="U70" s="34">
        <f>SUM(R70:T70)</f>
        <v>0</v>
      </c>
      <c r="V70" s="34">
        <f>I70+M70+Q70+U70</f>
        <v>0</v>
      </c>
    </row>
    <row r="71" spans="1:22" ht="13.15" outlineLevel="1">
      <c r="A71" s="24"/>
      <c r="B71" s="29" t="s">
        <v>6</v>
      </c>
      <c r="C71" s="30"/>
      <c r="D71" s="30"/>
      <c r="E71" s="10"/>
      <c r="F71" s="45">
        <f>SUM(F68:F70)</f>
        <v>0</v>
      </c>
      <c r="G71" s="45">
        <f>SUM(G68:G70)</f>
        <v>0</v>
      </c>
      <c r="H71" s="45">
        <f>SUM(H68:H70)</f>
        <v>0</v>
      </c>
      <c r="I71" s="35">
        <f t="shared" ref="I71:Q71" si="48">SUM(I68:I70)</f>
        <v>0</v>
      </c>
      <c r="J71" s="45">
        <f>SUM(J68:J70)</f>
        <v>0</v>
      </c>
      <c r="K71" s="45">
        <f>SUM(K68:K70)</f>
        <v>0</v>
      </c>
      <c r="L71" s="45">
        <f>SUM(L68:L70)</f>
        <v>0</v>
      </c>
      <c r="M71" s="35">
        <f t="shared" si="48"/>
        <v>0</v>
      </c>
      <c r="N71" s="45">
        <f>SUM(N68:N70)</f>
        <v>0</v>
      </c>
      <c r="O71" s="45">
        <f>SUM(O68:O70)</f>
        <v>0</v>
      </c>
      <c r="P71" s="45">
        <f>SUM(P68:P70)</f>
        <v>0</v>
      </c>
      <c r="Q71" s="35">
        <f t="shared" si="48"/>
        <v>0</v>
      </c>
      <c r="R71" s="45">
        <f>SUM(R68:R70)</f>
        <v>0</v>
      </c>
      <c r="S71" s="45">
        <f>SUM(S68:S70)</f>
        <v>0</v>
      </c>
      <c r="T71" s="45">
        <f>SUM(T68:T70)</f>
        <v>0</v>
      </c>
      <c r="U71" s="35">
        <f t="shared" ref="U71" si="49">SUM(U68:U70)</f>
        <v>0</v>
      </c>
      <c r="V71" s="35">
        <f>I71+M71+Q71+U71</f>
        <v>0</v>
      </c>
    </row>
    <row r="72" spans="1:22" ht="13.15" outlineLevel="2">
      <c r="A72" s="24"/>
      <c r="B72" s="26" t="s">
        <v>7</v>
      </c>
      <c r="C72" s="27"/>
      <c r="D72" s="27"/>
      <c r="E72" s="9"/>
      <c r="F72" s="129"/>
      <c r="G72" s="129"/>
      <c r="H72" s="129"/>
      <c r="I72" s="36"/>
      <c r="J72" s="129"/>
      <c r="K72" s="129"/>
      <c r="L72" s="129"/>
      <c r="M72" s="36"/>
      <c r="N72" s="129"/>
      <c r="O72" s="129"/>
      <c r="P72" s="129"/>
      <c r="Q72" s="36"/>
      <c r="R72" s="129"/>
      <c r="S72" s="129"/>
      <c r="T72" s="129"/>
      <c r="U72" s="36"/>
      <c r="V72" s="36"/>
    </row>
    <row r="73" spans="1:22" ht="13.15" outlineLevel="2">
      <c r="A73" s="24"/>
      <c r="B73" s="27"/>
      <c r="C73" s="28" t="s">
        <v>40</v>
      </c>
      <c r="D73" s="27"/>
      <c r="E73" s="9">
        <v>0</v>
      </c>
      <c r="F73" s="43"/>
      <c r="G73" s="43"/>
      <c r="H73" s="43"/>
      <c r="I73" s="34">
        <f>SUM(F73:H73)</f>
        <v>0</v>
      </c>
      <c r="J73" s="43"/>
      <c r="K73" s="43"/>
      <c r="L73" s="43"/>
      <c r="M73" s="34">
        <f>SUM(J73:L73)</f>
        <v>0</v>
      </c>
      <c r="N73" s="43"/>
      <c r="O73" s="43"/>
      <c r="P73" s="43"/>
      <c r="Q73" s="34">
        <f>SUM(N73:P73)</f>
        <v>0</v>
      </c>
      <c r="R73" s="43"/>
      <c r="S73" s="43"/>
      <c r="T73" s="43"/>
      <c r="U73" s="34">
        <f>SUM(R73:T73)</f>
        <v>0</v>
      </c>
      <c r="V73" s="34">
        <f>I73+M73+Q73+U73</f>
        <v>0</v>
      </c>
    </row>
    <row r="74" spans="1:22" ht="13.15" outlineLevel="2">
      <c r="A74" s="24"/>
      <c r="B74" s="27"/>
      <c r="C74" s="27" t="s">
        <v>8</v>
      </c>
      <c r="D74" s="27"/>
      <c r="E74" s="9">
        <v>0</v>
      </c>
      <c r="F74" s="43"/>
      <c r="G74" s="43"/>
      <c r="H74" s="43"/>
      <c r="I74" s="34">
        <f>SUM(F74:H74)</f>
        <v>0</v>
      </c>
      <c r="J74" s="43"/>
      <c r="K74" s="43"/>
      <c r="L74" s="43"/>
      <c r="M74" s="34">
        <f>SUM(J74:L74)</f>
        <v>0</v>
      </c>
      <c r="N74" s="43"/>
      <c r="O74" s="43"/>
      <c r="P74" s="43"/>
      <c r="Q74" s="34">
        <f>SUM(N74:P74)</f>
        <v>0</v>
      </c>
      <c r="R74" s="43"/>
      <c r="S74" s="43"/>
      <c r="T74" s="43"/>
      <c r="U74" s="34">
        <f>SUM(R74:T74)</f>
        <v>0</v>
      </c>
      <c r="V74" s="34">
        <f>I74+M74+Q74+U74</f>
        <v>0</v>
      </c>
    </row>
    <row r="75" spans="1:22" ht="13.15" outlineLevel="2">
      <c r="A75" s="24"/>
      <c r="B75" s="27"/>
      <c r="C75" s="27" t="s">
        <v>9</v>
      </c>
      <c r="D75" s="27"/>
      <c r="E75" s="9">
        <v>0</v>
      </c>
      <c r="F75" s="43"/>
      <c r="G75" s="43"/>
      <c r="H75" s="43"/>
      <c r="I75" s="34">
        <f>SUM(F75:H75)</f>
        <v>0</v>
      </c>
      <c r="J75" s="43"/>
      <c r="K75" s="43"/>
      <c r="L75" s="43"/>
      <c r="M75" s="34">
        <f>SUM(J75:L75)</f>
        <v>0</v>
      </c>
      <c r="N75" s="43"/>
      <c r="O75" s="43"/>
      <c r="P75" s="43"/>
      <c r="Q75" s="34">
        <f>SUM(N75:P75)</f>
        <v>0</v>
      </c>
      <c r="R75" s="43"/>
      <c r="S75" s="43"/>
      <c r="T75" s="43"/>
      <c r="U75" s="34">
        <f>SUM(R75:T75)</f>
        <v>0</v>
      </c>
      <c r="V75" s="34">
        <f>I75+M75+Q75+U75</f>
        <v>0</v>
      </c>
    </row>
    <row r="76" spans="1:22" ht="13.15" outlineLevel="1">
      <c r="A76" s="24"/>
      <c r="B76" s="29" t="s">
        <v>10</v>
      </c>
      <c r="C76" s="30"/>
      <c r="D76" s="30"/>
      <c r="E76" s="10"/>
      <c r="F76" s="45">
        <f t="shared" ref="F76:G76" si="50">SUM(F73:F75)</f>
        <v>0</v>
      </c>
      <c r="G76" s="45">
        <f t="shared" si="50"/>
        <v>0</v>
      </c>
      <c r="H76" s="45">
        <f t="shared" ref="H76" si="51">SUM(H73:H75)</f>
        <v>0</v>
      </c>
      <c r="I76" s="35">
        <f>SUM(I73:I75)</f>
        <v>0</v>
      </c>
      <c r="J76" s="45">
        <f t="shared" ref="J76:L76" si="52">SUM(J73:J75)</f>
        <v>0</v>
      </c>
      <c r="K76" s="45">
        <f t="shared" si="52"/>
        <v>0</v>
      </c>
      <c r="L76" s="45">
        <f t="shared" si="52"/>
        <v>0</v>
      </c>
      <c r="M76" s="35">
        <f>SUM(M73:M75)</f>
        <v>0</v>
      </c>
      <c r="N76" s="45">
        <f t="shared" ref="N76:P76" si="53">SUM(N73:N75)</f>
        <v>0</v>
      </c>
      <c r="O76" s="45">
        <f t="shared" si="53"/>
        <v>0</v>
      </c>
      <c r="P76" s="45">
        <f t="shared" si="53"/>
        <v>0</v>
      </c>
      <c r="Q76" s="35">
        <f>SUM(Q73:Q75)</f>
        <v>0</v>
      </c>
      <c r="R76" s="45">
        <f t="shared" ref="R76:T76" si="54">SUM(R73:R75)</f>
        <v>0</v>
      </c>
      <c r="S76" s="45">
        <f t="shared" si="54"/>
        <v>0</v>
      </c>
      <c r="T76" s="45">
        <f t="shared" si="54"/>
        <v>0</v>
      </c>
      <c r="U76" s="35">
        <f>SUM(U73:U75)</f>
        <v>0</v>
      </c>
      <c r="V76" s="35">
        <f>I76+M76+Q76+U76</f>
        <v>0</v>
      </c>
    </row>
    <row r="77" spans="1:22" ht="13.15">
      <c r="A77" s="31"/>
      <c r="B77" s="32"/>
      <c r="C77" s="31"/>
      <c r="D77" s="32" t="s">
        <v>11</v>
      </c>
      <c r="E77" s="9"/>
      <c r="F77" s="139">
        <f>F52+F53+F66+F71+F76</f>
        <v>14884000</v>
      </c>
      <c r="G77" s="139">
        <f>G52+G53+G66+G71+G76</f>
        <v>14884000</v>
      </c>
      <c r="H77" s="139">
        <f>H52+H53+H66+H71+H76</f>
        <v>14884000</v>
      </c>
      <c r="I77" s="139">
        <f>I76+I71+I66+I53+I52</f>
        <v>44652000</v>
      </c>
      <c r="J77" s="139">
        <f>J52+J53+J66+J71+J76</f>
        <v>14884000</v>
      </c>
      <c r="K77" s="139">
        <f>K52+K53+K66+K71+K76</f>
        <v>14884000</v>
      </c>
      <c r="L77" s="139">
        <f>L52+L53+L66+L71+L76</f>
        <v>14884000</v>
      </c>
      <c r="M77" s="139">
        <f>M76+M71+M66+M53+M52</f>
        <v>44652000</v>
      </c>
      <c r="N77" s="139">
        <f>N52+N53+N66+N71+N76</f>
        <v>14884000</v>
      </c>
      <c r="O77" s="139">
        <f>O52+O53+O66+O71+O76</f>
        <v>14884000</v>
      </c>
      <c r="P77" s="139">
        <f>P52+P53+P66+P71+P76</f>
        <v>14884000</v>
      </c>
      <c r="Q77" s="139">
        <f>Q76+Q71+Q66+Q53+Q52</f>
        <v>44652000</v>
      </c>
      <c r="R77" s="139">
        <f>R52+R53+R66+R71+R76</f>
        <v>14884000</v>
      </c>
      <c r="S77" s="139">
        <f>S52+S53+S66+S71+S76</f>
        <v>14884000</v>
      </c>
      <c r="T77" s="139">
        <f>T52+T53+T66+T71+T76</f>
        <v>14884000</v>
      </c>
      <c r="U77" s="35">
        <f>U76+U71+U66+U53+U52</f>
        <v>44652000</v>
      </c>
      <c r="V77" s="35">
        <f>I77+M77+Q77+U77</f>
        <v>178608000</v>
      </c>
    </row>
    <row r="78" spans="1:22" ht="13.15" outlineLevel="1">
      <c r="A78" s="32" t="s">
        <v>12</v>
      </c>
      <c r="B78" s="32"/>
      <c r="C78" s="33"/>
      <c r="D78" s="33"/>
      <c r="E78" s="9"/>
      <c r="F78" s="44"/>
      <c r="G78" s="44"/>
      <c r="H78" s="44"/>
      <c r="I78" s="35"/>
      <c r="J78" s="44"/>
      <c r="K78" s="44"/>
      <c r="L78" s="44"/>
      <c r="M78" s="35"/>
      <c r="N78" s="44"/>
      <c r="O78" s="44"/>
      <c r="P78" s="44"/>
      <c r="Q78" s="35"/>
      <c r="R78" s="44"/>
      <c r="S78" s="44"/>
      <c r="T78" s="44"/>
      <c r="U78" s="35"/>
      <c r="V78" s="35"/>
    </row>
    <row r="79" spans="1:22" ht="13.15" outlineLevel="2">
      <c r="A79" s="24"/>
      <c r="B79" s="26" t="s">
        <v>13</v>
      </c>
      <c r="C79" s="27"/>
      <c r="D79" s="27"/>
      <c r="E79" s="9"/>
      <c r="F79" s="129"/>
      <c r="G79" s="129"/>
      <c r="H79" s="129"/>
      <c r="I79" s="36"/>
      <c r="J79" s="129"/>
      <c r="K79" s="129"/>
      <c r="L79" s="129"/>
      <c r="M79" s="36"/>
      <c r="N79" s="129"/>
      <c r="O79" s="129"/>
      <c r="P79" s="129"/>
      <c r="Q79" s="36"/>
      <c r="R79" s="129"/>
      <c r="S79" s="129"/>
      <c r="T79" s="129"/>
      <c r="U79" s="36"/>
      <c r="V79" s="36"/>
    </row>
    <row r="80" spans="1:22" ht="13.15" outlineLevel="2">
      <c r="A80" s="24"/>
      <c r="B80" s="27"/>
      <c r="C80" s="28" t="s">
        <v>66</v>
      </c>
      <c r="D80" s="27"/>
      <c r="E80" s="9">
        <v>0</v>
      </c>
      <c r="F80" s="96"/>
      <c r="G80" s="96"/>
      <c r="H80" s="96"/>
      <c r="I80" s="34">
        <f t="shared" ref="I80:I87" si="55">SUM(F80:H80)</f>
        <v>0</v>
      </c>
      <c r="J80" s="96"/>
      <c r="K80" s="96"/>
      <c r="L80" s="96"/>
      <c r="M80" s="34">
        <f t="shared" ref="M80:M87" si="56">SUM(J80:L80)</f>
        <v>0</v>
      </c>
      <c r="N80" s="96"/>
      <c r="O80" s="96"/>
      <c r="P80" s="96"/>
      <c r="Q80" s="34">
        <f t="shared" ref="Q80:Q87" si="57">SUM(N80:P80)</f>
        <v>0</v>
      </c>
      <c r="R80" s="96"/>
      <c r="S80" s="96"/>
      <c r="T80" s="96"/>
      <c r="U80" s="34">
        <f t="shared" ref="U80:U87" si="58">SUM(R80:T80)</f>
        <v>0</v>
      </c>
      <c r="V80" s="34">
        <f t="shared" ref="V80:V97" si="59">I80+M80+Q80+U80</f>
        <v>0</v>
      </c>
    </row>
    <row r="81" spans="1:22" ht="13.15" outlineLevel="2">
      <c r="A81" s="24"/>
      <c r="B81" s="27"/>
      <c r="C81" s="28" t="s">
        <v>67</v>
      </c>
      <c r="D81" s="27"/>
      <c r="E81" s="9">
        <v>0</v>
      </c>
      <c r="F81" s="96"/>
      <c r="G81" s="96"/>
      <c r="H81" s="96"/>
      <c r="I81" s="34">
        <f t="shared" si="55"/>
        <v>0</v>
      </c>
      <c r="J81" s="96"/>
      <c r="K81" s="96"/>
      <c r="L81" s="96"/>
      <c r="M81" s="34">
        <f t="shared" si="56"/>
        <v>0</v>
      </c>
      <c r="N81" s="96"/>
      <c r="O81" s="96"/>
      <c r="P81" s="96"/>
      <c r="Q81" s="34">
        <f t="shared" si="57"/>
        <v>0</v>
      </c>
      <c r="R81" s="96"/>
      <c r="S81" s="96"/>
      <c r="T81" s="96"/>
      <c r="U81" s="34">
        <f t="shared" si="58"/>
        <v>0</v>
      </c>
      <c r="V81" s="34">
        <f t="shared" si="59"/>
        <v>0</v>
      </c>
    </row>
    <row r="82" spans="1:22" ht="13.15" outlineLevel="2">
      <c r="A82" s="24"/>
      <c r="B82" s="27"/>
      <c r="C82" s="28" t="s">
        <v>100</v>
      </c>
      <c r="D82" s="27"/>
      <c r="E82" s="9">
        <v>0</v>
      </c>
      <c r="F82" s="96"/>
      <c r="G82" s="96"/>
      <c r="H82" s="96"/>
      <c r="I82" s="34">
        <f t="shared" si="55"/>
        <v>0</v>
      </c>
      <c r="J82" s="96"/>
      <c r="K82" s="96"/>
      <c r="L82" s="96"/>
      <c r="M82" s="34">
        <f t="shared" si="56"/>
        <v>0</v>
      </c>
      <c r="N82" s="96"/>
      <c r="O82" s="96"/>
      <c r="P82" s="96"/>
      <c r="Q82" s="34">
        <f t="shared" si="57"/>
        <v>0</v>
      </c>
      <c r="R82" s="96"/>
      <c r="S82" s="96"/>
      <c r="T82" s="96"/>
      <c r="U82" s="34">
        <f t="shared" si="58"/>
        <v>0</v>
      </c>
      <c r="V82" s="34">
        <f t="shared" si="59"/>
        <v>0</v>
      </c>
    </row>
    <row r="83" spans="1:22" ht="13.15" outlineLevel="2">
      <c r="A83" s="24"/>
      <c r="B83" s="27"/>
      <c r="C83" s="28" t="s">
        <v>99</v>
      </c>
      <c r="D83" s="27"/>
      <c r="E83" s="9"/>
      <c r="F83" s="96"/>
      <c r="G83" s="96"/>
      <c r="H83" s="96"/>
      <c r="I83" s="34">
        <f t="shared" si="55"/>
        <v>0</v>
      </c>
      <c r="J83" s="96"/>
      <c r="K83" s="96"/>
      <c r="L83" s="96"/>
      <c r="M83" s="34">
        <f t="shared" si="56"/>
        <v>0</v>
      </c>
      <c r="N83" s="96"/>
      <c r="O83" s="96"/>
      <c r="P83" s="96"/>
      <c r="Q83" s="34">
        <f t="shared" si="57"/>
        <v>0</v>
      </c>
      <c r="R83" s="96"/>
      <c r="S83" s="96"/>
      <c r="T83" s="96"/>
      <c r="U83" s="34">
        <f t="shared" si="58"/>
        <v>0</v>
      </c>
      <c r="V83" s="34">
        <f t="shared" si="59"/>
        <v>0</v>
      </c>
    </row>
    <row r="84" spans="1:22" ht="13.15" outlineLevel="2">
      <c r="A84" s="24"/>
      <c r="B84" s="27"/>
      <c r="C84" s="28" t="s">
        <v>101</v>
      </c>
      <c r="D84" s="27"/>
      <c r="E84" s="9"/>
      <c r="F84" s="96"/>
      <c r="G84" s="96"/>
      <c r="H84" s="96"/>
      <c r="I84" s="34">
        <f t="shared" si="55"/>
        <v>0</v>
      </c>
      <c r="J84" s="96"/>
      <c r="K84" s="96"/>
      <c r="L84" s="96"/>
      <c r="M84" s="34">
        <f t="shared" si="56"/>
        <v>0</v>
      </c>
      <c r="N84" s="96"/>
      <c r="O84" s="96"/>
      <c r="P84" s="96"/>
      <c r="Q84" s="34">
        <f t="shared" si="57"/>
        <v>0</v>
      </c>
      <c r="R84" s="96"/>
      <c r="S84" s="96"/>
      <c r="T84" s="96"/>
      <c r="U84" s="34">
        <f t="shared" si="58"/>
        <v>0</v>
      </c>
      <c r="V84" s="34">
        <f t="shared" si="59"/>
        <v>0</v>
      </c>
    </row>
    <row r="85" spans="1:22" ht="13.15" outlineLevel="2">
      <c r="A85" s="24"/>
      <c r="B85" s="27"/>
      <c r="C85" s="28" t="s">
        <v>41</v>
      </c>
      <c r="D85" s="27"/>
      <c r="E85" s="9">
        <v>0</v>
      </c>
      <c r="F85" s="96"/>
      <c r="G85" s="96"/>
      <c r="H85" s="96"/>
      <c r="I85" s="34">
        <f t="shared" si="55"/>
        <v>0</v>
      </c>
      <c r="J85" s="96"/>
      <c r="K85" s="96"/>
      <c r="L85" s="96"/>
      <c r="M85" s="34">
        <f t="shared" si="56"/>
        <v>0</v>
      </c>
      <c r="N85" s="96"/>
      <c r="O85" s="96"/>
      <c r="P85" s="96"/>
      <c r="Q85" s="34">
        <f t="shared" si="57"/>
        <v>0</v>
      </c>
      <c r="R85" s="96"/>
      <c r="S85" s="96"/>
      <c r="T85" s="96"/>
      <c r="U85" s="34">
        <f t="shared" si="58"/>
        <v>0</v>
      </c>
      <c r="V85" s="34">
        <f t="shared" si="59"/>
        <v>0</v>
      </c>
    </row>
    <row r="86" spans="1:22" ht="13.15" outlineLevel="2">
      <c r="A86" s="24"/>
      <c r="B86" s="27"/>
      <c r="C86" s="28" t="s">
        <v>114</v>
      </c>
      <c r="D86" s="27"/>
      <c r="E86" s="9">
        <v>0</v>
      </c>
      <c r="F86" s="96"/>
      <c r="G86" s="96"/>
      <c r="H86" s="96"/>
      <c r="I86" s="34">
        <f t="shared" si="55"/>
        <v>0</v>
      </c>
      <c r="J86" s="96"/>
      <c r="K86" s="96"/>
      <c r="L86" s="96"/>
      <c r="M86" s="34">
        <f t="shared" si="56"/>
        <v>0</v>
      </c>
      <c r="N86" s="96"/>
      <c r="O86" s="96"/>
      <c r="P86" s="96"/>
      <c r="Q86" s="34">
        <f t="shared" si="57"/>
        <v>0</v>
      </c>
      <c r="R86" s="96"/>
      <c r="S86" s="96"/>
      <c r="T86" s="96"/>
      <c r="U86" s="34">
        <f t="shared" si="58"/>
        <v>0</v>
      </c>
      <c r="V86" s="34">
        <f t="shared" si="59"/>
        <v>0</v>
      </c>
    </row>
    <row r="87" spans="1:22" ht="13.15" outlineLevel="2">
      <c r="A87" s="24"/>
      <c r="B87" s="27"/>
      <c r="C87" s="28" t="s">
        <v>105</v>
      </c>
      <c r="D87" s="27"/>
      <c r="E87" s="9">
        <v>0</v>
      </c>
      <c r="F87" s="96"/>
      <c r="G87" s="96"/>
      <c r="H87" s="96"/>
      <c r="I87" s="34">
        <f t="shared" si="55"/>
        <v>0</v>
      </c>
      <c r="J87" s="96"/>
      <c r="K87" s="96"/>
      <c r="L87" s="96"/>
      <c r="M87" s="34">
        <f t="shared" si="56"/>
        <v>0</v>
      </c>
      <c r="N87" s="96"/>
      <c r="O87" s="96"/>
      <c r="P87" s="96"/>
      <c r="Q87" s="34">
        <f t="shared" si="57"/>
        <v>0</v>
      </c>
      <c r="R87" s="96"/>
      <c r="S87" s="96"/>
      <c r="T87" s="96"/>
      <c r="U87" s="34">
        <f t="shared" si="58"/>
        <v>0</v>
      </c>
      <c r="V87" s="34">
        <f t="shared" si="59"/>
        <v>0</v>
      </c>
    </row>
    <row r="88" spans="1:22" ht="13.15" outlineLevel="1">
      <c r="A88" s="24"/>
      <c r="B88" s="30" t="s">
        <v>14</v>
      </c>
      <c r="C88" s="30"/>
      <c r="D88" s="30"/>
      <c r="E88" s="10"/>
      <c r="F88" s="45">
        <f t="shared" ref="F88:U89" si="60">SUM(F80:F87)</f>
        <v>0</v>
      </c>
      <c r="G88" s="45">
        <f t="shared" ref="G88:H88" si="61">SUM(G80:G87)</f>
        <v>0</v>
      </c>
      <c r="H88" s="45">
        <f t="shared" si="61"/>
        <v>0</v>
      </c>
      <c r="I88" s="35">
        <f t="shared" si="60"/>
        <v>0</v>
      </c>
      <c r="J88" s="45">
        <f t="shared" si="60"/>
        <v>0</v>
      </c>
      <c r="K88" s="45">
        <f t="shared" si="60"/>
        <v>0</v>
      </c>
      <c r="L88" s="45">
        <f t="shared" si="60"/>
        <v>0</v>
      </c>
      <c r="M88" s="35">
        <f t="shared" si="60"/>
        <v>0</v>
      </c>
      <c r="N88" s="45">
        <f t="shared" si="60"/>
        <v>0</v>
      </c>
      <c r="O88" s="45">
        <f t="shared" si="60"/>
        <v>0</v>
      </c>
      <c r="P88" s="45">
        <f t="shared" si="60"/>
        <v>0</v>
      </c>
      <c r="Q88" s="35">
        <f t="shared" si="60"/>
        <v>0</v>
      </c>
      <c r="R88" s="45">
        <f t="shared" si="60"/>
        <v>0</v>
      </c>
      <c r="S88" s="45">
        <f t="shared" si="60"/>
        <v>0</v>
      </c>
      <c r="T88" s="45">
        <f t="shared" si="60"/>
        <v>0</v>
      </c>
      <c r="U88" s="35">
        <f t="shared" si="60"/>
        <v>0</v>
      </c>
      <c r="V88" s="35">
        <f t="shared" si="59"/>
        <v>0</v>
      </c>
    </row>
    <row r="89" spans="1:22" s="4" customFormat="1" ht="13.15" outlineLevel="1">
      <c r="A89" s="24"/>
      <c r="B89" s="24" t="s">
        <v>15</v>
      </c>
      <c r="C89" s="24"/>
      <c r="D89" s="24"/>
      <c r="E89" s="8">
        <v>0</v>
      </c>
      <c r="F89" s="44">
        <v>0</v>
      </c>
      <c r="G89" s="44">
        <v>0</v>
      </c>
      <c r="H89" s="44">
        <v>0</v>
      </c>
      <c r="I89" s="35">
        <f t="shared" si="60"/>
        <v>0</v>
      </c>
      <c r="J89" s="44">
        <v>0</v>
      </c>
      <c r="K89" s="44">
        <v>0</v>
      </c>
      <c r="L89" s="44">
        <v>0</v>
      </c>
      <c r="M89" s="35">
        <f t="shared" si="60"/>
        <v>0</v>
      </c>
      <c r="N89" s="44">
        <v>0</v>
      </c>
      <c r="O89" s="44">
        <v>0</v>
      </c>
      <c r="P89" s="44">
        <v>0</v>
      </c>
      <c r="Q89" s="35">
        <f t="shared" si="60"/>
        <v>0</v>
      </c>
      <c r="R89" s="44">
        <v>0</v>
      </c>
      <c r="S89" s="44">
        <v>0</v>
      </c>
      <c r="T89" s="44">
        <v>0</v>
      </c>
      <c r="U89" s="35">
        <f t="shared" si="60"/>
        <v>0</v>
      </c>
      <c r="V89" s="35">
        <f t="shared" si="59"/>
        <v>0</v>
      </c>
    </row>
    <row r="90" spans="1:22" ht="13.15" outlineLevel="2">
      <c r="A90" s="24"/>
      <c r="B90" s="26" t="s">
        <v>16</v>
      </c>
      <c r="C90" s="27"/>
      <c r="D90" s="27"/>
      <c r="E90" s="9"/>
      <c r="F90" s="129"/>
      <c r="G90" s="129"/>
      <c r="H90" s="129"/>
      <c r="I90" s="34">
        <f t="shared" ref="I90:I96" si="62">SUM(F90:H90)</f>
        <v>0</v>
      </c>
      <c r="J90" s="129"/>
      <c r="K90" s="129"/>
      <c r="L90" s="129"/>
      <c r="M90" s="34">
        <f t="shared" ref="M90:M96" si="63">SUM(J90:L90)</f>
        <v>0</v>
      </c>
      <c r="N90" s="129"/>
      <c r="O90" s="129"/>
      <c r="P90" s="129"/>
      <c r="Q90" s="34">
        <f t="shared" ref="Q90:Q96" si="64">SUM(N90:P90)</f>
        <v>0</v>
      </c>
      <c r="R90" s="129"/>
      <c r="S90" s="129"/>
      <c r="T90" s="129"/>
      <c r="U90" s="34">
        <f t="shared" ref="U90:U96" si="65">SUM(R90:T90)</f>
        <v>0</v>
      </c>
      <c r="V90" s="34">
        <f t="shared" si="59"/>
        <v>0</v>
      </c>
    </row>
    <row r="91" spans="1:22" ht="13.15" outlineLevel="2">
      <c r="A91" s="24"/>
      <c r="B91" s="27"/>
      <c r="C91" s="28" t="s">
        <v>42</v>
      </c>
      <c r="D91" s="27"/>
      <c r="E91" s="9">
        <v>0</v>
      </c>
      <c r="F91" s="43"/>
      <c r="G91" s="43"/>
      <c r="H91" s="43"/>
      <c r="I91" s="34">
        <f t="shared" si="62"/>
        <v>0</v>
      </c>
      <c r="J91" s="43"/>
      <c r="K91" s="43"/>
      <c r="L91" s="43"/>
      <c r="M91" s="34">
        <f t="shared" si="63"/>
        <v>0</v>
      </c>
      <c r="N91" s="43"/>
      <c r="O91" s="43"/>
      <c r="P91" s="43"/>
      <c r="Q91" s="34">
        <f t="shared" si="64"/>
        <v>0</v>
      </c>
      <c r="R91" s="43"/>
      <c r="S91" s="43"/>
      <c r="T91" s="43"/>
      <c r="U91" s="34">
        <f t="shared" si="65"/>
        <v>0</v>
      </c>
      <c r="V91" s="34">
        <f t="shared" si="59"/>
        <v>0</v>
      </c>
    </row>
    <row r="92" spans="1:22" ht="13.15" outlineLevel="2">
      <c r="A92" s="24"/>
      <c r="B92" s="27"/>
      <c r="C92" s="28" t="s">
        <v>43</v>
      </c>
      <c r="D92" s="27"/>
      <c r="E92" s="9">
        <v>0</v>
      </c>
      <c r="F92" s="43">
        <v>7000</v>
      </c>
      <c r="G92" s="43">
        <v>7000</v>
      </c>
      <c r="H92" s="43">
        <v>7000</v>
      </c>
      <c r="I92" s="34">
        <f t="shared" si="62"/>
        <v>21000</v>
      </c>
      <c r="J92" s="43">
        <v>7000</v>
      </c>
      <c r="K92" s="43">
        <v>7000</v>
      </c>
      <c r="L92" s="43">
        <v>7000</v>
      </c>
      <c r="M92" s="34">
        <f t="shared" si="63"/>
        <v>21000</v>
      </c>
      <c r="N92" s="43">
        <v>7000</v>
      </c>
      <c r="O92" s="43">
        <v>7000</v>
      </c>
      <c r="P92" s="43">
        <v>7000</v>
      </c>
      <c r="Q92" s="34">
        <f t="shared" si="64"/>
        <v>21000</v>
      </c>
      <c r="R92" s="43">
        <v>7000</v>
      </c>
      <c r="S92" s="43">
        <v>7000</v>
      </c>
      <c r="T92" s="43">
        <v>7000</v>
      </c>
      <c r="U92" s="34">
        <f t="shared" si="65"/>
        <v>21000</v>
      </c>
      <c r="V92" s="34">
        <f t="shared" si="59"/>
        <v>84000</v>
      </c>
    </row>
    <row r="93" spans="1:22" ht="13.15" outlineLevel="2">
      <c r="A93" s="24"/>
      <c r="B93" s="27"/>
      <c r="C93" s="28" t="s">
        <v>53</v>
      </c>
      <c r="D93" s="27"/>
      <c r="E93" s="9">
        <v>0</v>
      </c>
      <c r="F93" s="43"/>
      <c r="G93" s="43"/>
      <c r="H93" s="43"/>
      <c r="I93" s="34">
        <f t="shared" si="62"/>
        <v>0</v>
      </c>
      <c r="J93" s="43"/>
      <c r="K93" s="43"/>
      <c r="L93" s="43"/>
      <c r="M93" s="34">
        <f t="shared" si="63"/>
        <v>0</v>
      </c>
      <c r="N93" s="43"/>
      <c r="O93" s="43"/>
      <c r="P93" s="43"/>
      <c r="Q93" s="34">
        <f t="shared" si="64"/>
        <v>0</v>
      </c>
      <c r="R93" s="43"/>
      <c r="S93" s="43"/>
      <c r="T93" s="43"/>
      <c r="U93" s="34">
        <f t="shared" si="65"/>
        <v>0</v>
      </c>
      <c r="V93" s="34">
        <f t="shared" si="59"/>
        <v>0</v>
      </c>
    </row>
    <row r="94" spans="1:22" ht="13.15" outlineLevel="2">
      <c r="A94" s="24"/>
      <c r="B94" s="27"/>
      <c r="C94" s="28" t="s">
        <v>44</v>
      </c>
      <c r="D94" s="27"/>
      <c r="E94" s="9">
        <v>0</v>
      </c>
      <c r="F94" s="43">
        <v>4000</v>
      </c>
      <c r="G94" s="43">
        <v>4000</v>
      </c>
      <c r="H94" s="43">
        <v>4000</v>
      </c>
      <c r="I94" s="34">
        <f t="shared" si="62"/>
        <v>12000</v>
      </c>
      <c r="J94" s="43">
        <v>4000</v>
      </c>
      <c r="K94" s="43">
        <v>4000</v>
      </c>
      <c r="L94" s="43">
        <v>4000</v>
      </c>
      <c r="M94" s="34">
        <f t="shared" si="63"/>
        <v>12000</v>
      </c>
      <c r="N94" s="43">
        <v>4000</v>
      </c>
      <c r="O94" s="43">
        <v>4000</v>
      </c>
      <c r="P94" s="43">
        <v>4000</v>
      </c>
      <c r="Q94" s="34">
        <f t="shared" si="64"/>
        <v>12000</v>
      </c>
      <c r="R94" s="43">
        <v>4000</v>
      </c>
      <c r="S94" s="43">
        <v>4000</v>
      </c>
      <c r="T94" s="43">
        <v>4000</v>
      </c>
      <c r="U94" s="34">
        <f t="shared" si="65"/>
        <v>12000</v>
      </c>
      <c r="V94" s="34">
        <f t="shared" si="59"/>
        <v>48000</v>
      </c>
    </row>
    <row r="95" spans="1:22" ht="13.15" outlineLevel="2">
      <c r="A95" s="24"/>
      <c r="B95" s="27"/>
      <c r="C95" s="28" t="s">
        <v>51</v>
      </c>
      <c r="D95" s="27"/>
      <c r="E95" s="9">
        <v>0</v>
      </c>
      <c r="F95" s="43">
        <v>103000</v>
      </c>
      <c r="G95" s="43">
        <v>103000</v>
      </c>
      <c r="H95" s="43">
        <v>103000</v>
      </c>
      <c r="I95" s="34">
        <f t="shared" si="62"/>
        <v>309000</v>
      </c>
      <c r="J95" s="43">
        <v>103000</v>
      </c>
      <c r="K95" s="43">
        <v>103000</v>
      </c>
      <c r="L95" s="43">
        <v>103000</v>
      </c>
      <c r="M95" s="34">
        <f t="shared" si="63"/>
        <v>309000</v>
      </c>
      <c r="N95" s="43">
        <v>103000</v>
      </c>
      <c r="O95" s="43">
        <v>103000</v>
      </c>
      <c r="P95" s="43">
        <v>103000</v>
      </c>
      <c r="Q95" s="34">
        <f t="shared" si="64"/>
        <v>309000</v>
      </c>
      <c r="R95" s="43">
        <v>103000</v>
      </c>
      <c r="S95" s="43">
        <v>103000</v>
      </c>
      <c r="T95" s="43">
        <v>103000</v>
      </c>
      <c r="U95" s="34">
        <f t="shared" si="65"/>
        <v>309000</v>
      </c>
      <c r="V95" s="34">
        <f t="shared" si="59"/>
        <v>1236000</v>
      </c>
    </row>
    <row r="96" spans="1:22" ht="13.15" outlineLevel="2">
      <c r="A96" s="24"/>
      <c r="B96" s="27"/>
      <c r="C96" s="28" t="s">
        <v>50</v>
      </c>
      <c r="D96" s="27"/>
      <c r="E96" s="9">
        <v>0</v>
      </c>
      <c r="F96" s="43"/>
      <c r="G96" s="43"/>
      <c r="H96" s="43"/>
      <c r="I96" s="34">
        <f t="shared" si="62"/>
        <v>0</v>
      </c>
      <c r="J96" s="43"/>
      <c r="K96" s="43"/>
      <c r="L96" s="43"/>
      <c r="M96" s="34">
        <f t="shared" si="63"/>
        <v>0</v>
      </c>
      <c r="N96" s="43"/>
      <c r="O96" s="43"/>
      <c r="P96" s="43"/>
      <c r="Q96" s="34">
        <f t="shared" si="64"/>
        <v>0</v>
      </c>
      <c r="R96" s="43"/>
      <c r="S96" s="43"/>
      <c r="T96" s="43"/>
      <c r="U96" s="34">
        <f t="shared" si="65"/>
        <v>0</v>
      </c>
      <c r="V96" s="34">
        <f t="shared" si="59"/>
        <v>0</v>
      </c>
    </row>
    <row r="97" spans="1:22" ht="13.15" outlineLevel="1">
      <c r="A97" s="24"/>
      <c r="B97" s="24" t="s">
        <v>17</v>
      </c>
      <c r="C97" s="24"/>
      <c r="D97" s="24"/>
      <c r="E97" s="8"/>
      <c r="F97" s="44">
        <f t="shared" ref="F97:H97" si="66">SUM(F91:F96)</f>
        <v>114000</v>
      </c>
      <c r="G97" s="44">
        <f t="shared" ref="G97" si="67">SUM(G91:G96)</f>
        <v>114000</v>
      </c>
      <c r="H97" s="44">
        <f t="shared" si="66"/>
        <v>114000</v>
      </c>
      <c r="I97" s="35">
        <f>SUM(I91:I96)</f>
        <v>342000</v>
      </c>
      <c r="J97" s="44">
        <f t="shared" ref="J97:L97" si="68">SUM(J91:J96)</f>
        <v>114000</v>
      </c>
      <c r="K97" s="44">
        <f t="shared" si="68"/>
        <v>114000</v>
      </c>
      <c r="L97" s="44">
        <f t="shared" si="68"/>
        <v>114000</v>
      </c>
      <c r="M97" s="35">
        <f>SUM(M91:M96)</f>
        <v>342000</v>
      </c>
      <c r="N97" s="44">
        <f t="shared" ref="N97:P97" si="69">SUM(N91:N96)</f>
        <v>114000</v>
      </c>
      <c r="O97" s="44">
        <f t="shared" si="69"/>
        <v>114000</v>
      </c>
      <c r="P97" s="44">
        <f t="shared" si="69"/>
        <v>114000</v>
      </c>
      <c r="Q97" s="35">
        <f>SUM(Q91:Q96)</f>
        <v>342000</v>
      </c>
      <c r="R97" s="44">
        <f t="shared" ref="R97:T97" si="70">SUM(R91:R96)</f>
        <v>114000</v>
      </c>
      <c r="S97" s="44">
        <f t="shared" si="70"/>
        <v>114000</v>
      </c>
      <c r="T97" s="44">
        <f t="shared" si="70"/>
        <v>114000</v>
      </c>
      <c r="U97" s="35">
        <f>SUM(U91:U96)</f>
        <v>342000</v>
      </c>
      <c r="V97" s="35">
        <f t="shared" si="59"/>
        <v>1368000</v>
      </c>
    </row>
    <row r="98" spans="1:22" ht="13.15" outlineLevel="2">
      <c r="A98" s="24"/>
      <c r="B98" s="26" t="s">
        <v>18</v>
      </c>
      <c r="C98" s="27"/>
      <c r="D98" s="27"/>
      <c r="E98" s="9"/>
      <c r="F98" s="129"/>
      <c r="G98" s="129"/>
      <c r="H98" s="129"/>
      <c r="I98" s="36"/>
      <c r="J98" s="129"/>
      <c r="K98" s="129"/>
      <c r="L98" s="129"/>
      <c r="M98" s="36"/>
      <c r="N98" s="129"/>
      <c r="O98" s="129"/>
      <c r="P98" s="129"/>
      <c r="Q98" s="36"/>
      <c r="R98" s="129"/>
      <c r="S98" s="129"/>
      <c r="T98" s="129"/>
      <c r="U98" s="36"/>
      <c r="V98" s="36"/>
    </row>
    <row r="99" spans="1:22" ht="13.15" outlineLevel="2">
      <c r="A99" s="24"/>
      <c r="B99" s="27"/>
      <c r="C99" s="28" t="s">
        <v>68</v>
      </c>
      <c r="D99" s="27"/>
      <c r="E99" s="9">
        <v>0</v>
      </c>
      <c r="F99" s="96"/>
      <c r="G99" s="96"/>
      <c r="H99" s="96"/>
      <c r="I99" s="34">
        <f t="shared" ref="I99:I105" si="71">SUM(F99:H99)</f>
        <v>0</v>
      </c>
      <c r="J99" s="96"/>
      <c r="K99" s="96"/>
      <c r="L99" s="96"/>
      <c r="M99" s="34">
        <f t="shared" ref="M99:M105" si="72">SUM(J99:L99)</f>
        <v>0</v>
      </c>
      <c r="N99" s="96"/>
      <c r="O99" s="96"/>
      <c r="P99" s="96"/>
      <c r="Q99" s="34">
        <f t="shared" ref="Q99:Q105" si="73">SUM(N99:P99)</f>
        <v>0</v>
      </c>
      <c r="R99" s="96"/>
      <c r="S99" s="96"/>
      <c r="T99" s="96"/>
      <c r="U99" s="34">
        <f t="shared" ref="U99:U105" si="74">SUM(R99:T99)</f>
        <v>0</v>
      </c>
      <c r="V99" s="34">
        <f t="shared" ref="V99:V106" si="75">I99+M99+Q99+U99</f>
        <v>0</v>
      </c>
    </row>
    <row r="100" spans="1:22" ht="13.15" outlineLevel="2">
      <c r="A100" s="24"/>
      <c r="B100" s="27"/>
      <c r="C100" s="28" t="s">
        <v>45</v>
      </c>
      <c r="D100" s="27"/>
      <c r="E100" s="9">
        <v>0</v>
      </c>
      <c r="F100" s="96"/>
      <c r="G100" s="96"/>
      <c r="H100" s="96"/>
      <c r="I100" s="34">
        <f t="shared" si="71"/>
        <v>0</v>
      </c>
      <c r="J100" s="96"/>
      <c r="K100" s="96"/>
      <c r="L100" s="96"/>
      <c r="M100" s="34">
        <f t="shared" si="72"/>
        <v>0</v>
      </c>
      <c r="N100" s="96"/>
      <c r="O100" s="96"/>
      <c r="P100" s="96"/>
      <c r="Q100" s="34">
        <f t="shared" si="73"/>
        <v>0</v>
      </c>
      <c r="R100" s="96"/>
      <c r="S100" s="96"/>
      <c r="T100" s="96"/>
      <c r="U100" s="34">
        <f t="shared" si="74"/>
        <v>0</v>
      </c>
      <c r="V100" s="34">
        <f t="shared" si="75"/>
        <v>0</v>
      </c>
    </row>
    <row r="101" spans="1:22" ht="13.15" outlineLevel="2">
      <c r="A101" s="24"/>
      <c r="B101" s="27"/>
      <c r="C101" s="28" t="s">
        <v>94</v>
      </c>
      <c r="D101" s="27"/>
      <c r="E101" s="9">
        <v>0</v>
      </c>
      <c r="F101" s="96"/>
      <c r="G101" s="96"/>
      <c r="H101" s="96"/>
      <c r="I101" s="34">
        <f t="shared" si="71"/>
        <v>0</v>
      </c>
      <c r="J101" s="96"/>
      <c r="K101" s="96"/>
      <c r="L101" s="96"/>
      <c r="M101" s="34">
        <f t="shared" si="72"/>
        <v>0</v>
      </c>
      <c r="N101" s="96"/>
      <c r="O101" s="96"/>
      <c r="P101" s="96"/>
      <c r="Q101" s="34">
        <f t="shared" si="73"/>
        <v>0</v>
      </c>
      <c r="R101" s="96"/>
      <c r="S101" s="96"/>
      <c r="T101" s="96"/>
      <c r="U101" s="34">
        <f t="shared" si="74"/>
        <v>0</v>
      </c>
      <c r="V101" s="34">
        <f t="shared" si="75"/>
        <v>0</v>
      </c>
    </row>
    <row r="102" spans="1:22" ht="13.15" outlineLevel="2">
      <c r="A102" s="24"/>
      <c r="B102" s="27"/>
      <c r="C102" s="28" t="s">
        <v>46</v>
      </c>
      <c r="D102" s="27"/>
      <c r="E102" s="9">
        <v>0</v>
      </c>
      <c r="F102" s="96"/>
      <c r="G102" s="96"/>
      <c r="H102" s="96"/>
      <c r="I102" s="34">
        <f t="shared" si="71"/>
        <v>0</v>
      </c>
      <c r="J102" s="96"/>
      <c r="K102" s="96"/>
      <c r="L102" s="96"/>
      <c r="M102" s="34">
        <f t="shared" si="72"/>
        <v>0</v>
      </c>
      <c r="N102" s="96"/>
      <c r="O102" s="96"/>
      <c r="P102" s="96"/>
      <c r="Q102" s="34">
        <f t="shared" si="73"/>
        <v>0</v>
      </c>
      <c r="R102" s="96"/>
      <c r="S102" s="96"/>
      <c r="T102" s="96"/>
      <c r="U102" s="34">
        <f t="shared" si="74"/>
        <v>0</v>
      </c>
      <c r="V102" s="34">
        <f t="shared" si="75"/>
        <v>0</v>
      </c>
    </row>
    <row r="103" spans="1:22" ht="13.15" outlineLevel="2">
      <c r="A103" s="24"/>
      <c r="B103" s="27"/>
      <c r="C103" s="28" t="s">
        <v>111</v>
      </c>
      <c r="D103" s="27"/>
      <c r="E103" s="9">
        <v>0</v>
      </c>
      <c r="F103" s="96"/>
      <c r="G103" s="96"/>
      <c r="H103" s="96"/>
      <c r="I103" s="34">
        <f t="shared" si="71"/>
        <v>0</v>
      </c>
      <c r="J103" s="96"/>
      <c r="K103" s="96"/>
      <c r="L103" s="96"/>
      <c r="M103" s="34">
        <f t="shared" si="72"/>
        <v>0</v>
      </c>
      <c r="N103" s="96"/>
      <c r="O103" s="96"/>
      <c r="P103" s="96"/>
      <c r="Q103" s="34">
        <f t="shared" si="73"/>
        <v>0</v>
      </c>
      <c r="R103" s="96"/>
      <c r="S103" s="96"/>
      <c r="T103" s="96"/>
      <c r="U103" s="34">
        <f t="shared" si="74"/>
        <v>0</v>
      </c>
      <c r="V103" s="34">
        <f t="shared" si="75"/>
        <v>0</v>
      </c>
    </row>
    <row r="104" spans="1:22" ht="13.15" outlineLevel="2">
      <c r="A104" s="24"/>
      <c r="B104" s="27"/>
      <c r="C104" s="28" t="s">
        <v>115</v>
      </c>
      <c r="D104" s="27"/>
      <c r="E104" s="9">
        <v>0</v>
      </c>
      <c r="F104" s="96"/>
      <c r="G104" s="96"/>
      <c r="H104" s="96"/>
      <c r="I104" s="34">
        <f t="shared" si="71"/>
        <v>0</v>
      </c>
      <c r="J104" s="96"/>
      <c r="K104" s="96"/>
      <c r="L104" s="96"/>
      <c r="M104" s="34">
        <f t="shared" si="72"/>
        <v>0</v>
      </c>
      <c r="N104" s="96"/>
      <c r="O104" s="96"/>
      <c r="P104" s="96"/>
      <c r="Q104" s="34">
        <f t="shared" si="73"/>
        <v>0</v>
      </c>
      <c r="R104" s="96"/>
      <c r="S104" s="96"/>
      <c r="T104" s="96"/>
      <c r="U104" s="34">
        <f t="shared" si="74"/>
        <v>0</v>
      </c>
      <c r="V104" s="34">
        <f t="shared" si="75"/>
        <v>0</v>
      </c>
    </row>
    <row r="105" spans="1:22" ht="13.15" outlineLevel="2">
      <c r="A105" s="24"/>
      <c r="B105" s="27"/>
      <c r="C105" s="28" t="s">
        <v>26</v>
      </c>
      <c r="D105" s="27"/>
      <c r="E105" s="9"/>
      <c r="F105" s="96"/>
      <c r="G105" s="96"/>
      <c r="H105" s="96"/>
      <c r="I105" s="34">
        <f t="shared" si="71"/>
        <v>0</v>
      </c>
      <c r="J105" s="96"/>
      <c r="K105" s="96"/>
      <c r="L105" s="96"/>
      <c r="M105" s="34">
        <f t="shared" si="72"/>
        <v>0</v>
      </c>
      <c r="N105" s="96"/>
      <c r="O105" s="96"/>
      <c r="P105" s="96"/>
      <c r="Q105" s="34">
        <f t="shared" si="73"/>
        <v>0</v>
      </c>
      <c r="R105" s="96"/>
      <c r="S105" s="96"/>
      <c r="T105" s="96"/>
      <c r="U105" s="34">
        <f t="shared" si="74"/>
        <v>0</v>
      </c>
      <c r="V105" s="34">
        <f t="shared" si="75"/>
        <v>0</v>
      </c>
    </row>
    <row r="106" spans="1:22" ht="13.15" outlineLevel="1">
      <c r="A106" s="24"/>
      <c r="B106" s="29" t="s">
        <v>19</v>
      </c>
      <c r="C106" s="30"/>
      <c r="D106" s="30"/>
      <c r="E106" s="10"/>
      <c r="F106" s="45">
        <f>SUM(F99:F105)</f>
        <v>0</v>
      </c>
      <c r="G106" s="45">
        <f>SUM(G99:G105)</f>
        <v>0</v>
      </c>
      <c r="H106" s="45">
        <f>SUM(H99:H105)</f>
        <v>0</v>
      </c>
      <c r="I106" s="35">
        <f t="shared" ref="I106" si="76">SUM(I99:I105)</f>
        <v>0</v>
      </c>
      <c r="J106" s="45">
        <f>SUM(J99:J105)</f>
        <v>0</v>
      </c>
      <c r="K106" s="45">
        <f>SUM(K99:K105)</f>
        <v>0</v>
      </c>
      <c r="L106" s="45">
        <f>SUM(L99:L105)</f>
        <v>0</v>
      </c>
      <c r="M106" s="35">
        <f t="shared" ref="M106" si="77">SUM(M99:M105)</f>
        <v>0</v>
      </c>
      <c r="N106" s="45">
        <f>SUM(N99:N105)</f>
        <v>0</v>
      </c>
      <c r="O106" s="45">
        <f>SUM(O99:O105)</f>
        <v>0</v>
      </c>
      <c r="P106" s="45">
        <f>SUM(P99:P105)</f>
        <v>0</v>
      </c>
      <c r="Q106" s="35">
        <f t="shared" ref="Q106" si="78">SUM(Q99:Q105)</f>
        <v>0</v>
      </c>
      <c r="R106" s="45">
        <f>SUM(R99:R105)</f>
        <v>0</v>
      </c>
      <c r="S106" s="45">
        <f>SUM(S99:S105)</f>
        <v>0</v>
      </c>
      <c r="T106" s="45">
        <f>SUM(T99:T105)</f>
        <v>0</v>
      </c>
      <c r="U106" s="35">
        <f t="shared" ref="U106" si="79">SUM(U99:U105)</f>
        <v>0</v>
      </c>
      <c r="V106" s="35">
        <f t="shared" si="75"/>
        <v>0</v>
      </c>
    </row>
    <row r="107" spans="1:22" ht="13.15" outlineLevel="2">
      <c r="A107" s="24"/>
      <c r="B107" s="26" t="s">
        <v>20</v>
      </c>
      <c r="C107" s="27"/>
      <c r="D107" s="27"/>
      <c r="E107" s="9"/>
      <c r="F107" s="129"/>
      <c r="G107" s="129"/>
      <c r="H107" s="129"/>
      <c r="I107" s="36"/>
      <c r="J107" s="129"/>
      <c r="K107" s="129"/>
      <c r="L107" s="129"/>
      <c r="M107" s="36"/>
      <c r="N107" s="129"/>
      <c r="O107" s="129"/>
      <c r="P107" s="129"/>
      <c r="Q107" s="36"/>
      <c r="R107" s="129"/>
      <c r="S107" s="129"/>
      <c r="T107" s="129"/>
      <c r="U107" s="36"/>
      <c r="V107" s="36"/>
    </row>
    <row r="108" spans="1:22" ht="13.15" outlineLevel="2">
      <c r="A108" s="24"/>
      <c r="B108" s="27"/>
      <c r="C108" s="28" t="s">
        <v>29</v>
      </c>
      <c r="D108" s="27"/>
      <c r="E108" s="9">
        <v>0</v>
      </c>
      <c r="F108" s="96">
        <v>23000</v>
      </c>
      <c r="G108" s="96">
        <v>0</v>
      </c>
      <c r="H108" s="96"/>
      <c r="I108" s="34">
        <f t="shared" ref="I108:I112" si="80">SUM(F108:H108)</f>
        <v>23000</v>
      </c>
      <c r="J108" s="96"/>
      <c r="K108" s="96"/>
      <c r="L108" s="96"/>
      <c r="M108" s="34">
        <f t="shared" ref="M108:M112" si="81">SUM(J108:L108)</f>
        <v>0</v>
      </c>
      <c r="N108" s="96"/>
      <c r="O108" s="96"/>
      <c r="P108" s="96"/>
      <c r="Q108" s="34">
        <f t="shared" ref="Q108:Q112" si="82">SUM(N108:P108)</f>
        <v>0</v>
      </c>
      <c r="R108" s="96"/>
      <c r="S108" s="96"/>
      <c r="T108" s="96"/>
      <c r="U108" s="34">
        <f t="shared" ref="U108:U112" si="83">SUM(R108:T108)</f>
        <v>0</v>
      </c>
      <c r="V108" s="34">
        <f t="shared" ref="V108:V117" si="84">I108+M108+Q108+U108</f>
        <v>23000</v>
      </c>
    </row>
    <row r="109" spans="1:22" ht="13.15" outlineLevel="2">
      <c r="A109" s="24"/>
      <c r="B109" s="27"/>
      <c r="C109" s="28" t="s">
        <v>33</v>
      </c>
      <c r="D109" s="27"/>
      <c r="E109" s="9">
        <v>0</v>
      </c>
      <c r="F109" s="96"/>
      <c r="G109" s="96"/>
      <c r="H109" s="96"/>
      <c r="I109" s="34">
        <f t="shared" si="80"/>
        <v>0</v>
      </c>
      <c r="J109" s="96"/>
      <c r="K109" s="96"/>
      <c r="L109" s="96"/>
      <c r="M109" s="34">
        <f t="shared" si="81"/>
        <v>0</v>
      </c>
      <c r="N109" s="96"/>
      <c r="O109" s="96"/>
      <c r="P109" s="96"/>
      <c r="Q109" s="34">
        <f t="shared" si="82"/>
        <v>0</v>
      </c>
      <c r="R109" s="96"/>
      <c r="S109" s="96"/>
      <c r="T109" s="96"/>
      <c r="U109" s="34">
        <f t="shared" si="83"/>
        <v>0</v>
      </c>
      <c r="V109" s="34">
        <f t="shared" si="84"/>
        <v>0</v>
      </c>
    </row>
    <row r="110" spans="1:22" ht="13.15" outlineLevel="2">
      <c r="A110" s="24"/>
      <c r="B110" s="27"/>
      <c r="C110" s="28" t="s">
        <v>95</v>
      </c>
      <c r="D110" s="27"/>
      <c r="E110" s="9"/>
      <c r="F110" s="96"/>
      <c r="G110" s="96"/>
      <c r="H110" s="96"/>
      <c r="I110" s="34">
        <f t="shared" si="80"/>
        <v>0</v>
      </c>
      <c r="J110" s="96"/>
      <c r="K110" s="96"/>
      <c r="L110" s="96"/>
      <c r="M110" s="34">
        <f t="shared" si="81"/>
        <v>0</v>
      </c>
      <c r="N110" s="96"/>
      <c r="O110" s="96"/>
      <c r="P110" s="96"/>
      <c r="Q110" s="34">
        <f t="shared" si="82"/>
        <v>0</v>
      </c>
      <c r="R110" s="96"/>
      <c r="S110" s="96"/>
      <c r="T110" s="96"/>
      <c r="U110" s="34">
        <f t="shared" si="83"/>
        <v>0</v>
      </c>
      <c r="V110" s="34">
        <f t="shared" si="84"/>
        <v>0</v>
      </c>
    </row>
    <row r="111" spans="1:22" ht="13.15" outlineLevel="2">
      <c r="A111" s="24"/>
      <c r="B111" s="27"/>
      <c r="C111" s="28" t="s">
        <v>63</v>
      </c>
      <c r="D111" s="27"/>
      <c r="E111" s="9"/>
      <c r="F111" s="96"/>
      <c r="G111" s="96"/>
      <c r="H111" s="96"/>
      <c r="I111" s="34">
        <f t="shared" si="80"/>
        <v>0</v>
      </c>
      <c r="J111" s="96"/>
      <c r="K111" s="96"/>
      <c r="L111" s="96"/>
      <c r="M111" s="34">
        <f t="shared" si="81"/>
        <v>0</v>
      </c>
      <c r="N111" s="96"/>
      <c r="O111" s="96"/>
      <c r="P111" s="96"/>
      <c r="Q111" s="34">
        <f t="shared" si="82"/>
        <v>0</v>
      </c>
      <c r="R111" s="96"/>
      <c r="S111" s="96"/>
      <c r="T111" s="96"/>
      <c r="U111" s="34">
        <f t="shared" si="83"/>
        <v>0</v>
      </c>
      <c r="V111" s="34">
        <f t="shared" si="84"/>
        <v>0</v>
      </c>
    </row>
    <row r="112" spans="1:22" ht="13.15" outlineLevel="2">
      <c r="A112" s="24"/>
      <c r="B112" s="27"/>
      <c r="C112" s="28" t="s">
        <v>153</v>
      </c>
      <c r="D112" s="27"/>
      <c r="E112" s="9">
        <v>0</v>
      </c>
      <c r="F112" s="96"/>
      <c r="G112" s="96"/>
      <c r="H112" s="96"/>
      <c r="I112" s="34">
        <f t="shared" si="80"/>
        <v>0</v>
      </c>
      <c r="J112" s="96"/>
      <c r="K112" s="96"/>
      <c r="L112" s="96"/>
      <c r="M112" s="34">
        <f t="shared" si="81"/>
        <v>0</v>
      </c>
      <c r="N112" s="96"/>
      <c r="O112" s="96"/>
      <c r="P112" s="96"/>
      <c r="Q112" s="34">
        <f t="shared" si="82"/>
        <v>0</v>
      </c>
      <c r="R112" s="96"/>
      <c r="S112" s="96"/>
      <c r="T112" s="96"/>
      <c r="U112" s="34">
        <f t="shared" si="83"/>
        <v>0</v>
      </c>
      <c r="V112" s="34">
        <f t="shared" si="84"/>
        <v>0</v>
      </c>
    </row>
    <row r="113" spans="1:22" ht="13.15" outlineLevel="1">
      <c r="A113" s="24"/>
      <c r="B113" s="30" t="s">
        <v>21</v>
      </c>
      <c r="C113" s="30"/>
      <c r="D113" s="30"/>
      <c r="E113" s="10"/>
      <c r="F113" s="45">
        <f t="shared" ref="F113:V113" si="85">SUM(F108:F112)</f>
        <v>23000</v>
      </c>
      <c r="G113" s="45">
        <f t="shared" si="85"/>
        <v>0</v>
      </c>
      <c r="H113" s="45">
        <f t="shared" si="85"/>
        <v>0</v>
      </c>
      <c r="I113" s="35">
        <f t="shared" si="85"/>
        <v>23000</v>
      </c>
      <c r="J113" s="45">
        <f t="shared" si="85"/>
        <v>0</v>
      </c>
      <c r="K113" s="45">
        <f t="shared" si="85"/>
        <v>0</v>
      </c>
      <c r="L113" s="45">
        <f t="shared" si="85"/>
        <v>0</v>
      </c>
      <c r="M113" s="35">
        <f t="shared" si="85"/>
        <v>0</v>
      </c>
      <c r="N113" s="45">
        <f t="shared" si="85"/>
        <v>0</v>
      </c>
      <c r="O113" s="45">
        <f t="shared" si="85"/>
        <v>0</v>
      </c>
      <c r="P113" s="45">
        <f t="shared" si="85"/>
        <v>0</v>
      </c>
      <c r="Q113" s="35">
        <f t="shared" si="85"/>
        <v>0</v>
      </c>
      <c r="R113" s="45">
        <f t="shared" si="85"/>
        <v>0</v>
      </c>
      <c r="S113" s="45">
        <f t="shared" si="85"/>
        <v>0</v>
      </c>
      <c r="T113" s="45">
        <f t="shared" si="85"/>
        <v>0</v>
      </c>
      <c r="U113" s="35">
        <f t="shared" si="85"/>
        <v>0</v>
      </c>
      <c r="V113" s="35">
        <f t="shared" si="85"/>
        <v>23000</v>
      </c>
    </row>
    <row r="114" spans="1:22" ht="13.15">
      <c r="A114" s="24"/>
      <c r="B114" s="24"/>
      <c r="C114" s="24"/>
      <c r="D114" s="24" t="s">
        <v>22</v>
      </c>
      <c r="E114" s="8"/>
      <c r="F114" s="44">
        <f t="shared" ref="F114:U114" si="86">F88+F89+F97+F106+F113</f>
        <v>137000</v>
      </c>
      <c r="G114" s="44">
        <f t="shared" si="86"/>
        <v>114000</v>
      </c>
      <c r="H114" s="44">
        <f t="shared" si="86"/>
        <v>114000</v>
      </c>
      <c r="I114" s="35">
        <f t="shared" si="86"/>
        <v>365000</v>
      </c>
      <c r="J114" s="44">
        <f t="shared" si="86"/>
        <v>114000</v>
      </c>
      <c r="K114" s="44">
        <f t="shared" si="86"/>
        <v>114000</v>
      </c>
      <c r="L114" s="44">
        <f t="shared" si="86"/>
        <v>114000</v>
      </c>
      <c r="M114" s="35">
        <f t="shared" si="86"/>
        <v>342000</v>
      </c>
      <c r="N114" s="44">
        <f t="shared" si="86"/>
        <v>114000</v>
      </c>
      <c r="O114" s="44">
        <f t="shared" si="86"/>
        <v>114000</v>
      </c>
      <c r="P114" s="44">
        <f t="shared" si="86"/>
        <v>114000</v>
      </c>
      <c r="Q114" s="35">
        <f t="shared" si="86"/>
        <v>342000</v>
      </c>
      <c r="R114" s="44">
        <f t="shared" si="86"/>
        <v>114000</v>
      </c>
      <c r="S114" s="44">
        <f t="shared" si="86"/>
        <v>114000</v>
      </c>
      <c r="T114" s="44">
        <f t="shared" si="86"/>
        <v>114000</v>
      </c>
      <c r="U114" s="35">
        <f t="shared" si="86"/>
        <v>342000</v>
      </c>
      <c r="V114" s="35">
        <f t="shared" si="84"/>
        <v>1391000</v>
      </c>
    </row>
    <row r="115" spans="1:22" ht="13.9">
      <c r="A115" s="11" t="s">
        <v>23</v>
      </c>
      <c r="B115" s="11"/>
      <c r="C115" s="11"/>
      <c r="D115" s="11"/>
      <c r="E115" s="12"/>
      <c r="F115" s="46">
        <f t="shared" ref="F115:U115" si="87">F114+F77</f>
        <v>15021000</v>
      </c>
      <c r="G115" s="46">
        <f t="shared" si="87"/>
        <v>14998000</v>
      </c>
      <c r="H115" s="46">
        <f t="shared" si="87"/>
        <v>14998000</v>
      </c>
      <c r="I115" s="109">
        <f t="shared" si="87"/>
        <v>45017000</v>
      </c>
      <c r="J115" s="46">
        <f t="shared" si="87"/>
        <v>14998000</v>
      </c>
      <c r="K115" s="46">
        <f t="shared" si="87"/>
        <v>14998000</v>
      </c>
      <c r="L115" s="46">
        <f t="shared" si="87"/>
        <v>14998000</v>
      </c>
      <c r="M115" s="109">
        <f t="shared" si="87"/>
        <v>44994000</v>
      </c>
      <c r="N115" s="46">
        <f t="shared" si="87"/>
        <v>14998000</v>
      </c>
      <c r="O115" s="46">
        <f t="shared" si="87"/>
        <v>14998000</v>
      </c>
      <c r="P115" s="46">
        <f t="shared" si="87"/>
        <v>14998000</v>
      </c>
      <c r="Q115" s="109">
        <f t="shared" si="87"/>
        <v>44994000</v>
      </c>
      <c r="R115" s="46">
        <f t="shared" si="87"/>
        <v>14998000</v>
      </c>
      <c r="S115" s="46">
        <f t="shared" si="87"/>
        <v>14998000</v>
      </c>
      <c r="T115" s="46">
        <f t="shared" si="87"/>
        <v>14998000</v>
      </c>
      <c r="U115" s="109">
        <f t="shared" si="87"/>
        <v>44994000</v>
      </c>
      <c r="V115" s="40">
        <f t="shared" si="84"/>
        <v>179999000</v>
      </c>
    </row>
    <row r="116" spans="1:22" s="111" customFormat="1" ht="12.75" customHeight="1">
      <c r="A116" s="462" t="s">
        <v>181</v>
      </c>
      <c r="B116" s="463"/>
      <c r="C116" s="463"/>
      <c r="D116" s="464"/>
      <c r="E116" s="8"/>
      <c r="F116" s="43"/>
      <c r="G116" s="43"/>
      <c r="H116" s="43"/>
      <c r="I116" s="34"/>
      <c r="J116" s="43"/>
      <c r="K116" s="43"/>
      <c r="L116" s="43"/>
      <c r="M116" s="34"/>
      <c r="N116" s="43"/>
      <c r="O116" s="43"/>
      <c r="P116" s="43"/>
      <c r="Q116" s="34"/>
      <c r="R116" s="43"/>
      <c r="S116" s="43"/>
      <c r="T116" s="43"/>
      <c r="U116" s="34"/>
      <c r="V116" s="34"/>
    </row>
    <row r="117" spans="1:22" s="111" customFormat="1" ht="12.75" customHeight="1">
      <c r="A117" s="125"/>
      <c r="B117" s="4"/>
      <c r="C117" s="455" t="s">
        <v>182</v>
      </c>
      <c r="D117" s="456"/>
      <c r="E117" s="8"/>
      <c r="F117" s="138">
        <f>F29-F77</f>
        <v>465051000</v>
      </c>
      <c r="G117" s="138">
        <f>G29-G77-G102-G104</f>
        <v>62087000</v>
      </c>
      <c r="H117" s="138">
        <f>H29-H77-H102-H104</f>
        <v>62087000</v>
      </c>
      <c r="I117" s="35">
        <f>SUM(F117:H117)</f>
        <v>589225000</v>
      </c>
      <c r="J117" s="138">
        <f>J29-J77-J102-J104</f>
        <v>62087000</v>
      </c>
      <c r="K117" s="138">
        <f>K29-K77-K102-K104</f>
        <v>62087000</v>
      </c>
      <c r="L117" s="138">
        <f>L29-L77-L102-L104</f>
        <v>62087000</v>
      </c>
      <c r="M117" s="35">
        <f>SUM(J117:L117)</f>
        <v>186261000</v>
      </c>
      <c r="N117" s="138">
        <f>N29-N77-N102-N104</f>
        <v>62087000</v>
      </c>
      <c r="O117" s="138">
        <f>O29-O77-O102-O104</f>
        <v>62087000</v>
      </c>
      <c r="P117" s="138">
        <f>P29-P77-P102-P104</f>
        <v>62087000</v>
      </c>
      <c r="Q117" s="35">
        <f>SUM(N117:P117)</f>
        <v>186261000</v>
      </c>
      <c r="R117" s="138">
        <f>R29-R77-R102-R104</f>
        <v>62087000</v>
      </c>
      <c r="S117" s="138">
        <f>S29-S77-S102-S104</f>
        <v>62087000</v>
      </c>
      <c r="T117" s="138">
        <f>T29-T77-T102-T104</f>
        <v>62087000</v>
      </c>
      <c r="U117" s="35">
        <f>SUM(R117:T117)</f>
        <v>186261000</v>
      </c>
      <c r="V117" s="35">
        <f t="shared" si="84"/>
        <v>1148008000</v>
      </c>
    </row>
    <row r="118" spans="1:22" ht="13.15" thickBot="1">
      <c r="A118" s="14"/>
      <c r="B118" s="14"/>
      <c r="C118" s="14"/>
      <c r="D118" s="14"/>
      <c r="E118" s="15"/>
      <c r="F118" s="47"/>
      <c r="G118" s="47"/>
      <c r="H118" s="47"/>
      <c r="I118" s="37"/>
      <c r="J118" s="47"/>
      <c r="K118" s="47"/>
      <c r="L118" s="47"/>
      <c r="M118" s="37"/>
      <c r="N118" s="47"/>
      <c r="O118" s="47"/>
      <c r="P118" s="47"/>
      <c r="Q118" s="37"/>
      <c r="R118" s="47"/>
      <c r="S118" s="47"/>
      <c r="T118" s="47"/>
      <c r="U118" s="37"/>
      <c r="V118" s="37"/>
    </row>
    <row r="119" spans="1:22">
      <c r="A119" s="7"/>
      <c r="B119" s="7"/>
      <c r="C119" s="7"/>
      <c r="D119" s="7"/>
      <c r="F119" s="13"/>
      <c r="G119" s="13"/>
      <c r="H119" s="13"/>
      <c r="J119" s="13"/>
      <c r="K119" s="13"/>
      <c r="L119" s="13"/>
      <c r="N119" s="13" t="s">
        <v>86</v>
      </c>
      <c r="O119" s="13"/>
      <c r="P119" s="13"/>
      <c r="R119" s="13"/>
      <c r="S119" s="13"/>
      <c r="T119" s="13"/>
    </row>
    <row r="120" spans="1:22">
      <c r="D120" s="106" t="s">
        <v>232</v>
      </c>
      <c r="F120" s="194"/>
      <c r="G120" s="195"/>
      <c r="H120" s="193"/>
      <c r="I120" s="164"/>
      <c r="J120" s="195"/>
      <c r="L120" s="162"/>
      <c r="M120" s="164"/>
      <c r="N120" s="195"/>
      <c r="O120" s="195"/>
      <c r="P120" s="195"/>
      <c r="R120" s="195"/>
      <c r="S120" s="195"/>
      <c r="T120" s="195"/>
    </row>
    <row r="121" spans="1:22">
      <c r="D121" s="106" t="s">
        <v>233</v>
      </c>
      <c r="F121" s="190"/>
      <c r="G121" s="196"/>
      <c r="H121" s="197"/>
      <c r="I121" s="164"/>
      <c r="J121" s="197"/>
      <c r="K121" s="197"/>
      <c r="L121" s="162"/>
      <c r="M121" s="164"/>
      <c r="N121" s="162"/>
      <c r="O121" s="162"/>
      <c r="P121" s="195"/>
      <c r="R121" s="195"/>
      <c r="S121" s="195"/>
      <c r="T121" s="195"/>
    </row>
    <row r="122" spans="1:22" ht="13.15">
      <c r="D122" s="104" t="s">
        <v>272</v>
      </c>
      <c r="F122" s="140">
        <f>F77</f>
        <v>14884000</v>
      </c>
      <c r="G122" s="140">
        <f>G77</f>
        <v>14884000</v>
      </c>
      <c r="H122" s="140">
        <f>H77</f>
        <v>14884000</v>
      </c>
      <c r="I122" s="157">
        <f>F122+G122+H122</f>
        <v>44652000</v>
      </c>
      <c r="J122" s="140">
        <f>J77</f>
        <v>14884000</v>
      </c>
      <c r="K122" s="140">
        <f>K77</f>
        <v>14884000</v>
      </c>
      <c r="L122" s="140">
        <f>L77</f>
        <v>14884000</v>
      </c>
      <c r="M122" s="157">
        <f>J122+K122+L122</f>
        <v>44652000</v>
      </c>
      <c r="N122" s="140">
        <f>N77</f>
        <v>14884000</v>
      </c>
      <c r="O122" s="140">
        <f>O77</f>
        <v>14884000</v>
      </c>
      <c r="P122" s="140">
        <f>P77</f>
        <v>14884000</v>
      </c>
      <c r="Q122" s="157">
        <f>N122+O122+P122</f>
        <v>44652000</v>
      </c>
      <c r="R122" s="140">
        <f>R77</f>
        <v>14884000</v>
      </c>
      <c r="S122" s="140">
        <f>S77</f>
        <v>14884000</v>
      </c>
      <c r="T122" s="140">
        <f>T77</f>
        <v>14884000</v>
      </c>
      <c r="U122" s="157">
        <f>R122+S122+T122</f>
        <v>44652000</v>
      </c>
      <c r="V122" s="157">
        <f>I122+M122+Q122+U122</f>
        <v>178608000</v>
      </c>
    </row>
    <row r="123" spans="1:22" ht="13.15">
      <c r="D123" s="104" t="s">
        <v>284</v>
      </c>
      <c r="F123" s="141">
        <f>+MKT!F120+SYShin!F121</f>
        <v>13848000</v>
      </c>
      <c r="G123" s="140">
        <f>ROUND(SYShin!G121+MKT!G120,-3)</f>
        <v>14370000</v>
      </c>
      <c r="H123" s="140">
        <f>ROUND(SYShin!H121+MKT!H120,-3)</f>
        <v>14370000</v>
      </c>
      <c r="I123" s="157">
        <f>F123+G123+H123</f>
        <v>42588000</v>
      </c>
      <c r="J123" s="140">
        <f>ROUND(SYShin!J121+MKT!J120,-3)</f>
        <v>14370000</v>
      </c>
      <c r="K123" s="140">
        <f>ROUND(SYShin!K121+MKT!K120,-3)</f>
        <v>14370000</v>
      </c>
      <c r="L123" s="140">
        <f>ROUND(SYShin!L121+MKT!L120,-3)</f>
        <v>14370000</v>
      </c>
      <c r="M123" s="157">
        <f>J123+K123+L123</f>
        <v>43110000</v>
      </c>
      <c r="N123" s="140">
        <f>ROUND(SYShin!N121+MKT!N120,-3)</f>
        <v>14370000</v>
      </c>
      <c r="O123" s="140">
        <f>ROUND(SYShin!O121+MKT!O120,-3)</f>
        <v>14370000</v>
      </c>
      <c r="P123" s="140">
        <f>ROUND(SYShin!P121+MKT!P120,-3)</f>
        <v>14370000</v>
      </c>
      <c r="Q123" s="157">
        <f>N123+O123+P123</f>
        <v>43110000</v>
      </c>
      <c r="R123" s="140">
        <f>ROUND(SYShin!R121+MKT!R120,-3)</f>
        <v>14370000</v>
      </c>
      <c r="S123" s="140">
        <f>ROUND(SYShin!S121+MKT!S120,-3)</f>
        <v>14370000</v>
      </c>
      <c r="T123" s="140">
        <f>ROUND(SYShin!T121+MKT!T120,-3)</f>
        <v>14370000</v>
      </c>
      <c r="U123" s="157">
        <f>R123+S123+T123</f>
        <v>43110000</v>
      </c>
      <c r="V123" s="157">
        <f t="shared" ref="V123:V126" si="88">I123+M123+Q123+U123</f>
        <v>171918000</v>
      </c>
    </row>
    <row r="124" spans="1:22" ht="13.15">
      <c r="D124" s="104" t="s">
        <v>281</v>
      </c>
      <c r="F124" s="140">
        <f>F122+F123</f>
        <v>28732000</v>
      </c>
      <c r="G124" s="140">
        <f t="shared" ref="G124:H124" si="89">G122+G123</f>
        <v>29254000</v>
      </c>
      <c r="H124" s="140">
        <f t="shared" si="89"/>
        <v>29254000</v>
      </c>
      <c r="I124" s="157">
        <f t="shared" ref="I124:I126" si="90">F124+G124+H124</f>
        <v>87240000</v>
      </c>
      <c r="J124" s="140">
        <f>J122+J123</f>
        <v>29254000</v>
      </c>
      <c r="K124" s="140">
        <f t="shared" ref="K124" si="91">K122+K123</f>
        <v>29254000</v>
      </c>
      <c r="L124" s="140">
        <f t="shared" ref="L124" si="92">L122+L123</f>
        <v>29254000</v>
      </c>
      <c r="M124" s="157">
        <f>J124+K124+L124</f>
        <v>87762000</v>
      </c>
      <c r="N124" s="140">
        <f>N122+N123</f>
        <v>29254000</v>
      </c>
      <c r="O124" s="140">
        <f t="shared" ref="O124" si="93">O122+O123</f>
        <v>29254000</v>
      </c>
      <c r="P124" s="140">
        <f t="shared" ref="P124" si="94">P122+P123</f>
        <v>29254000</v>
      </c>
      <c r="Q124" s="157">
        <f t="shared" ref="Q124:Q126" si="95">N124+O124+P124</f>
        <v>87762000</v>
      </c>
      <c r="R124" s="140">
        <f>R122+R123</f>
        <v>29254000</v>
      </c>
      <c r="S124" s="140">
        <f t="shared" ref="S124" si="96">S122+S123</f>
        <v>29254000</v>
      </c>
      <c r="T124" s="140">
        <f t="shared" ref="T124" si="97">T122+T123</f>
        <v>29254000</v>
      </c>
      <c r="U124" s="157">
        <f>R124+S124+T124</f>
        <v>87762000</v>
      </c>
      <c r="V124" s="157">
        <f t="shared" si="88"/>
        <v>350526000</v>
      </c>
    </row>
    <row r="125" spans="1:22" ht="13.15">
      <c r="D125" s="105" t="s">
        <v>207</v>
      </c>
      <c r="F125" s="141">
        <f>ROUND((간접!F124*F124)/(TST!F124+SDT!F124+TSG!F124),-3)</f>
        <v>8553000</v>
      </c>
      <c r="G125" s="141">
        <f>ROUND((간접!G124*G124)/(TST!G124+SDT!G124+TSG!G124),-3)</f>
        <v>8371000</v>
      </c>
      <c r="H125" s="141">
        <f>ROUND((간접!H124*H124)/(TST!H124+SDT!H124+TSG!H124),-3)</f>
        <v>8371000</v>
      </c>
      <c r="I125" s="157">
        <f t="shared" si="90"/>
        <v>25295000</v>
      </c>
      <c r="J125" s="141">
        <f>ROUND((간접!J124*J124)/(TST!J124+SDT!J124+TSG!J124),-3)</f>
        <v>8371000</v>
      </c>
      <c r="K125" s="141">
        <f>ROUND((간접!K124*K124)/(TST!K124+SDT!K124+TSG!K124),-3)</f>
        <v>8371000</v>
      </c>
      <c r="L125" s="141">
        <f>ROUND((간접!L124*L124)/(TST!L124+SDT!L124+TSG!L124),-3)</f>
        <v>8371000</v>
      </c>
      <c r="M125" s="157">
        <f t="shared" ref="M125:M126" si="98">J125+K125+L125</f>
        <v>25113000</v>
      </c>
      <c r="N125" s="141">
        <f>ROUND((간접!N124*N124)/(TST!N124+SDT!N124+TSG!N124),-3)</f>
        <v>8371000</v>
      </c>
      <c r="O125" s="141">
        <f>ROUND((간접!O124*O124)/(TST!O124+SDT!O124+TSG!O124),-3)</f>
        <v>8371000</v>
      </c>
      <c r="P125" s="141">
        <f>ROUND((간접!P124*P124)/(TST!P124+SDT!P124+TSG!P124),-3)</f>
        <v>8371000</v>
      </c>
      <c r="Q125" s="157">
        <f t="shared" si="95"/>
        <v>25113000</v>
      </c>
      <c r="R125" s="141">
        <f>ROUND((간접!R124*R124)/(TST!R124+SDT!R124+TSG!R124),-3)</f>
        <v>8371000</v>
      </c>
      <c r="S125" s="141">
        <f>ROUND((간접!S124*S124)/(TST!S124+SDT!S124+TSG!S124),-3)</f>
        <v>8371000</v>
      </c>
      <c r="T125" s="141">
        <f>ROUND((간접!T124*T124)/(TST!T124+SDT!T124+TSG!T124),-3)</f>
        <v>8371000</v>
      </c>
      <c r="U125" s="157">
        <f t="shared" ref="U125:U126" si="99">R125+S125+T125</f>
        <v>25113000</v>
      </c>
      <c r="V125" s="157">
        <f t="shared" si="88"/>
        <v>100634000</v>
      </c>
    </row>
    <row r="126" spans="1:22" ht="13.15">
      <c r="D126" s="105" t="s">
        <v>282</v>
      </c>
      <c r="F126" s="141">
        <f>F124+F125</f>
        <v>37285000</v>
      </c>
      <c r="G126" s="141">
        <f t="shared" ref="G126:H126" si="100">SUM(G123:G125)</f>
        <v>51995000</v>
      </c>
      <c r="H126" s="141">
        <f t="shared" si="100"/>
        <v>51995000</v>
      </c>
      <c r="I126" s="157">
        <f t="shared" si="90"/>
        <v>141275000</v>
      </c>
      <c r="J126" s="141">
        <f>J124+J125</f>
        <v>37625000</v>
      </c>
      <c r="K126" s="141">
        <f t="shared" ref="K126" si="101">SUM(K123:K125)</f>
        <v>51995000</v>
      </c>
      <c r="L126" s="141">
        <f t="shared" ref="L126" si="102">SUM(L123:L125)</f>
        <v>51995000</v>
      </c>
      <c r="M126" s="157">
        <f t="shared" si="98"/>
        <v>141615000</v>
      </c>
      <c r="N126" s="141">
        <f>N124+N125</f>
        <v>37625000</v>
      </c>
      <c r="O126" s="141">
        <f t="shared" ref="O126" si="103">SUM(O123:O125)</f>
        <v>51995000</v>
      </c>
      <c r="P126" s="141">
        <f t="shared" ref="P126" si="104">SUM(P123:P125)</f>
        <v>51995000</v>
      </c>
      <c r="Q126" s="157">
        <f t="shared" si="95"/>
        <v>141615000</v>
      </c>
      <c r="R126" s="141">
        <f>R124+R125</f>
        <v>37625000</v>
      </c>
      <c r="S126" s="141">
        <f t="shared" ref="S126" si="105">SUM(S123:S125)</f>
        <v>51995000</v>
      </c>
      <c r="T126" s="141">
        <f t="shared" ref="T126" si="106">SUM(T123:T125)</f>
        <v>51995000</v>
      </c>
      <c r="U126" s="157">
        <f t="shared" si="99"/>
        <v>141615000</v>
      </c>
      <c r="V126" s="157">
        <f t="shared" si="88"/>
        <v>566120000</v>
      </c>
    </row>
    <row r="127" spans="1:22" ht="13.15">
      <c r="D127" s="94" t="s">
        <v>209</v>
      </c>
      <c r="F127" s="142">
        <f>F126/(SDT!F126+TST!F126+TSG!F126)</f>
        <v>0.12773822656790665</v>
      </c>
      <c r="G127" s="142">
        <f>G126/(SDT!G126+TST!G126+TSG!G126)</f>
        <v>0.17822864821137208</v>
      </c>
      <c r="H127" s="142">
        <f>H126/(SDT!H126+TST!H126+TSG!H126)</f>
        <v>0.17822864821137208</v>
      </c>
      <c r="I127" s="158">
        <f>AVERAGE(F127:H127)</f>
        <v>0.16139850766355027</v>
      </c>
      <c r="J127" s="142">
        <f>J126/(SDT!J126+TST!J126+TSG!J126)</f>
        <v>0.12897111047125445</v>
      </c>
      <c r="K127" s="142">
        <f>K126/(SDT!K126+TST!K126+TSG!K126)</f>
        <v>0.17822864821137208</v>
      </c>
      <c r="L127" s="142">
        <f>L126/(SDT!L126+TST!L126+TSG!L126)</f>
        <v>0.17822864821137208</v>
      </c>
      <c r="M127" s="158">
        <f>AVERAGE(J127:L127)</f>
        <v>0.16180946896466619</v>
      </c>
      <c r="N127" s="142">
        <f>N126/(SDT!N126+TST!N126+TSG!N126)</f>
        <v>0.12897111047125445</v>
      </c>
      <c r="O127" s="142">
        <f>O126/(SDT!O126+TST!O126+TSG!O126)</f>
        <v>0.17822864821137208</v>
      </c>
      <c r="P127" s="142">
        <f>P126/(SDT!P126+TST!P126+TSG!P126)</f>
        <v>0.17822864821137208</v>
      </c>
      <c r="Q127" s="158">
        <f>AVERAGE(N127:P127)</f>
        <v>0.16180946896466619</v>
      </c>
      <c r="R127" s="142">
        <f>R126/(SDT!R126+TST!R126+TSG!R126)</f>
        <v>0.12865755036024115</v>
      </c>
      <c r="S127" s="142">
        <f>S126/(SDT!S126+TST!S126+TSG!S126)</f>
        <v>0.17822864821137208</v>
      </c>
      <c r="T127" s="142">
        <f>T126/(SDT!T126+TST!T126+TSG!T126)</f>
        <v>0.17822864821137208</v>
      </c>
      <c r="U127" s="158">
        <f>AVERAGE(R127:T127)</f>
        <v>0.16170494892766177</v>
      </c>
      <c r="V127" s="158">
        <f>AVERAGE(I127,M127,Q127,U127)</f>
        <v>0.16168059863013609</v>
      </c>
    </row>
    <row r="129" spans="4:22" ht="13.15">
      <c r="D129" s="104" t="s">
        <v>280</v>
      </c>
      <c r="F129" s="141">
        <f>ROUND(간접!F29*(F124/(SDT!F124+'TST1'!F124+'TST2'!F124+TSG!F124)),-3)</f>
        <v>0</v>
      </c>
      <c r="G129" s="141">
        <f>간접!G29*(G124/(SDT!G124+'TST1'!G124+'TST2'!G124+TSG!G124))</f>
        <v>0</v>
      </c>
      <c r="H129" s="141">
        <f>간접!H29*(H124/(SDT!H124+'TST1'!H124+'TST2'!H124+TSG!H124))</f>
        <v>0</v>
      </c>
      <c r="I129" s="157">
        <f t="shared" ref="I129" si="107">F129+G129+H129</f>
        <v>0</v>
      </c>
      <c r="J129" s="141">
        <f>간접!J29*(J124/(SDT!J124+'TST1'!J124+'TST2'!J124+TSG!J124))</f>
        <v>0</v>
      </c>
      <c r="K129" s="141">
        <f>간접!K29*(K124/(SDT!K124+'TST1'!K124+'TST2'!K124+TSG!K124))</f>
        <v>0</v>
      </c>
      <c r="L129" s="141">
        <f>간접!L29*(L124/(SDT!L124+'TST1'!L124+'TST2'!L124+TSG!L124))</f>
        <v>0</v>
      </c>
      <c r="M129" s="157">
        <f t="shared" ref="M129" si="108">J129+K129+L129</f>
        <v>0</v>
      </c>
      <c r="N129" s="141">
        <f>간접!N29*(N124/(SDT!N124+'TST1'!N124+'TST2'!N124+TSG!N124))</f>
        <v>0</v>
      </c>
      <c r="O129" s="141">
        <f>간접!O29*(O124/(SDT!O124+'TST1'!O124+'TST2'!O124+TSG!O124))</f>
        <v>0</v>
      </c>
      <c r="P129" s="141">
        <f>간접!P29*(P124/(SDT!P124+'TST1'!P124+'TST2'!P124+TSG!P124))</f>
        <v>0</v>
      </c>
      <c r="Q129" s="157">
        <f t="shared" ref="Q129" si="109">N129+O129+P129</f>
        <v>0</v>
      </c>
      <c r="R129" s="141">
        <f>간접!R29*(R124/(SDT!R124+'TST1'!R124+'TST2'!R124+TSG!R124))</f>
        <v>0</v>
      </c>
      <c r="S129" s="141">
        <f>간접!S29*(S124/(SDT!S124+'TST1'!S124+'TST2'!S124+TSG!S124))</f>
        <v>0</v>
      </c>
      <c r="T129" s="141">
        <f>간접!T29*(T124/(SDT!T124+'TST1'!T124+'TST2'!T124+TSG!T124))</f>
        <v>0</v>
      </c>
      <c r="U129" s="157">
        <f t="shared" ref="U129" si="110">R129+S129+T129</f>
        <v>0</v>
      </c>
      <c r="V129" s="157">
        <f t="shared" ref="V129" si="111">I129+M129+Q129+U129</f>
        <v>0</v>
      </c>
    </row>
    <row r="130" spans="4:22">
      <c r="F130" s="39">
        <f>F12+F129</f>
        <v>581480000</v>
      </c>
    </row>
    <row r="131" spans="4:22">
      <c r="F131" s="264"/>
      <c r="G131" s="3" t="s">
        <v>87</v>
      </c>
    </row>
  </sheetData>
  <mergeCells count="17">
    <mergeCell ref="C117:D117"/>
    <mergeCell ref="C24:D24"/>
    <mergeCell ref="C25:D25"/>
    <mergeCell ref="A26:D26"/>
    <mergeCell ref="A28:D28"/>
    <mergeCell ref="C29:D29"/>
    <mergeCell ref="A116:D116"/>
    <mergeCell ref="A15:A25"/>
    <mergeCell ref="C15:D15"/>
    <mergeCell ref="C21:D21"/>
    <mergeCell ref="C22:D22"/>
    <mergeCell ref="C23:D23"/>
    <mergeCell ref="A3:D3"/>
    <mergeCell ref="A4:A11"/>
    <mergeCell ref="B5:B10"/>
    <mergeCell ref="A12:D12"/>
    <mergeCell ref="A14:D14"/>
  </mergeCells>
  <phoneticPr fontId="8" type="noConversion"/>
  <pageMargins left="0.59055118110236227" right="0.39370078740157483" top="0.78740157480314965" bottom="0.39370078740157483" header="0.31496062992125984" footer="0.51181102362204722"/>
  <pageSetup scale="10" fitToHeight="2" orientation="portrait" r:id="rId1"/>
  <headerFooter alignWithMargins="0">
    <oddHeader>&amp;L&amp;Z&amp;F&amp;A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U127"/>
  <sheetViews>
    <sheetView workbookViewId="0">
      <pane xSplit="4" ySplit="2" topLeftCell="H52" activePane="bottomRight" state="frozen"/>
      <selection activeCell="G36" sqref="G36"/>
      <selection pane="topRight" activeCell="G36" sqref="G36"/>
      <selection pane="bottomLeft" activeCell="G36" sqref="G36"/>
      <selection pane="bottomRight" activeCell="W71" sqref="W71"/>
    </sheetView>
  </sheetViews>
  <sheetFormatPr defaultColWidth="8.87890625" defaultRowHeight="12.75" outlineLevelRow="2" outlineLevelCol="1"/>
  <cols>
    <col min="1" max="3" width="1.3515625" style="3" customWidth="1"/>
    <col min="4" max="4" width="21.1171875" style="3" customWidth="1"/>
    <col min="5" max="5" width="1.64453125" style="7" customWidth="1"/>
    <col min="6" max="6" width="10.234375" style="3" customWidth="1" outlineLevel="1"/>
    <col min="7" max="8" width="10.87890625" style="3" customWidth="1" outlineLevel="1"/>
    <col min="9" max="9" width="10.87890625" style="3" bestFit="1" customWidth="1"/>
    <col min="10" max="10" width="10.234375" style="3" customWidth="1" outlineLevel="1"/>
    <col min="11" max="12" width="10.87890625" style="3" customWidth="1" outlineLevel="1"/>
    <col min="13" max="13" width="10.87890625" style="3" bestFit="1" customWidth="1"/>
    <col min="14" max="14" width="10.234375" style="3" customWidth="1" outlineLevel="1"/>
    <col min="15" max="16" width="10.87890625" style="3" customWidth="1" outlineLevel="1"/>
    <col min="17" max="17" width="10.87890625" style="3" bestFit="1" customWidth="1"/>
    <col min="18" max="20" width="10.234375" style="3" customWidth="1" outlineLevel="1"/>
    <col min="21" max="22" width="10.87890625" style="3" bestFit="1" customWidth="1"/>
    <col min="23" max="16384" width="8.87890625" style="3"/>
  </cols>
  <sheetData>
    <row r="1" spans="1:47" ht="13.9" thickBot="1">
      <c r="A1" s="1"/>
      <c r="B1" s="1"/>
      <c r="C1" s="1"/>
      <c r="D1" s="38"/>
      <c r="E1" s="2"/>
      <c r="F1" s="18" t="s">
        <v>69</v>
      </c>
      <c r="G1" s="18" t="s">
        <v>70</v>
      </c>
      <c r="H1" s="18" t="s">
        <v>71</v>
      </c>
      <c r="I1" s="18" t="s">
        <v>72</v>
      </c>
      <c r="J1" s="18" t="s">
        <v>74</v>
      </c>
      <c r="K1" s="18" t="s">
        <v>75</v>
      </c>
      <c r="L1" s="18" t="s">
        <v>76</v>
      </c>
      <c r="M1" s="18" t="s">
        <v>77</v>
      </c>
      <c r="N1" s="18" t="s">
        <v>80</v>
      </c>
      <c r="O1" s="18" t="s">
        <v>81</v>
      </c>
      <c r="P1" s="18" t="s">
        <v>82</v>
      </c>
      <c r="Q1" s="18" t="s">
        <v>83</v>
      </c>
      <c r="R1" s="18" t="s">
        <v>88</v>
      </c>
      <c r="S1" s="18" t="s">
        <v>91</v>
      </c>
      <c r="T1" s="18" t="s">
        <v>92</v>
      </c>
      <c r="U1" s="18" t="s">
        <v>89</v>
      </c>
      <c r="V1" s="18">
        <v>2026</v>
      </c>
      <c r="AU1" s="4"/>
    </row>
    <row r="2" spans="1:47" ht="13.5" thickBot="1">
      <c r="A2" s="5"/>
      <c r="B2" s="5"/>
      <c r="C2" s="5"/>
      <c r="D2" s="6"/>
      <c r="E2" s="2"/>
      <c r="F2" s="110" t="s">
        <v>24</v>
      </c>
      <c r="G2" s="110" t="s">
        <v>24</v>
      </c>
      <c r="H2" s="110" t="s">
        <v>24</v>
      </c>
      <c r="I2" s="137" t="s">
        <v>25</v>
      </c>
      <c r="J2" s="110" t="s">
        <v>24</v>
      </c>
      <c r="K2" s="110" t="s">
        <v>24</v>
      </c>
      <c r="L2" s="110" t="s">
        <v>24</v>
      </c>
      <c r="M2" s="137" t="s">
        <v>25</v>
      </c>
      <c r="N2" s="110" t="s">
        <v>24</v>
      </c>
      <c r="O2" s="110" t="s">
        <v>24</v>
      </c>
      <c r="P2" s="110" t="s">
        <v>24</v>
      </c>
      <c r="Q2" s="137" t="s">
        <v>25</v>
      </c>
      <c r="R2" s="110" t="s">
        <v>24</v>
      </c>
      <c r="S2" s="110" t="s">
        <v>24</v>
      </c>
      <c r="T2" s="110" t="s">
        <v>24</v>
      </c>
      <c r="U2" s="137" t="s">
        <v>25</v>
      </c>
      <c r="V2" s="137" t="s">
        <v>25</v>
      </c>
    </row>
    <row r="3" spans="1:47" s="111" customFormat="1" ht="12.75" customHeight="1">
      <c r="A3" s="447" t="s">
        <v>159</v>
      </c>
      <c r="B3" s="448"/>
      <c r="C3" s="448"/>
      <c r="D3" s="449"/>
      <c r="E3" s="2"/>
      <c r="F3" s="133"/>
      <c r="G3" s="133"/>
      <c r="H3" s="133"/>
      <c r="I3" s="34"/>
      <c r="J3" s="133"/>
      <c r="K3" s="133"/>
      <c r="L3" s="133"/>
      <c r="M3" s="34"/>
      <c r="N3" s="133"/>
      <c r="O3" s="133"/>
      <c r="P3" s="133"/>
      <c r="Q3" s="34"/>
      <c r="R3" s="133"/>
      <c r="S3" s="133"/>
      <c r="T3" s="133"/>
      <c r="U3" s="34"/>
      <c r="V3" s="134"/>
    </row>
    <row r="4" spans="1:47" s="111" customFormat="1" ht="12.75" customHeight="1">
      <c r="A4" s="450"/>
      <c r="B4" s="112" t="s">
        <v>160</v>
      </c>
      <c r="C4" s="112"/>
      <c r="D4" s="113"/>
      <c r="E4" s="2"/>
      <c r="F4" s="43"/>
      <c r="G4" s="43"/>
      <c r="H4" s="43"/>
      <c r="I4" s="34"/>
      <c r="J4" s="43"/>
      <c r="K4" s="43"/>
      <c r="L4" s="43"/>
      <c r="M4" s="34"/>
      <c r="N4" s="43"/>
      <c r="O4" s="43"/>
      <c r="P4" s="43"/>
      <c r="Q4" s="34"/>
      <c r="R4" s="43"/>
      <c r="S4" s="43"/>
      <c r="T4" s="43"/>
      <c r="U4" s="34"/>
      <c r="V4" s="34"/>
    </row>
    <row r="5" spans="1:47" s="111" customFormat="1" ht="12.75" customHeight="1" outlineLevel="1">
      <c r="A5" s="450"/>
      <c r="B5" s="451"/>
      <c r="C5" s="114"/>
      <c r="D5" s="115" t="s">
        <v>161</v>
      </c>
      <c r="E5" s="7">
        <v>1</v>
      </c>
      <c r="F5" s="43"/>
      <c r="G5" s="43"/>
      <c r="H5" s="43"/>
      <c r="I5" s="34">
        <f t="shared" ref="I5:I10" si="0">H5+G5+F5</f>
        <v>0</v>
      </c>
      <c r="J5" s="43"/>
      <c r="K5" s="43"/>
      <c r="L5" s="43"/>
      <c r="M5" s="34">
        <f t="shared" ref="M5:M10" si="1">L5+K5+J5</f>
        <v>0</v>
      </c>
      <c r="N5" s="43"/>
      <c r="O5" s="43"/>
      <c r="P5" s="43"/>
      <c r="Q5" s="34">
        <f t="shared" ref="Q5:Q10" si="2">P5+O5+N5</f>
        <v>0</v>
      </c>
      <c r="R5" s="43"/>
      <c r="S5" s="43"/>
      <c r="T5" s="43"/>
      <c r="U5" s="34">
        <f t="shared" ref="U5:U10" si="3">T5+S5+R5</f>
        <v>0</v>
      </c>
      <c r="V5" s="34">
        <f t="shared" ref="V5:V10" si="4">U5+Q5+M5+I5</f>
        <v>0</v>
      </c>
    </row>
    <row r="6" spans="1:47" s="111" customFormat="1" ht="12.75" customHeight="1" outlineLevel="1">
      <c r="A6" s="450"/>
      <c r="B6" s="451"/>
      <c r="C6" s="116"/>
      <c r="D6" s="117" t="s">
        <v>162</v>
      </c>
      <c r="E6" s="7">
        <v>1</v>
      </c>
      <c r="F6" s="43"/>
      <c r="G6" s="43"/>
      <c r="H6" s="43"/>
      <c r="I6" s="34">
        <f t="shared" si="0"/>
        <v>0</v>
      </c>
      <c r="J6" s="43"/>
      <c r="K6" s="43"/>
      <c r="L6" s="43"/>
      <c r="M6" s="34">
        <f t="shared" si="1"/>
        <v>0</v>
      </c>
      <c r="N6" s="43"/>
      <c r="O6" s="43"/>
      <c r="P6" s="43"/>
      <c r="Q6" s="34">
        <f t="shared" si="2"/>
        <v>0</v>
      </c>
      <c r="R6" s="43"/>
      <c r="S6" s="43"/>
      <c r="T6" s="43"/>
      <c r="U6" s="34">
        <f t="shared" si="3"/>
        <v>0</v>
      </c>
      <c r="V6" s="34">
        <f t="shared" si="4"/>
        <v>0</v>
      </c>
    </row>
    <row r="7" spans="1:47" s="111" customFormat="1" ht="12.75" customHeight="1" outlineLevel="1">
      <c r="A7" s="450"/>
      <c r="B7" s="451"/>
      <c r="C7" s="116"/>
      <c r="D7" s="117" t="s">
        <v>163</v>
      </c>
      <c r="E7" s="7">
        <v>1</v>
      </c>
      <c r="F7" s="43"/>
      <c r="G7" s="43"/>
      <c r="H7" s="43"/>
      <c r="I7" s="34">
        <f t="shared" si="0"/>
        <v>0</v>
      </c>
      <c r="J7" s="43"/>
      <c r="K7" s="43"/>
      <c r="L7" s="43"/>
      <c r="M7" s="34">
        <f t="shared" si="1"/>
        <v>0</v>
      </c>
      <c r="N7" s="43"/>
      <c r="O7" s="43"/>
      <c r="P7" s="43"/>
      <c r="Q7" s="34">
        <f t="shared" si="2"/>
        <v>0</v>
      </c>
      <c r="R7" s="43"/>
      <c r="S7" s="43"/>
      <c r="T7" s="43"/>
      <c r="U7" s="34">
        <f t="shared" si="3"/>
        <v>0</v>
      </c>
      <c r="V7" s="34">
        <f t="shared" si="4"/>
        <v>0</v>
      </c>
    </row>
    <row r="8" spans="1:47" s="111" customFormat="1" ht="12.75" customHeight="1" outlineLevel="1">
      <c r="A8" s="450"/>
      <c r="B8" s="451"/>
      <c r="C8" s="116"/>
      <c r="D8" s="118" t="s">
        <v>164</v>
      </c>
      <c r="E8" s="7"/>
      <c r="F8" s="43"/>
      <c r="G8" s="43"/>
      <c r="H8" s="43"/>
      <c r="I8" s="34">
        <f t="shared" si="0"/>
        <v>0</v>
      </c>
      <c r="J8" s="43"/>
      <c r="K8" s="43"/>
      <c r="L8" s="43"/>
      <c r="M8" s="34">
        <f t="shared" si="1"/>
        <v>0</v>
      </c>
      <c r="N8" s="43"/>
      <c r="O8" s="43"/>
      <c r="P8" s="43"/>
      <c r="Q8" s="34">
        <f t="shared" si="2"/>
        <v>0</v>
      </c>
      <c r="R8" s="43"/>
      <c r="S8" s="43"/>
      <c r="T8" s="43"/>
      <c r="U8" s="34">
        <f t="shared" si="3"/>
        <v>0</v>
      </c>
      <c r="V8" s="34">
        <f t="shared" si="4"/>
        <v>0</v>
      </c>
    </row>
    <row r="9" spans="1:47" s="111" customFormat="1" ht="12.75" customHeight="1" outlineLevel="1">
      <c r="A9" s="450"/>
      <c r="B9" s="451"/>
      <c r="C9" s="116"/>
      <c r="D9" s="117" t="s">
        <v>166</v>
      </c>
      <c r="E9" s="7"/>
      <c r="F9" s="43"/>
      <c r="G9" s="43"/>
      <c r="H9" s="43"/>
      <c r="I9" s="34">
        <f t="shared" si="0"/>
        <v>0</v>
      </c>
      <c r="J9" s="43"/>
      <c r="K9" s="43"/>
      <c r="L9" s="43"/>
      <c r="M9" s="34">
        <f t="shared" si="1"/>
        <v>0</v>
      </c>
      <c r="N9" s="43"/>
      <c r="O9" s="43"/>
      <c r="P9" s="43"/>
      <c r="Q9" s="34">
        <f t="shared" si="2"/>
        <v>0</v>
      </c>
      <c r="R9" s="43"/>
      <c r="S9" s="43"/>
      <c r="T9" s="43"/>
      <c r="U9" s="34">
        <f t="shared" si="3"/>
        <v>0</v>
      </c>
      <c r="V9" s="34">
        <f t="shared" si="4"/>
        <v>0</v>
      </c>
    </row>
    <row r="10" spans="1:47" s="111" customFormat="1" ht="12.75" customHeight="1" outlineLevel="1">
      <c r="A10" s="450"/>
      <c r="B10" s="451"/>
      <c r="C10" s="116"/>
      <c r="D10" s="117" t="s">
        <v>165</v>
      </c>
      <c r="E10" s="7"/>
      <c r="F10" s="43"/>
      <c r="G10" s="43"/>
      <c r="H10" s="43"/>
      <c r="I10" s="34">
        <f t="shared" si="0"/>
        <v>0</v>
      </c>
      <c r="J10" s="43"/>
      <c r="K10" s="43"/>
      <c r="L10" s="43"/>
      <c r="M10" s="34">
        <f t="shared" si="1"/>
        <v>0</v>
      </c>
      <c r="N10" s="43"/>
      <c r="O10" s="43"/>
      <c r="P10" s="43"/>
      <c r="Q10" s="34">
        <f t="shared" si="2"/>
        <v>0</v>
      </c>
      <c r="R10" s="43"/>
      <c r="S10" s="43"/>
      <c r="T10" s="43"/>
      <c r="U10" s="34">
        <f t="shared" si="3"/>
        <v>0</v>
      </c>
      <c r="V10" s="34">
        <f t="shared" si="4"/>
        <v>0</v>
      </c>
    </row>
    <row r="11" spans="1:47" s="111" customFormat="1" ht="6.75" customHeight="1">
      <c r="A11" s="450"/>
      <c r="B11" s="4"/>
      <c r="C11" s="4"/>
      <c r="D11" s="119"/>
      <c r="E11" s="120"/>
      <c r="F11" s="43"/>
      <c r="G11" s="43"/>
      <c r="H11" s="43"/>
      <c r="I11" s="34"/>
      <c r="J11" s="43"/>
      <c r="K11" s="43"/>
      <c r="L11" s="43"/>
      <c r="M11" s="34"/>
      <c r="N11" s="43"/>
      <c r="O11" s="43"/>
      <c r="P11" s="43"/>
      <c r="Q11" s="34"/>
      <c r="R11" s="43"/>
      <c r="S11" s="43"/>
      <c r="T11" s="43"/>
      <c r="U11" s="34"/>
      <c r="V11" s="34"/>
    </row>
    <row r="12" spans="1:47" s="111" customFormat="1" ht="12.75" customHeight="1">
      <c r="A12" s="447" t="s">
        <v>167</v>
      </c>
      <c r="B12" s="448"/>
      <c r="C12" s="448"/>
      <c r="D12" s="449"/>
      <c r="E12" s="8"/>
      <c r="F12" s="44">
        <f t="shared" ref="F12:T12" si="5">SUM(F5:F10)</f>
        <v>0</v>
      </c>
      <c r="G12" s="44">
        <f t="shared" si="5"/>
        <v>0</v>
      </c>
      <c r="H12" s="44">
        <f t="shared" si="5"/>
        <v>0</v>
      </c>
      <c r="I12" s="35">
        <f t="shared" si="5"/>
        <v>0</v>
      </c>
      <c r="J12" s="44">
        <f t="shared" si="5"/>
        <v>0</v>
      </c>
      <c r="K12" s="44">
        <f t="shared" si="5"/>
        <v>0</v>
      </c>
      <c r="L12" s="44">
        <f t="shared" si="5"/>
        <v>0</v>
      </c>
      <c r="M12" s="35">
        <f t="shared" si="5"/>
        <v>0</v>
      </c>
      <c r="N12" s="44">
        <f t="shared" si="5"/>
        <v>0</v>
      </c>
      <c r="O12" s="44">
        <f t="shared" si="5"/>
        <v>0</v>
      </c>
      <c r="P12" s="44">
        <f t="shared" si="5"/>
        <v>0</v>
      </c>
      <c r="Q12" s="35">
        <f t="shared" si="5"/>
        <v>0</v>
      </c>
      <c r="R12" s="44">
        <f t="shared" si="5"/>
        <v>0</v>
      </c>
      <c r="S12" s="44">
        <f t="shared" si="5"/>
        <v>0</v>
      </c>
      <c r="T12" s="44">
        <f t="shared" si="5"/>
        <v>0</v>
      </c>
      <c r="U12" s="35">
        <f t="shared" ref="U12:V12" si="6">SUM(U5:U10)</f>
        <v>0</v>
      </c>
      <c r="V12" s="35">
        <f t="shared" si="6"/>
        <v>0</v>
      </c>
    </row>
    <row r="13" spans="1:47" s="111" customFormat="1" ht="5.25" customHeight="1">
      <c r="A13" s="121"/>
      <c r="B13" s="3"/>
      <c r="C13" s="3"/>
      <c r="D13" s="119"/>
      <c r="E13" s="4"/>
      <c r="F13" s="43"/>
      <c r="G13" s="43"/>
      <c r="H13" s="43"/>
      <c r="I13" s="34"/>
      <c r="J13" s="43"/>
      <c r="K13" s="43"/>
      <c r="L13" s="43"/>
      <c r="M13" s="34"/>
      <c r="N13" s="43"/>
      <c r="O13" s="43"/>
      <c r="P13" s="43"/>
      <c r="Q13" s="34"/>
      <c r="R13" s="43"/>
      <c r="S13" s="43"/>
      <c r="T13" s="43"/>
      <c r="U13" s="34"/>
      <c r="V13" s="34"/>
    </row>
    <row r="14" spans="1:47" s="111" customFormat="1" ht="12.75" customHeight="1">
      <c r="A14" s="452" t="s">
        <v>168</v>
      </c>
      <c r="B14" s="453"/>
      <c r="C14" s="453"/>
      <c r="D14" s="454"/>
      <c r="E14" s="7"/>
      <c r="F14" s="43"/>
      <c r="G14" s="43"/>
      <c r="H14" s="43"/>
      <c r="I14" s="34"/>
      <c r="J14" s="43"/>
      <c r="K14" s="43"/>
      <c r="L14" s="43"/>
      <c r="M14" s="34"/>
      <c r="N14" s="43"/>
      <c r="O14" s="43"/>
      <c r="P14" s="43"/>
      <c r="Q14" s="34"/>
      <c r="R14" s="43"/>
      <c r="S14" s="43"/>
      <c r="T14" s="43"/>
      <c r="U14" s="34"/>
      <c r="V14" s="34"/>
    </row>
    <row r="15" spans="1:47" s="111" customFormat="1" ht="12.75" customHeight="1" outlineLevel="1">
      <c r="A15" s="465"/>
      <c r="B15" s="3"/>
      <c r="C15" s="466" t="s">
        <v>169</v>
      </c>
      <c r="D15" s="467"/>
      <c r="E15" s="7"/>
      <c r="F15" s="43"/>
      <c r="G15" s="43"/>
      <c r="H15" s="43"/>
      <c r="I15" s="34"/>
      <c r="J15" s="43"/>
      <c r="K15" s="43"/>
      <c r="L15" s="43"/>
      <c r="M15" s="34"/>
      <c r="N15" s="43"/>
      <c r="O15" s="43"/>
      <c r="P15" s="43"/>
      <c r="Q15" s="34"/>
      <c r="R15" s="43"/>
      <c r="S15" s="43"/>
      <c r="T15" s="43"/>
      <c r="U15" s="34"/>
      <c r="V15" s="34"/>
    </row>
    <row r="16" spans="1:47" s="111" customFormat="1" ht="12.75" customHeight="1" outlineLevel="1">
      <c r="A16" s="465"/>
      <c r="B16" s="3"/>
      <c r="C16" s="116"/>
      <c r="D16" s="117" t="s">
        <v>170</v>
      </c>
      <c r="E16" s="7">
        <v>0</v>
      </c>
      <c r="F16" s="43"/>
      <c r="G16" s="43"/>
      <c r="H16" s="43"/>
      <c r="I16" s="34">
        <f t="shared" ref="I16:I22" si="7">H16+G16+F16</f>
        <v>0</v>
      </c>
      <c r="J16" s="43"/>
      <c r="K16" s="43"/>
      <c r="L16" s="43"/>
      <c r="M16" s="34">
        <f t="shared" ref="M16:M22" si="8">L16+K16+J16</f>
        <v>0</v>
      </c>
      <c r="N16" s="43"/>
      <c r="O16" s="43"/>
      <c r="P16" s="43"/>
      <c r="Q16" s="34">
        <f t="shared" ref="Q16:Q22" si="9">P16+O16+N16</f>
        <v>0</v>
      </c>
      <c r="R16" s="43"/>
      <c r="S16" s="43"/>
      <c r="T16" s="43"/>
      <c r="U16" s="34">
        <f t="shared" ref="U16:U22" si="10">T16+S16+R16</f>
        <v>0</v>
      </c>
      <c r="V16" s="34">
        <f t="shared" ref="V16:V22" si="11">U16+Q16+M16+I16</f>
        <v>0</v>
      </c>
    </row>
    <row r="17" spans="1:22" s="111" customFormat="1" ht="12.75" customHeight="1" outlineLevel="1">
      <c r="A17" s="465"/>
      <c r="B17" s="3"/>
      <c r="C17" s="116"/>
      <c r="D17" s="117" t="s">
        <v>172</v>
      </c>
      <c r="E17" s="7"/>
      <c r="F17" s="43"/>
      <c r="G17" s="43"/>
      <c r="H17" s="43"/>
      <c r="I17" s="34">
        <f t="shared" si="7"/>
        <v>0</v>
      </c>
      <c r="J17" s="43"/>
      <c r="K17" s="43"/>
      <c r="L17" s="43"/>
      <c r="M17" s="34">
        <f t="shared" si="8"/>
        <v>0</v>
      </c>
      <c r="N17" s="43"/>
      <c r="O17" s="43"/>
      <c r="P17" s="43"/>
      <c r="Q17" s="34">
        <f t="shared" si="9"/>
        <v>0</v>
      </c>
      <c r="R17" s="43"/>
      <c r="S17" s="43"/>
      <c r="T17" s="43"/>
      <c r="U17" s="34">
        <f t="shared" si="10"/>
        <v>0</v>
      </c>
      <c r="V17" s="34">
        <f t="shared" si="11"/>
        <v>0</v>
      </c>
    </row>
    <row r="18" spans="1:22" s="111" customFormat="1" ht="12.75" customHeight="1" outlineLevel="1">
      <c r="A18" s="465"/>
      <c r="B18" s="3"/>
      <c r="C18" s="116"/>
      <c r="D18" s="117" t="s">
        <v>294</v>
      </c>
      <c r="E18" s="7"/>
      <c r="F18" s="43"/>
      <c r="G18" s="43"/>
      <c r="H18" s="43"/>
      <c r="I18" s="34">
        <f t="shared" si="7"/>
        <v>0</v>
      </c>
      <c r="J18" s="43"/>
      <c r="K18" s="43"/>
      <c r="L18" s="43"/>
      <c r="M18" s="34">
        <f t="shared" si="8"/>
        <v>0</v>
      </c>
      <c r="N18" s="43"/>
      <c r="O18" s="43"/>
      <c r="P18" s="43"/>
      <c r="Q18" s="34">
        <f t="shared" si="9"/>
        <v>0</v>
      </c>
      <c r="R18" s="43"/>
      <c r="S18" s="43"/>
      <c r="T18" s="43"/>
      <c r="U18" s="34">
        <f t="shared" si="10"/>
        <v>0</v>
      </c>
      <c r="V18" s="34">
        <f t="shared" si="11"/>
        <v>0</v>
      </c>
    </row>
    <row r="19" spans="1:22" s="111" customFormat="1" ht="12.75" customHeight="1" outlineLevel="1">
      <c r="A19" s="465"/>
      <c r="B19" s="3"/>
      <c r="C19" s="116"/>
      <c r="D19" s="117" t="s">
        <v>173</v>
      </c>
      <c r="E19" s="7"/>
      <c r="F19" s="43"/>
      <c r="G19" s="43"/>
      <c r="H19" s="43"/>
      <c r="I19" s="34">
        <f t="shared" si="7"/>
        <v>0</v>
      </c>
      <c r="J19" s="43"/>
      <c r="K19" s="43"/>
      <c r="L19" s="43"/>
      <c r="M19" s="34">
        <f t="shared" si="8"/>
        <v>0</v>
      </c>
      <c r="N19" s="43"/>
      <c r="O19" s="43"/>
      <c r="P19" s="43"/>
      <c r="Q19" s="34">
        <f t="shared" si="9"/>
        <v>0</v>
      </c>
      <c r="R19" s="43"/>
      <c r="S19" s="43"/>
      <c r="T19" s="43"/>
      <c r="U19" s="34">
        <f t="shared" si="10"/>
        <v>0</v>
      </c>
      <c r="V19" s="34">
        <f t="shared" si="11"/>
        <v>0</v>
      </c>
    </row>
    <row r="20" spans="1:22" s="111" customFormat="1" ht="12.75" customHeight="1" outlineLevel="1">
      <c r="A20" s="465"/>
      <c r="B20" s="3"/>
      <c r="C20" s="116"/>
      <c r="D20" s="118" t="s">
        <v>174</v>
      </c>
      <c r="E20" s="7">
        <v>0</v>
      </c>
      <c r="F20" s="43"/>
      <c r="G20" s="43"/>
      <c r="H20" s="43"/>
      <c r="I20" s="34">
        <f t="shared" si="7"/>
        <v>0</v>
      </c>
      <c r="J20" s="43"/>
      <c r="K20" s="43"/>
      <c r="L20" s="43"/>
      <c r="M20" s="34">
        <f t="shared" si="8"/>
        <v>0</v>
      </c>
      <c r="N20" s="43"/>
      <c r="O20" s="43"/>
      <c r="P20" s="43"/>
      <c r="Q20" s="34">
        <f t="shared" si="9"/>
        <v>0</v>
      </c>
      <c r="R20" s="43"/>
      <c r="S20" s="43"/>
      <c r="T20" s="43"/>
      <c r="U20" s="34">
        <f t="shared" si="10"/>
        <v>0</v>
      </c>
      <c r="V20" s="34">
        <f t="shared" si="11"/>
        <v>0</v>
      </c>
    </row>
    <row r="21" spans="1:22" s="111" customFormat="1" ht="12.75" customHeight="1" outlineLevel="1">
      <c r="A21" s="465"/>
      <c r="B21" s="3"/>
      <c r="C21" s="468" t="s">
        <v>175</v>
      </c>
      <c r="D21" s="469"/>
      <c r="E21" s="7"/>
      <c r="F21" s="43"/>
      <c r="G21" s="43"/>
      <c r="H21" s="43"/>
      <c r="I21" s="34">
        <f t="shared" si="7"/>
        <v>0</v>
      </c>
      <c r="J21" s="43"/>
      <c r="K21" s="43"/>
      <c r="L21" s="43"/>
      <c r="M21" s="34">
        <f t="shared" si="8"/>
        <v>0</v>
      </c>
      <c r="N21" s="43"/>
      <c r="O21" s="43"/>
      <c r="P21" s="43"/>
      <c r="Q21" s="34">
        <f t="shared" si="9"/>
        <v>0</v>
      </c>
      <c r="R21" s="43"/>
      <c r="S21" s="43"/>
      <c r="T21" s="43"/>
      <c r="U21" s="34">
        <f t="shared" si="10"/>
        <v>0</v>
      </c>
      <c r="V21" s="34">
        <f t="shared" si="11"/>
        <v>0</v>
      </c>
    </row>
    <row r="22" spans="1:22" s="111" customFormat="1" ht="12.75" customHeight="1" outlineLevel="1">
      <c r="A22" s="465"/>
      <c r="B22" s="3"/>
      <c r="C22" s="468" t="s">
        <v>176</v>
      </c>
      <c r="D22" s="469"/>
      <c r="E22" s="7"/>
      <c r="F22" s="43"/>
      <c r="G22" s="43"/>
      <c r="H22" s="43"/>
      <c r="I22" s="34">
        <f t="shared" si="7"/>
        <v>0</v>
      </c>
      <c r="J22" s="43"/>
      <c r="K22" s="43"/>
      <c r="L22" s="43"/>
      <c r="M22" s="34">
        <f t="shared" si="8"/>
        <v>0</v>
      </c>
      <c r="N22" s="43"/>
      <c r="O22" s="43"/>
      <c r="P22" s="43"/>
      <c r="Q22" s="34">
        <f t="shared" si="9"/>
        <v>0</v>
      </c>
      <c r="R22" s="43"/>
      <c r="S22" s="43"/>
      <c r="T22" s="43"/>
      <c r="U22" s="34">
        <f t="shared" si="10"/>
        <v>0</v>
      </c>
      <c r="V22" s="34">
        <f t="shared" si="11"/>
        <v>0</v>
      </c>
    </row>
    <row r="23" spans="1:22" s="111" customFormat="1" ht="12.75" customHeight="1" outlineLevel="1">
      <c r="A23" s="465"/>
      <c r="B23" s="3"/>
      <c r="C23" s="457" t="s">
        <v>203</v>
      </c>
      <c r="D23" s="470"/>
      <c r="E23" s="7"/>
      <c r="F23" s="96"/>
      <c r="G23" s="96"/>
      <c r="H23" s="96"/>
      <c r="I23" s="34">
        <f>H23+G23+F23</f>
        <v>0</v>
      </c>
      <c r="J23" s="96"/>
      <c r="K23" s="96"/>
      <c r="L23" s="96"/>
      <c r="M23" s="34">
        <f>L23+K23+J23</f>
        <v>0</v>
      </c>
      <c r="N23" s="96"/>
      <c r="O23" s="96"/>
      <c r="P23" s="96"/>
      <c r="Q23" s="34">
        <f>P23+O23+N23</f>
        <v>0</v>
      </c>
      <c r="R23" s="96"/>
      <c r="S23" s="96"/>
      <c r="T23" s="96"/>
      <c r="U23" s="34">
        <f>T23+S23+R23</f>
        <v>0</v>
      </c>
      <c r="V23" s="34">
        <f>U23+Q23+M23+I23</f>
        <v>0</v>
      </c>
    </row>
    <row r="24" spans="1:22" s="111" customFormat="1" ht="12.75" customHeight="1" outlineLevel="1">
      <c r="A24" s="465"/>
      <c r="B24" s="3"/>
      <c r="C24" s="457" t="s">
        <v>184</v>
      </c>
      <c r="D24" s="458"/>
      <c r="E24" s="7"/>
      <c r="F24" s="96"/>
      <c r="G24" s="96"/>
      <c r="H24" s="96"/>
      <c r="I24" s="34">
        <f t="shared" ref="I24:I25" si="12">H24+G24+F24</f>
        <v>0</v>
      </c>
      <c r="J24" s="96"/>
      <c r="K24" s="96"/>
      <c r="L24" s="96"/>
      <c r="M24" s="34">
        <f t="shared" ref="M24:M25" si="13">L24+K24+J24</f>
        <v>0</v>
      </c>
      <c r="N24" s="96"/>
      <c r="O24" s="96"/>
      <c r="P24" s="96"/>
      <c r="Q24" s="34">
        <f t="shared" ref="Q24:Q25" si="14">P24+O24+N24</f>
        <v>0</v>
      </c>
      <c r="R24" s="96"/>
      <c r="S24" s="96"/>
      <c r="T24" s="96"/>
      <c r="U24" s="34">
        <f t="shared" ref="U24:U25" si="15">T24+S24+R24</f>
        <v>0</v>
      </c>
      <c r="V24" s="34">
        <f t="shared" ref="V24:V25" si="16">U24+Q24+M24+I24</f>
        <v>0</v>
      </c>
    </row>
    <row r="25" spans="1:22" s="111" customFormat="1" ht="12.75" customHeight="1" outlineLevel="1">
      <c r="A25" s="465"/>
      <c r="B25" s="3"/>
      <c r="C25" s="457" t="s">
        <v>183</v>
      </c>
      <c r="D25" s="458"/>
      <c r="E25" s="7">
        <v>0</v>
      </c>
      <c r="F25" s="43"/>
      <c r="G25" s="43"/>
      <c r="H25" s="96"/>
      <c r="I25" s="34">
        <f t="shared" si="12"/>
        <v>0</v>
      </c>
      <c r="J25" s="43"/>
      <c r="K25" s="43"/>
      <c r="L25" s="96"/>
      <c r="M25" s="34">
        <f t="shared" si="13"/>
        <v>0</v>
      </c>
      <c r="N25" s="43"/>
      <c r="O25" s="43"/>
      <c r="P25" s="96"/>
      <c r="Q25" s="34">
        <f t="shared" si="14"/>
        <v>0</v>
      </c>
      <c r="R25" s="43"/>
      <c r="S25" s="43"/>
      <c r="T25" s="96"/>
      <c r="U25" s="34">
        <f t="shared" si="15"/>
        <v>0</v>
      </c>
      <c r="V25" s="34">
        <f t="shared" si="16"/>
        <v>0</v>
      </c>
    </row>
    <row r="26" spans="1:22" s="111" customFormat="1" ht="12.75" customHeight="1">
      <c r="A26" s="459" t="s">
        <v>177</v>
      </c>
      <c r="B26" s="460"/>
      <c r="C26" s="460"/>
      <c r="D26" s="461"/>
      <c r="E26" s="8"/>
      <c r="F26" s="44">
        <f t="shared" ref="F26:T26" si="17">SUM(F16:F25)</f>
        <v>0</v>
      </c>
      <c r="G26" s="44">
        <f t="shared" si="17"/>
        <v>0</v>
      </c>
      <c r="H26" s="44">
        <f t="shared" si="17"/>
        <v>0</v>
      </c>
      <c r="I26" s="35">
        <f t="shared" si="17"/>
        <v>0</v>
      </c>
      <c r="J26" s="44">
        <f t="shared" si="17"/>
        <v>0</v>
      </c>
      <c r="K26" s="44">
        <f t="shared" si="17"/>
        <v>0</v>
      </c>
      <c r="L26" s="44">
        <f t="shared" si="17"/>
        <v>0</v>
      </c>
      <c r="M26" s="35">
        <f t="shared" si="17"/>
        <v>0</v>
      </c>
      <c r="N26" s="44">
        <f t="shared" si="17"/>
        <v>0</v>
      </c>
      <c r="O26" s="44">
        <f t="shared" si="17"/>
        <v>0</v>
      </c>
      <c r="P26" s="44">
        <f t="shared" si="17"/>
        <v>0</v>
      </c>
      <c r="Q26" s="35">
        <f t="shared" si="17"/>
        <v>0</v>
      </c>
      <c r="R26" s="44">
        <f t="shared" si="17"/>
        <v>0</v>
      </c>
      <c r="S26" s="44">
        <f t="shared" si="17"/>
        <v>0</v>
      </c>
      <c r="T26" s="44">
        <f t="shared" si="17"/>
        <v>0</v>
      </c>
      <c r="U26" s="35">
        <f t="shared" ref="U26:V26" si="18">SUM(U16:U25)</f>
        <v>0</v>
      </c>
      <c r="V26" s="35">
        <f t="shared" si="18"/>
        <v>0</v>
      </c>
    </row>
    <row r="27" spans="1:22" s="111" customFormat="1" ht="8.25" customHeight="1">
      <c r="A27" s="122"/>
      <c r="B27" s="123"/>
      <c r="C27" s="123"/>
      <c r="D27" s="124"/>
      <c r="E27" s="8"/>
      <c r="F27" s="43"/>
      <c r="G27" s="43"/>
      <c r="H27" s="43"/>
      <c r="I27" s="34"/>
      <c r="J27" s="43"/>
      <c r="K27" s="43"/>
      <c r="L27" s="43"/>
      <c r="M27" s="34"/>
      <c r="N27" s="43"/>
      <c r="O27" s="43"/>
      <c r="P27" s="43"/>
      <c r="Q27" s="34"/>
      <c r="R27" s="43"/>
      <c r="S27" s="43"/>
      <c r="T27" s="43"/>
      <c r="U27" s="34"/>
      <c r="V27" s="34"/>
    </row>
    <row r="28" spans="1:22" s="111" customFormat="1" ht="12.75" customHeight="1">
      <c r="A28" s="462" t="s">
        <v>178</v>
      </c>
      <c r="B28" s="463"/>
      <c r="C28" s="463"/>
      <c r="D28" s="464"/>
      <c r="E28" s="8"/>
      <c r="F28" s="43"/>
      <c r="G28" s="43"/>
      <c r="H28" s="43"/>
      <c r="I28" s="34"/>
      <c r="J28" s="43"/>
      <c r="K28" s="43"/>
      <c r="L28" s="43"/>
      <c r="M28" s="34"/>
      <c r="N28" s="43"/>
      <c r="O28" s="43"/>
      <c r="P28" s="43"/>
      <c r="Q28" s="34"/>
      <c r="R28" s="43"/>
      <c r="S28" s="43"/>
      <c r="T28" s="43"/>
      <c r="U28" s="34"/>
      <c r="V28" s="34"/>
    </row>
    <row r="29" spans="1:22" s="111" customFormat="1" ht="12.75" customHeight="1">
      <c r="A29" s="125"/>
      <c r="B29" s="4"/>
      <c r="C29" s="455" t="s">
        <v>179</v>
      </c>
      <c r="D29" s="456"/>
      <c r="E29" s="8"/>
      <c r="F29" s="44">
        <f t="shared" ref="F29:T29" si="19">F12-F26</f>
        <v>0</v>
      </c>
      <c r="G29" s="44">
        <f t="shared" si="19"/>
        <v>0</v>
      </c>
      <c r="H29" s="44">
        <f t="shared" si="19"/>
        <v>0</v>
      </c>
      <c r="I29" s="35">
        <f t="shared" si="19"/>
        <v>0</v>
      </c>
      <c r="J29" s="44">
        <f t="shared" si="19"/>
        <v>0</v>
      </c>
      <c r="K29" s="44">
        <f t="shared" si="19"/>
        <v>0</v>
      </c>
      <c r="L29" s="44">
        <f t="shared" si="19"/>
        <v>0</v>
      </c>
      <c r="M29" s="35">
        <f t="shared" si="19"/>
        <v>0</v>
      </c>
      <c r="N29" s="44">
        <f t="shared" si="19"/>
        <v>0</v>
      </c>
      <c r="O29" s="44">
        <f t="shared" si="19"/>
        <v>0</v>
      </c>
      <c r="P29" s="44">
        <f t="shared" si="19"/>
        <v>0</v>
      </c>
      <c r="Q29" s="35">
        <f t="shared" si="19"/>
        <v>0</v>
      </c>
      <c r="R29" s="44">
        <f t="shared" si="19"/>
        <v>0</v>
      </c>
      <c r="S29" s="44">
        <f t="shared" si="19"/>
        <v>0</v>
      </c>
      <c r="T29" s="44">
        <f t="shared" si="19"/>
        <v>0</v>
      </c>
      <c r="U29" s="35">
        <f t="shared" ref="U29:V29" si="20">U12-U26</f>
        <v>0</v>
      </c>
      <c r="V29" s="35">
        <f t="shared" si="20"/>
        <v>0</v>
      </c>
    </row>
    <row r="30" spans="1:22" s="111" customFormat="1" ht="12.75" customHeight="1">
      <c r="A30" s="121"/>
      <c r="B30" s="3"/>
      <c r="C30" s="3"/>
      <c r="D30" s="118" t="s">
        <v>180</v>
      </c>
      <c r="E30" s="7"/>
      <c r="F30" s="126">
        <f t="shared" ref="F30:T30" si="21">IF(F12=0,0,F29/F12)</f>
        <v>0</v>
      </c>
      <c r="G30" s="126">
        <f t="shared" si="21"/>
        <v>0</v>
      </c>
      <c r="H30" s="126">
        <f t="shared" si="21"/>
        <v>0</v>
      </c>
      <c r="I30" s="127">
        <f t="shared" si="21"/>
        <v>0</v>
      </c>
      <c r="J30" s="126">
        <f t="shared" si="21"/>
        <v>0</v>
      </c>
      <c r="K30" s="126">
        <f t="shared" si="21"/>
        <v>0</v>
      </c>
      <c r="L30" s="126">
        <f t="shared" si="21"/>
        <v>0</v>
      </c>
      <c r="M30" s="127">
        <f t="shared" si="21"/>
        <v>0</v>
      </c>
      <c r="N30" s="126">
        <f t="shared" si="21"/>
        <v>0</v>
      </c>
      <c r="O30" s="126">
        <f t="shared" si="21"/>
        <v>0</v>
      </c>
      <c r="P30" s="126">
        <f t="shared" si="21"/>
        <v>0</v>
      </c>
      <c r="Q30" s="127">
        <f t="shared" si="21"/>
        <v>0</v>
      </c>
      <c r="R30" s="126">
        <f t="shared" si="21"/>
        <v>0</v>
      </c>
      <c r="S30" s="126">
        <f t="shared" si="21"/>
        <v>0</v>
      </c>
      <c r="T30" s="126">
        <f t="shared" si="21"/>
        <v>0</v>
      </c>
      <c r="U30" s="127">
        <f t="shared" ref="U30:V30" si="22">IF(U12=0,0,U29/U12)</f>
        <v>0</v>
      </c>
      <c r="V30" s="127">
        <f t="shared" si="22"/>
        <v>0</v>
      </c>
    </row>
    <row r="31" spans="1:22" ht="13.15" outlineLevel="1">
      <c r="A31" s="21" t="s">
        <v>49</v>
      </c>
      <c r="B31" s="22"/>
      <c r="C31" s="22"/>
      <c r="D31" s="22"/>
      <c r="F31" s="43"/>
      <c r="G31" s="43"/>
      <c r="H31" s="43"/>
      <c r="I31" s="34"/>
      <c r="J31" s="43"/>
      <c r="K31" s="43"/>
      <c r="L31" s="43"/>
      <c r="M31" s="34"/>
      <c r="N31" s="43"/>
      <c r="O31" s="43"/>
      <c r="P31" s="43"/>
      <c r="Q31" s="34"/>
      <c r="R31" s="43"/>
      <c r="S31" s="43"/>
      <c r="T31" s="43"/>
      <c r="U31" s="34"/>
      <c r="V31" s="34"/>
    </row>
    <row r="32" spans="1:22" ht="13.5" outlineLevel="2">
      <c r="A32" s="22"/>
      <c r="B32" s="22"/>
      <c r="C32" s="23" t="s">
        <v>37</v>
      </c>
      <c r="D32" s="24"/>
      <c r="E32" s="8"/>
      <c r="F32" s="43"/>
      <c r="G32" s="43"/>
      <c r="H32" s="43"/>
      <c r="I32" s="34"/>
      <c r="J32" s="43"/>
      <c r="K32" s="43"/>
      <c r="L32" s="43"/>
      <c r="M32" s="34"/>
      <c r="N32" s="43"/>
      <c r="O32" s="43"/>
      <c r="P32" s="43"/>
      <c r="Q32" s="34"/>
      <c r="R32" s="43"/>
      <c r="S32" s="43"/>
      <c r="T32" s="43"/>
      <c r="U32" s="34"/>
      <c r="V32" s="34"/>
    </row>
    <row r="33" spans="1:22" ht="13.15" outlineLevel="2">
      <c r="A33" s="22"/>
      <c r="B33" s="22"/>
      <c r="C33" s="22"/>
      <c r="D33" s="25" t="s">
        <v>27</v>
      </c>
      <c r="E33" s="7">
        <v>0</v>
      </c>
      <c r="F33" s="43">
        <v>10000000</v>
      </c>
      <c r="G33" s="43">
        <v>10000000</v>
      </c>
      <c r="H33" s="43">
        <v>10000000</v>
      </c>
      <c r="I33" s="34">
        <f>SUM(F33:H33)</f>
        <v>30000000</v>
      </c>
      <c r="J33" s="43">
        <v>10000000</v>
      </c>
      <c r="K33" s="43">
        <v>10000000</v>
      </c>
      <c r="L33" s="43">
        <v>10000000</v>
      </c>
      <c r="M33" s="34">
        <f>SUM(J33:L33)</f>
        <v>30000000</v>
      </c>
      <c r="N33" s="43">
        <v>10000000</v>
      </c>
      <c r="O33" s="43">
        <v>10000000</v>
      </c>
      <c r="P33" s="43">
        <v>10000000</v>
      </c>
      <c r="Q33" s="34">
        <f>SUM(N33:P33)</f>
        <v>30000000</v>
      </c>
      <c r="R33" s="43">
        <v>10000000</v>
      </c>
      <c r="S33" s="43">
        <v>10000000</v>
      </c>
      <c r="T33" s="43">
        <v>10000000</v>
      </c>
      <c r="U33" s="34">
        <f>SUM(R33:T33)</f>
        <v>30000000</v>
      </c>
      <c r="V33" s="34">
        <f t="shared" ref="V33:V37" si="23">I33+M33+Q33+U33</f>
        <v>120000000</v>
      </c>
    </row>
    <row r="34" spans="1:22" ht="13.15" outlineLevel="2">
      <c r="A34" s="22"/>
      <c r="B34" s="22"/>
      <c r="C34" s="22"/>
      <c r="D34" s="25" t="s">
        <v>73</v>
      </c>
      <c r="F34" s="43">
        <v>0</v>
      </c>
      <c r="G34" s="43">
        <v>0</v>
      </c>
      <c r="H34" s="43">
        <v>0</v>
      </c>
      <c r="I34" s="34">
        <f>SUM(F34:H34)</f>
        <v>0</v>
      </c>
      <c r="J34" s="43">
        <v>0</v>
      </c>
      <c r="K34" s="43">
        <v>0</v>
      </c>
      <c r="L34" s="43">
        <v>0</v>
      </c>
      <c r="M34" s="34">
        <f>SUM(J34:L34)</f>
        <v>0</v>
      </c>
      <c r="N34" s="43">
        <v>0</v>
      </c>
      <c r="O34" s="43">
        <v>0</v>
      </c>
      <c r="P34" s="43">
        <v>0</v>
      </c>
      <c r="Q34" s="34">
        <f>SUM(N34:P34)</f>
        <v>0</v>
      </c>
      <c r="R34" s="43">
        <v>0</v>
      </c>
      <c r="S34" s="43">
        <v>0</v>
      </c>
      <c r="T34" s="43">
        <v>0</v>
      </c>
      <c r="U34" s="34">
        <f>SUM(R34:T34)</f>
        <v>0</v>
      </c>
      <c r="V34" s="34">
        <f t="shared" si="23"/>
        <v>0</v>
      </c>
    </row>
    <row r="35" spans="1:22" ht="13.15" outlineLevel="2">
      <c r="A35" s="22"/>
      <c r="B35" s="22"/>
      <c r="C35" s="22"/>
      <c r="D35" s="25" t="s">
        <v>55</v>
      </c>
      <c r="E35" s="7">
        <v>0</v>
      </c>
      <c r="F35" s="43"/>
      <c r="G35" s="43"/>
      <c r="H35" s="43"/>
      <c r="I35" s="34">
        <f>SUM(F35:H35)</f>
        <v>0</v>
      </c>
      <c r="J35" s="43"/>
      <c r="K35" s="43"/>
      <c r="L35" s="43"/>
      <c r="M35" s="34">
        <f>SUM(J35:L35)</f>
        <v>0</v>
      </c>
      <c r="N35" s="43"/>
      <c r="O35" s="43"/>
      <c r="P35" s="43"/>
      <c r="Q35" s="34">
        <f>SUM(N35:P35)</f>
        <v>0</v>
      </c>
      <c r="R35" s="43"/>
      <c r="S35" s="43"/>
      <c r="T35" s="43"/>
      <c r="U35" s="34">
        <f>SUM(R35:T35)</f>
        <v>0</v>
      </c>
      <c r="V35" s="34">
        <f t="shared" si="23"/>
        <v>0</v>
      </c>
    </row>
    <row r="36" spans="1:22" ht="13.15" outlineLevel="2">
      <c r="A36" s="22"/>
      <c r="B36" s="22"/>
      <c r="C36" s="22"/>
      <c r="D36" s="25" t="s">
        <v>96</v>
      </c>
      <c r="E36" s="7">
        <v>0</v>
      </c>
      <c r="F36" s="43">
        <v>1500000</v>
      </c>
      <c r="G36" s="43">
        <v>1500000</v>
      </c>
      <c r="H36" s="43">
        <v>1500000</v>
      </c>
      <c r="I36" s="34">
        <f>SUM(F36:H36)</f>
        <v>4500000</v>
      </c>
      <c r="J36" s="43">
        <v>1500000</v>
      </c>
      <c r="K36" s="43">
        <v>1500000</v>
      </c>
      <c r="L36" s="43">
        <v>1500000</v>
      </c>
      <c r="M36" s="34">
        <f>SUM(J36:L36)</f>
        <v>4500000</v>
      </c>
      <c r="N36" s="43">
        <v>1500000</v>
      </c>
      <c r="O36" s="43">
        <v>1500000</v>
      </c>
      <c r="P36" s="43">
        <v>1500000</v>
      </c>
      <c r="Q36" s="34">
        <f>SUM(N36:P36)</f>
        <v>4500000</v>
      </c>
      <c r="R36" s="43">
        <v>1500000</v>
      </c>
      <c r="S36" s="43">
        <v>1500000</v>
      </c>
      <c r="T36" s="43">
        <v>1500000</v>
      </c>
      <c r="U36" s="34">
        <f>SUM(R36:T36)</f>
        <v>4500000</v>
      </c>
      <c r="V36" s="34">
        <f t="shared" si="23"/>
        <v>18000000</v>
      </c>
    </row>
    <row r="37" spans="1:22" ht="13.15" outlineLevel="1">
      <c r="A37" s="24"/>
      <c r="B37" s="24" t="s">
        <v>0</v>
      </c>
      <c r="C37" s="24"/>
      <c r="D37" s="24"/>
      <c r="E37" s="8"/>
      <c r="F37" s="44">
        <f t="shared" ref="F37" si="24">SUM(F33:F36)</f>
        <v>11500000</v>
      </c>
      <c r="G37" s="44">
        <f t="shared" ref="G37:H37" si="25">SUM(G33:G36)</f>
        <v>11500000</v>
      </c>
      <c r="H37" s="44">
        <f t="shared" si="25"/>
        <v>11500000</v>
      </c>
      <c r="I37" s="35">
        <f>SUM(I33:I36)</f>
        <v>34500000</v>
      </c>
      <c r="J37" s="44">
        <f t="shared" ref="J37:L37" si="26">SUM(J33:J36)</f>
        <v>11500000</v>
      </c>
      <c r="K37" s="44">
        <f t="shared" si="26"/>
        <v>11500000</v>
      </c>
      <c r="L37" s="44">
        <f t="shared" si="26"/>
        <v>11500000</v>
      </c>
      <c r="M37" s="35">
        <f>SUM(M33:M36)</f>
        <v>34500000</v>
      </c>
      <c r="N37" s="44">
        <f t="shared" ref="N37:P37" si="27">SUM(N33:N36)</f>
        <v>11500000</v>
      </c>
      <c r="O37" s="44">
        <f t="shared" si="27"/>
        <v>11500000</v>
      </c>
      <c r="P37" s="44">
        <f t="shared" si="27"/>
        <v>11500000</v>
      </c>
      <c r="Q37" s="35">
        <f>SUM(Q33:Q36)</f>
        <v>34500000</v>
      </c>
      <c r="R37" s="44">
        <f t="shared" ref="R37:T37" si="28">SUM(R33:R36)</f>
        <v>11500000</v>
      </c>
      <c r="S37" s="44">
        <f t="shared" si="28"/>
        <v>11500000</v>
      </c>
      <c r="T37" s="44">
        <f t="shared" si="28"/>
        <v>11500000</v>
      </c>
      <c r="U37" s="35">
        <f>SUM(U33:U36)</f>
        <v>34500000</v>
      </c>
      <c r="V37" s="35">
        <f t="shared" si="23"/>
        <v>138000000</v>
      </c>
    </row>
    <row r="38" spans="1:22" ht="13.15" outlineLevel="2">
      <c r="A38" s="22"/>
      <c r="B38" s="22"/>
      <c r="C38" s="23" t="s">
        <v>38</v>
      </c>
      <c r="D38" s="22"/>
      <c r="F38" s="43"/>
      <c r="G38" s="43"/>
      <c r="H38" s="43"/>
      <c r="I38" s="34"/>
      <c r="J38" s="43"/>
      <c r="K38" s="43"/>
      <c r="L38" s="43"/>
      <c r="M38" s="34"/>
      <c r="N38" s="43"/>
      <c r="O38" s="43"/>
      <c r="P38" s="43"/>
      <c r="Q38" s="34"/>
      <c r="R38" s="43"/>
      <c r="S38" s="43"/>
      <c r="T38" s="43"/>
      <c r="U38" s="34"/>
      <c r="V38" s="34"/>
    </row>
    <row r="39" spans="1:22" ht="13.15" outlineLevel="2">
      <c r="A39" s="22"/>
      <c r="B39" s="22"/>
      <c r="C39" s="22"/>
      <c r="D39" s="25" t="s">
        <v>30</v>
      </c>
      <c r="E39" s="7">
        <v>0</v>
      </c>
      <c r="F39" s="43">
        <v>600000</v>
      </c>
      <c r="G39" s="43">
        <v>600000</v>
      </c>
      <c r="H39" s="43">
        <v>600000</v>
      </c>
      <c r="I39" s="34">
        <f t="shared" ref="I39:I50" si="29">SUM(F39:H39)</f>
        <v>1800000</v>
      </c>
      <c r="J39" s="43">
        <v>600000</v>
      </c>
      <c r="K39" s="43">
        <v>600000</v>
      </c>
      <c r="L39" s="43">
        <v>600000</v>
      </c>
      <c r="M39" s="34">
        <f t="shared" ref="M39:M50" si="30">SUM(J39:L39)</f>
        <v>1800000</v>
      </c>
      <c r="N39" s="43">
        <v>600000</v>
      </c>
      <c r="O39" s="43">
        <v>600000</v>
      </c>
      <c r="P39" s="43">
        <v>600000</v>
      </c>
      <c r="Q39" s="34">
        <f t="shared" ref="Q39:Q50" si="31">SUM(N39:P39)</f>
        <v>1800000</v>
      </c>
      <c r="R39" s="43">
        <v>600000</v>
      </c>
      <c r="S39" s="43">
        <v>600000</v>
      </c>
      <c r="T39" s="43">
        <v>600000</v>
      </c>
      <c r="U39" s="34">
        <f t="shared" ref="U39:U50" si="32">SUM(R39:T39)</f>
        <v>1800000</v>
      </c>
      <c r="V39" s="34">
        <f t="shared" ref="V39:V53" si="33">I39+M39+Q39+U39</f>
        <v>7200000</v>
      </c>
    </row>
    <row r="40" spans="1:22" ht="13.15" outlineLevel="2">
      <c r="A40" s="22"/>
      <c r="B40" s="22"/>
      <c r="C40" s="22"/>
      <c r="D40" s="25" t="s">
        <v>31</v>
      </c>
      <c r="E40" s="7">
        <v>0</v>
      </c>
      <c r="F40" s="43">
        <v>500000</v>
      </c>
      <c r="G40" s="43">
        <v>500000</v>
      </c>
      <c r="H40" s="43">
        <v>500000</v>
      </c>
      <c r="I40" s="34">
        <f t="shared" si="29"/>
        <v>1500000</v>
      </c>
      <c r="J40" s="43">
        <v>500000</v>
      </c>
      <c r="K40" s="43">
        <v>500000</v>
      </c>
      <c r="L40" s="43">
        <v>500000</v>
      </c>
      <c r="M40" s="34">
        <f t="shared" si="30"/>
        <v>1500000</v>
      </c>
      <c r="N40" s="43">
        <v>500000</v>
      </c>
      <c r="O40" s="43">
        <v>500000</v>
      </c>
      <c r="P40" s="43">
        <v>500000</v>
      </c>
      <c r="Q40" s="34">
        <f t="shared" si="31"/>
        <v>1500000</v>
      </c>
      <c r="R40" s="43">
        <v>500000</v>
      </c>
      <c r="S40" s="43">
        <v>500000</v>
      </c>
      <c r="T40" s="43">
        <v>500000</v>
      </c>
      <c r="U40" s="34">
        <f t="shared" si="32"/>
        <v>1500000</v>
      </c>
      <c r="V40" s="34">
        <f t="shared" si="33"/>
        <v>6000000</v>
      </c>
    </row>
    <row r="41" spans="1:22" ht="13.15" outlineLevel="2">
      <c r="A41" s="22"/>
      <c r="B41" s="22"/>
      <c r="C41" s="22"/>
      <c r="D41" s="25" t="s">
        <v>32</v>
      </c>
      <c r="E41" s="7">
        <v>0</v>
      </c>
      <c r="F41" s="43">
        <v>150000</v>
      </c>
      <c r="G41" s="43">
        <v>150000</v>
      </c>
      <c r="H41" s="43">
        <v>150000</v>
      </c>
      <c r="I41" s="34">
        <f t="shared" si="29"/>
        <v>450000</v>
      </c>
      <c r="J41" s="43">
        <v>150000</v>
      </c>
      <c r="K41" s="43">
        <v>150000</v>
      </c>
      <c r="L41" s="43">
        <v>150000</v>
      </c>
      <c r="M41" s="34">
        <f t="shared" si="30"/>
        <v>450000</v>
      </c>
      <c r="N41" s="43">
        <v>150000</v>
      </c>
      <c r="O41" s="43">
        <v>150000</v>
      </c>
      <c r="P41" s="43">
        <v>150000</v>
      </c>
      <c r="Q41" s="34">
        <f t="shared" si="31"/>
        <v>450000</v>
      </c>
      <c r="R41" s="43">
        <v>150000</v>
      </c>
      <c r="S41" s="43">
        <v>150000</v>
      </c>
      <c r="T41" s="43">
        <v>150000</v>
      </c>
      <c r="U41" s="34">
        <f t="shared" si="32"/>
        <v>450000</v>
      </c>
      <c r="V41" s="34">
        <f t="shared" si="33"/>
        <v>1800000</v>
      </c>
    </row>
    <row r="42" spans="1:22" ht="13.15" outlineLevel="2">
      <c r="A42" s="22"/>
      <c r="B42" s="22"/>
      <c r="C42" s="22"/>
      <c r="D42" s="25" t="s">
        <v>98</v>
      </c>
      <c r="E42" s="7">
        <v>0</v>
      </c>
      <c r="F42" s="43">
        <v>100000</v>
      </c>
      <c r="G42" s="43">
        <v>100000</v>
      </c>
      <c r="H42" s="43">
        <v>100000</v>
      </c>
      <c r="I42" s="34">
        <f t="shared" si="29"/>
        <v>300000</v>
      </c>
      <c r="J42" s="43">
        <v>100000</v>
      </c>
      <c r="K42" s="43">
        <v>100000</v>
      </c>
      <c r="L42" s="43">
        <v>100000</v>
      </c>
      <c r="M42" s="34">
        <f t="shared" si="30"/>
        <v>300000</v>
      </c>
      <c r="N42" s="43">
        <v>100000</v>
      </c>
      <c r="O42" s="43">
        <v>100000</v>
      </c>
      <c r="P42" s="43">
        <v>100000</v>
      </c>
      <c r="Q42" s="34">
        <f t="shared" si="31"/>
        <v>300000</v>
      </c>
      <c r="R42" s="43">
        <v>100000</v>
      </c>
      <c r="S42" s="43">
        <v>100000</v>
      </c>
      <c r="T42" s="43">
        <v>100000</v>
      </c>
      <c r="U42" s="34">
        <f t="shared" ref="U42" si="34">SUM(R42:T42)</f>
        <v>300000</v>
      </c>
      <c r="V42" s="34">
        <f t="shared" si="33"/>
        <v>1200000</v>
      </c>
    </row>
    <row r="43" spans="1:22" ht="13.15" outlineLevel="2">
      <c r="A43" s="22"/>
      <c r="B43" s="22"/>
      <c r="C43" s="22"/>
      <c r="D43" s="25" t="s">
        <v>56</v>
      </c>
      <c r="E43" s="7">
        <v>0</v>
      </c>
      <c r="F43" s="43">
        <v>18000</v>
      </c>
      <c r="G43" s="43">
        <v>18000</v>
      </c>
      <c r="H43" s="43">
        <v>18000</v>
      </c>
      <c r="I43" s="34">
        <f t="shared" si="29"/>
        <v>54000</v>
      </c>
      <c r="J43" s="43">
        <v>18000</v>
      </c>
      <c r="K43" s="43">
        <v>18000</v>
      </c>
      <c r="L43" s="43">
        <v>18000</v>
      </c>
      <c r="M43" s="34">
        <f t="shared" si="30"/>
        <v>54000</v>
      </c>
      <c r="N43" s="43">
        <v>18000</v>
      </c>
      <c r="O43" s="43">
        <v>18000</v>
      </c>
      <c r="P43" s="43">
        <v>18000</v>
      </c>
      <c r="Q43" s="34">
        <f t="shared" si="31"/>
        <v>54000</v>
      </c>
      <c r="R43" s="43">
        <v>18000</v>
      </c>
      <c r="S43" s="43">
        <v>18000</v>
      </c>
      <c r="T43" s="43">
        <v>18000</v>
      </c>
      <c r="U43" s="34">
        <f t="shared" si="32"/>
        <v>54000</v>
      </c>
      <c r="V43" s="34">
        <f t="shared" si="33"/>
        <v>216000</v>
      </c>
    </row>
    <row r="44" spans="1:22" ht="13.15" outlineLevel="2">
      <c r="A44" s="22"/>
      <c r="B44" s="22"/>
      <c r="C44" s="22"/>
      <c r="D44" s="25" t="s">
        <v>57</v>
      </c>
      <c r="F44" s="43">
        <v>187000</v>
      </c>
      <c r="G44" s="43">
        <v>187000</v>
      </c>
      <c r="H44" s="43">
        <v>187000</v>
      </c>
      <c r="I44" s="34">
        <f t="shared" si="29"/>
        <v>561000</v>
      </c>
      <c r="J44" s="43">
        <v>187000</v>
      </c>
      <c r="K44" s="43">
        <v>187000</v>
      </c>
      <c r="L44" s="43">
        <v>187000</v>
      </c>
      <c r="M44" s="34">
        <f t="shared" si="30"/>
        <v>561000</v>
      </c>
      <c r="N44" s="43">
        <v>187000</v>
      </c>
      <c r="O44" s="43">
        <v>187000</v>
      </c>
      <c r="P44" s="43">
        <v>187000</v>
      </c>
      <c r="Q44" s="34">
        <f t="shared" si="31"/>
        <v>561000</v>
      </c>
      <c r="R44" s="43">
        <v>187000</v>
      </c>
      <c r="S44" s="43">
        <v>187000</v>
      </c>
      <c r="T44" s="43">
        <v>187000</v>
      </c>
      <c r="U44" s="34">
        <f t="shared" si="32"/>
        <v>561000</v>
      </c>
      <c r="V44" s="34">
        <f t="shared" si="33"/>
        <v>2244000</v>
      </c>
    </row>
    <row r="45" spans="1:22" ht="13.15" outlineLevel="2">
      <c r="A45" s="22"/>
      <c r="B45" s="22"/>
      <c r="C45" s="22"/>
      <c r="D45" s="25" t="s">
        <v>54</v>
      </c>
      <c r="E45" s="7">
        <v>0</v>
      </c>
      <c r="F45" s="43">
        <v>100000</v>
      </c>
      <c r="G45" s="43">
        <v>100000</v>
      </c>
      <c r="H45" s="43">
        <v>100000</v>
      </c>
      <c r="I45" s="34">
        <f t="shared" si="29"/>
        <v>300000</v>
      </c>
      <c r="J45" s="43">
        <v>100000</v>
      </c>
      <c r="K45" s="43">
        <v>100000</v>
      </c>
      <c r="L45" s="43">
        <v>100000</v>
      </c>
      <c r="M45" s="34">
        <f t="shared" si="30"/>
        <v>300000</v>
      </c>
      <c r="N45" s="43">
        <v>100000</v>
      </c>
      <c r="O45" s="43">
        <v>100000</v>
      </c>
      <c r="P45" s="43">
        <v>100000</v>
      </c>
      <c r="Q45" s="34">
        <f t="shared" si="31"/>
        <v>300000</v>
      </c>
      <c r="R45" s="43">
        <v>100000</v>
      </c>
      <c r="S45" s="43">
        <v>100000</v>
      </c>
      <c r="T45" s="43">
        <v>100000</v>
      </c>
      <c r="U45" s="34">
        <f t="shared" si="32"/>
        <v>300000</v>
      </c>
      <c r="V45" s="34">
        <f t="shared" si="33"/>
        <v>1200000</v>
      </c>
    </row>
    <row r="46" spans="1:22" ht="13.15" outlineLevel="2">
      <c r="A46" s="22"/>
      <c r="B46" s="22"/>
      <c r="C46" s="22"/>
      <c r="D46" s="25" t="s">
        <v>34</v>
      </c>
      <c r="E46" s="7">
        <v>0</v>
      </c>
      <c r="F46" s="43"/>
      <c r="G46" s="43"/>
      <c r="H46" s="43"/>
      <c r="I46" s="34">
        <f t="shared" si="29"/>
        <v>0</v>
      </c>
      <c r="J46" s="43"/>
      <c r="K46" s="43"/>
      <c r="L46" s="43"/>
      <c r="M46" s="34">
        <f t="shared" si="30"/>
        <v>0</v>
      </c>
      <c r="N46" s="43"/>
      <c r="O46" s="43"/>
      <c r="P46" s="43"/>
      <c r="Q46" s="34">
        <f t="shared" si="31"/>
        <v>0</v>
      </c>
      <c r="R46" s="43"/>
      <c r="S46" s="43"/>
      <c r="T46" s="43"/>
      <c r="U46" s="34">
        <f t="shared" si="32"/>
        <v>0</v>
      </c>
      <c r="V46" s="34">
        <f t="shared" si="33"/>
        <v>0</v>
      </c>
    </row>
    <row r="47" spans="1:22" ht="13.15" outlineLevel="2">
      <c r="A47" s="22"/>
      <c r="B47" s="22"/>
      <c r="C47" s="22"/>
      <c r="D47" s="25" t="s">
        <v>65</v>
      </c>
      <c r="E47" s="7">
        <v>0</v>
      </c>
      <c r="F47" s="43"/>
      <c r="G47" s="43"/>
      <c r="H47" s="43"/>
      <c r="I47" s="34">
        <f t="shared" si="29"/>
        <v>0</v>
      </c>
      <c r="J47" s="43"/>
      <c r="K47" s="43"/>
      <c r="L47" s="43"/>
      <c r="M47" s="34">
        <f t="shared" si="30"/>
        <v>0</v>
      </c>
      <c r="N47" s="43"/>
      <c r="O47" s="43"/>
      <c r="P47" s="43"/>
      <c r="Q47" s="34">
        <f t="shared" si="31"/>
        <v>0</v>
      </c>
      <c r="R47" s="43"/>
      <c r="S47" s="43"/>
      <c r="T47" s="43"/>
      <c r="U47" s="34">
        <f t="shared" si="32"/>
        <v>0</v>
      </c>
      <c r="V47" s="34">
        <f t="shared" si="33"/>
        <v>0</v>
      </c>
    </row>
    <row r="48" spans="1:22" ht="13.15" outlineLevel="2">
      <c r="A48" s="22"/>
      <c r="B48" s="22"/>
      <c r="C48" s="22"/>
      <c r="D48" s="25" t="s">
        <v>64</v>
      </c>
      <c r="E48" s="7">
        <v>0</v>
      </c>
      <c r="F48" s="43"/>
      <c r="G48" s="43"/>
      <c r="H48" s="43"/>
      <c r="I48" s="34">
        <f t="shared" si="29"/>
        <v>0</v>
      </c>
      <c r="J48" s="43"/>
      <c r="K48" s="43"/>
      <c r="L48" s="43"/>
      <c r="M48" s="34">
        <f t="shared" si="30"/>
        <v>0</v>
      </c>
      <c r="N48" s="43"/>
      <c r="O48" s="43"/>
      <c r="P48" s="43"/>
      <c r="Q48" s="34">
        <f t="shared" si="31"/>
        <v>0</v>
      </c>
      <c r="R48" s="43"/>
      <c r="S48" s="43"/>
      <c r="T48" s="43"/>
      <c r="U48" s="34">
        <f t="shared" si="32"/>
        <v>0</v>
      </c>
      <c r="V48" s="34">
        <f t="shared" si="33"/>
        <v>0</v>
      </c>
    </row>
    <row r="49" spans="1:22" ht="13.15" outlineLevel="2">
      <c r="A49" s="22"/>
      <c r="B49" s="22"/>
      <c r="C49" s="22"/>
      <c r="D49" s="25" t="s">
        <v>112</v>
      </c>
      <c r="F49" s="43">
        <v>90000</v>
      </c>
      <c r="G49" s="43">
        <v>90000</v>
      </c>
      <c r="H49" s="43">
        <v>90000</v>
      </c>
      <c r="I49" s="34">
        <f t="shared" si="29"/>
        <v>270000</v>
      </c>
      <c r="J49" s="43">
        <v>90000</v>
      </c>
      <c r="K49" s="43">
        <v>90000</v>
      </c>
      <c r="L49" s="43">
        <v>90000</v>
      </c>
      <c r="M49" s="34">
        <f t="shared" si="30"/>
        <v>270000</v>
      </c>
      <c r="N49" s="43">
        <v>90000</v>
      </c>
      <c r="O49" s="43">
        <v>90000</v>
      </c>
      <c r="P49" s="43">
        <v>90000</v>
      </c>
      <c r="Q49" s="34">
        <f t="shared" si="31"/>
        <v>270000</v>
      </c>
      <c r="R49" s="43">
        <v>90000</v>
      </c>
      <c r="S49" s="43">
        <v>90000</v>
      </c>
      <c r="T49" s="43">
        <v>90000</v>
      </c>
      <c r="U49" s="34">
        <f t="shared" si="32"/>
        <v>270000</v>
      </c>
      <c r="V49" s="34">
        <f t="shared" si="33"/>
        <v>1080000</v>
      </c>
    </row>
    <row r="50" spans="1:22" ht="13.15" outlineLevel="2">
      <c r="A50" s="22"/>
      <c r="B50" s="22"/>
      <c r="C50" s="22"/>
      <c r="D50" s="25" t="s">
        <v>119</v>
      </c>
      <c r="F50" s="43">
        <v>20000</v>
      </c>
      <c r="G50" s="43">
        <v>20000</v>
      </c>
      <c r="H50" s="43">
        <v>20000</v>
      </c>
      <c r="I50" s="34">
        <f t="shared" si="29"/>
        <v>60000</v>
      </c>
      <c r="J50" s="43">
        <v>20000</v>
      </c>
      <c r="K50" s="43">
        <v>20000</v>
      </c>
      <c r="L50" s="43">
        <v>20000</v>
      </c>
      <c r="M50" s="34">
        <f t="shared" si="30"/>
        <v>60000</v>
      </c>
      <c r="N50" s="43">
        <v>20000</v>
      </c>
      <c r="O50" s="43">
        <v>20000</v>
      </c>
      <c r="P50" s="43">
        <v>20000</v>
      </c>
      <c r="Q50" s="34">
        <f t="shared" si="31"/>
        <v>60000</v>
      </c>
      <c r="R50" s="43">
        <v>20000</v>
      </c>
      <c r="S50" s="43">
        <v>20000</v>
      </c>
      <c r="T50" s="43">
        <v>20000</v>
      </c>
      <c r="U50" s="34">
        <f t="shared" si="32"/>
        <v>60000</v>
      </c>
      <c r="V50" s="34">
        <f t="shared" si="33"/>
        <v>240000</v>
      </c>
    </row>
    <row r="51" spans="1:22" ht="13.15" outlineLevel="1">
      <c r="A51" s="24"/>
      <c r="B51" s="24" t="s">
        <v>1</v>
      </c>
      <c r="C51" s="24"/>
      <c r="D51" s="24"/>
      <c r="E51" s="8"/>
      <c r="F51" s="44">
        <f t="shared" ref="F51:G51" si="35">SUM(F39:F50)</f>
        <v>1765000</v>
      </c>
      <c r="G51" s="44">
        <f t="shared" si="35"/>
        <v>1765000</v>
      </c>
      <c r="H51" s="44">
        <f t="shared" ref="H51" si="36">SUM(H39:H50)</f>
        <v>1765000</v>
      </c>
      <c r="I51" s="35">
        <f>SUM(I39:I50)</f>
        <v>5295000</v>
      </c>
      <c r="J51" s="44">
        <f t="shared" ref="J51:L51" si="37">SUM(J39:J50)</f>
        <v>1765000</v>
      </c>
      <c r="K51" s="44">
        <f t="shared" si="37"/>
        <v>1765000</v>
      </c>
      <c r="L51" s="44">
        <f t="shared" si="37"/>
        <v>1765000</v>
      </c>
      <c r="M51" s="35">
        <f>SUM(M39:M50)</f>
        <v>5295000</v>
      </c>
      <c r="N51" s="44">
        <f t="shared" ref="N51:P51" si="38">SUM(N39:N50)</f>
        <v>1765000</v>
      </c>
      <c r="O51" s="44">
        <f t="shared" si="38"/>
        <v>1765000</v>
      </c>
      <c r="P51" s="44">
        <f t="shared" si="38"/>
        <v>1765000</v>
      </c>
      <c r="Q51" s="35">
        <f>SUM(Q39:Q50)</f>
        <v>5295000</v>
      </c>
      <c r="R51" s="44">
        <f t="shared" ref="R51:T51" si="39">SUM(R39:R50)</f>
        <v>1765000</v>
      </c>
      <c r="S51" s="44">
        <f t="shared" si="39"/>
        <v>1765000</v>
      </c>
      <c r="T51" s="44">
        <f t="shared" si="39"/>
        <v>1765000</v>
      </c>
      <c r="U51" s="35">
        <f>SUM(U39:U50)</f>
        <v>5295000</v>
      </c>
      <c r="V51" s="35">
        <f t="shared" si="33"/>
        <v>21180000</v>
      </c>
    </row>
    <row r="52" spans="1:22" ht="13.15" outlineLevel="1">
      <c r="A52" s="24"/>
      <c r="B52" s="24" t="s">
        <v>2</v>
      </c>
      <c r="C52" s="24"/>
      <c r="D52" s="24"/>
      <c r="E52" s="8"/>
      <c r="F52" s="44">
        <f>F37+F51</f>
        <v>13265000</v>
      </c>
      <c r="G52" s="44">
        <f>G37+G51</f>
        <v>13265000</v>
      </c>
      <c r="H52" s="44">
        <f>H37+H51</f>
        <v>13265000</v>
      </c>
      <c r="I52" s="35">
        <f>I51+I37</f>
        <v>39795000</v>
      </c>
      <c r="J52" s="44">
        <f>J37+J51</f>
        <v>13265000</v>
      </c>
      <c r="K52" s="44">
        <f>K37+K51</f>
        <v>13265000</v>
      </c>
      <c r="L52" s="44">
        <f>L37+L51</f>
        <v>13265000</v>
      </c>
      <c r="M52" s="35">
        <f>M51+M37</f>
        <v>39795000</v>
      </c>
      <c r="N52" s="44">
        <f>N37+N51</f>
        <v>13265000</v>
      </c>
      <c r="O52" s="44">
        <f>O37+O51</f>
        <v>13265000</v>
      </c>
      <c r="P52" s="44">
        <f>P37+P51</f>
        <v>13265000</v>
      </c>
      <c r="Q52" s="35">
        <f>Q51+Q37</f>
        <v>39795000</v>
      </c>
      <c r="R52" s="44">
        <f>R37+R51</f>
        <v>13265000</v>
      </c>
      <c r="S52" s="44">
        <f>S37+S51</f>
        <v>13265000</v>
      </c>
      <c r="T52" s="44">
        <f>T37+T51</f>
        <v>13265000</v>
      </c>
      <c r="U52" s="35">
        <f>U51+U37</f>
        <v>39795000</v>
      </c>
      <c r="V52" s="35">
        <f t="shared" si="33"/>
        <v>159180000</v>
      </c>
    </row>
    <row r="53" spans="1:22" s="4" customFormat="1" ht="13.15" outlineLevel="1">
      <c r="A53" s="24"/>
      <c r="B53" s="24" t="s">
        <v>3</v>
      </c>
      <c r="C53" s="24"/>
      <c r="D53" s="24"/>
      <c r="E53" s="8">
        <v>0</v>
      </c>
      <c r="F53" s="44">
        <v>0</v>
      </c>
      <c r="G53" s="44">
        <v>0</v>
      </c>
      <c r="H53" s="44">
        <v>0</v>
      </c>
      <c r="I53" s="35">
        <v>0</v>
      </c>
      <c r="J53" s="44">
        <v>0</v>
      </c>
      <c r="K53" s="44">
        <v>0</v>
      </c>
      <c r="L53" s="44">
        <v>0</v>
      </c>
      <c r="M53" s="35">
        <v>0</v>
      </c>
      <c r="N53" s="44">
        <v>0</v>
      </c>
      <c r="O53" s="44">
        <v>0</v>
      </c>
      <c r="P53" s="44">
        <v>0</v>
      </c>
      <c r="Q53" s="35">
        <v>0</v>
      </c>
      <c r="R53" s="44">
        <v>0</v>
      </c>
      <c r="S53" s="44">
        <v>0</v>
      </c>
      <c r="T53" s="44">
        <v>0</v>
      </c>
      <c r="U53" s="35">
        <v>0</v>
      </c>
      <c r="V53" s="35">
        <f t="shared" si="33"/>
        <v>0</v>
      </c>
    </row>
    <row r="54" spans="1:22" ht="13.15" outlineLevel="2">
      <c r="A54" s="22"/>
      <c r="B54" s="23" t="s">
        <v>39</v>
      </c>
      <c r="C54" s="22"/>
      <c r="D54" s="22"/>
      <c r="F54" s="43"/>
      <c r="G54" s="43"/>
      <c r="H54" s="43"/>
      <c r="I54" s="34"/>
      <c r="J54" s="43"/>
      <c r="K54" s="43"/>
      <c r="L54" s="43"/>
      <c r="M54" s="34"/>
      <c r="N54" s="43"/>
      <c r="O54" s="43"/>
      <c r="P54" s="43"/>
      <c r="Q54" s="34"/>
      <c r="R54" s="43"/>
      <c r="S54" s="43"/>
      <c r="T54" s="43"/>
      <c r="U54" s="34"/>
      <c r="V54" s="34"/>
    </row>
    <row r="55" spans="1:22" ht="13.15" outlineLevel="2">
      <c r="A55" s="22"/>
      <c r="B55" s="22"/>
      <c r="C55" s="25" t="s">
        <v>58</v>
      </c>
      <c r="D55" s="22"/>
      <c r="E55" s="7">
        <v>0</v>
      </c>
      <c r="F55" s="43"/>
      <c r="G55" s="43"/>
      <c r="H55" s="43"/>
      <c r="I55" s="34">
        <f t="shared" ref="I55:I65" si="40">SUM(F55:H55)</f>
        <v>0</v>
      </c>
      <c r="J55" s="43"/>
      <c r="K55" s="43"/>
      <c r="L55" s="43"/>
      <c r="M55" s="34">
        <f t="shared" ref="M55:M65" si="41">SUM(J55:L55)</f>
        <v>0</v>
      </c>
      <c r="N55" s="43"/>
      <c r="O55" s="43"/>
      <c r="P55" s="43"/>
      <c r="Q55" s="34">
        <f t="shared" ref="Q55:Q65" si="42">SUM(N55:P55)</f>
        <v>0</v>
      </c>
      <c r="R55" s="43"/>
      <c r="S55" s="43"/>
      <c r="T55" s="43"/>
      <c r="U55" s="34">
        <f t="shared" ref="U55:U65" si="43">SUM(R55:T55)</f>
        <v>0</v>
      </c>
      <c r="V55" s="34">
        <f t="shared" ref="V55:V66" si="44">I55+M55+Q55+U55</f>
        <v>0</v>
      </c>
    </row>
    <row r="56" spans="1:22" ht="13.15" outlineLevel="2">
      <c r="A56" s="22"/>
      <c r="B56" s="22"/>
      <c r="C56" s="25" t="s">
        <v>59</v>
      </c>
      <c r="D56" s="22"/>
      <c r="F56" s="43">
        <v>163000</v>
      </c>
      <c r="G56" s="43">
        <v>163000</v>
      </c>
      <c r="H56" s="43">
        <v>163000</v>
      </c>
      <c r="I56" s="34">
        <f t="shared" si="40"/>
        <v>489000</v>
      </c>
      <c r="J56" s="43">
        <v>163000</v>
      </c>
      <c r="K56" s="43">
        <v>163000</v>
      </c>
      <c r="L56" s="43">
        <v>163000</v>
      </c>
      <c r="M56" s="34">
        <f t="shared" si="41"/>
        <v>489000</v>
      </c>
      <c r="N56" s="43">
        <v>163000</v>
      </c>
      <c r="O56" s="43">
        <v>163000</v>
      </c>
      <c r="P56" s="43">
        <v>163000</v>
      </c>
      <c r="Q56" s="34">
        <f t="shared" si="42"/>
        <v>489000</v>
      </c>
      <c r="R56" s="43">
        <v>163000</v>
      </c>
      <c r="S56" s="43">
        <v>163000</v>
      </c>
      <c r="T56" s="43">
        <v>163000</v>
      </c>
      <c r="U56" s="34">
        <f t="shared" si="43"/>
        <v>489000</v>
      </c>
      <c r="V56" s="34">
        <f t="shared" si="44"/>
        <v>1956000</v>
      </c>
    </row>
    <row r="57" spans="1:22" ht="13.15" outlineLevel="2">
      <c r="A57" s="22"/>
      <c r="B57" s="22"/>
      <c r="C57" s="25" t="s">
        <v>60</v>
      </c>
      <c r="D57" s="22"/>
      <c r="F57" s="43"/>
      <c r="G57" s="43"/>
      <c r="H57" s="43"/>
      <c r="I57" s="34">
        <f t="shared" si="40"/>
        <v>0</v>
      </c>
      <c r="J57" s="43"/>
      <c r="K57" s="43"/>
      <c r="L57" s="43"/>
      <c r="M57" s="34">
        <f t="shared" si="41"/>
        <v>0</v>
      </c>
      <c r="N57" s="43"/>
      <c r="O57" s="43"/>
      <c r="P57" s="43"/>
      <c r="Q57" s="34">
        <f t="shared" si="42"/>
        <v>0</v>
      </c>
      <c r="R57" s="43"/>
      <c r="S57" s="43"/>
      <c r="T57" s="43"/>
      <c r="U57" s="34">
        <f t="shared" si="43"/>
        <v>0</v>
      </c>
      <c r="V57" s="34">
        <f t="shared" si="44"/>
        <v>0</v>
      </c>
    </row>
    <row r="58" spans="1:22" ht="13.15" outlineLevel="2">
      <c r="A58" s="22"/>
      <c r="B58" s="22"/>
      <c r="C58" s="25" t="s">
        <v>61</v>
      </c>
      <c r="D58" s="22"/>
      <c r="F58" s="43">
        <v>399000</v>
      </c>
      <c r="G58" s="43">
        <v>399000</v>
      </c>
      <c r="H58" s="43">
        <v>399000</v>
      </c>
      <c r="I58" s="34">
        <f t="shared" si="40"/>
        <v>1197000</v>
      </c>
      <c r="J58" s="43">
        <v>399000</v>
      </c>
      <c r="K58" s="43">
        <v>399000</v>
      </c>
      <c r="L58" s="43">
        <v>399000</v>
      </c>
      <c r="M58" s="34">
        <f t="shared" si="41"/>
        <v>1197000</v>
      </c>
      <c r="N58" s="43">
        <v>399000</v>
      </c>
      <c r="O58" s="43">
        <v>399000</v>
      </c>
      <c r="P58" s="43">
        <v>399000</v>
      </c>
      <c r="Q58" s="34">
        <f t="shared" si="42"/>
        <v>1197000</v>
      </c>
      <c r="R58" s="43">
        <v>399000</v>
      </c>
      <c r="S58" s="43">
        <v>399000</v>
      </c>
      <c r="T58" s="43">
        <v>399000</v>
      </c>
      <c r="U58" s="34">
        <f t="shared" si="43"/>
        <v>1197000</v>
      </c>
      <c r="V58" s="34">
        <f t="shared" si="44"/>
        <v>4788000</v>
      </c>
    </row>
    <row r="59" spans="1:22" ht="13.15" outlineLevel="2">
      <c r="A59" s="22"/>
      <c r="B59" s="22"/>
      <c r="C59" s="25" t="s">
        <v>62</v>
      </c>
      <c r="D59" s="22"/>
      <c r="F59" s="43">
        <v>420000</v>
      </c>
      <c r="G59" s="43">
        <v>420000</v>
      </c>
      <c r="H59" s="43">
        <v>420000</v>
      </c>
      <c r="I59" s="34">
        <f t="shared" si="40"/>
        <v>1260000</v>
      </c>
      <c r="J59" s="43">
        <v>420000</v>
      </c>
      <c r="K59" s="43">
        <v>420000</v>
      </c>
      <c r="L59" s="43">
        <v>420000</v>
      </c>
      <c r="M59" s="34">
        <f t="shared" si="41"/>
        <v>1260000</v>
      </c>
      <c r="N59" s="43">
        <v>420000</v>
      </c>
      <c r="O59" s="43">
        <v>420000</v>
      </c>
      <c r="P59" s="43">
        <v>420000</v>
      </c>
      <c r="Q59" s="34">
        <f t="shared" si="42"/>
        <v>1260000</v>
      </c>
      <c r="R59" s="43">
        <v>420000</v>
      </c>
      <c r="S59" s="43">
        <v>420000</v>
      </c>
      <c r="T59" s="43">
        <v>420000</v>
      </c>
      <c r="U59" s="34">
        <f t="shared" si="43"/>
        <v>1260000</v>
      </c>
      <c r="V59" s="34">
        <f t="shared" si="44"/>
        <v>5040000</v>
      </c>
    </row>
    <row r="60" spans="1:22" ht="13.15" outlineLevel="2">
      <c r="A60" s="22"/>
      <c r="B60" s="22"/>
      <c r="C60" s="25" t="s">
        <v>118</v>
      </c>
      <c r="D60" s="22"/>
      <c r="F60" s="43"/>
      <c r="G60" s="43"/>
      <c r="H60" s="43"/>
      <c r="I60" s="34">
        <f t="shared" si="40"/>
        <v>0</v>
      </c>
      <c r="J60" s="43"/>
      <c r="K60" s="43"/>
      <c r="L60" s="43"/>
      <c r="M60" s="34">
        <f t="shared" si="41"/>
        <v>0</v>
      </c>
      <c r="N60" s="43"/>
      <c r="O60" s="43"/>
      <c r="P60" s="43"/>
      <c r="Q60" s="34">
        <f t="shared" si="42"/>
        <v>0</v>
      </c>
      <c r="R60" s="43"/>
      <c r="S60" s="43"/>
      <c r="T60" s="43"/>
      <c r="U60" s="34">
        <f t="shared" si="43"/>
        <v>0</v>
      </c>
      <c r="V60" s="34">
        <f t="shared" si="44"/>
        <v>0</v>
      </c>
    </row>
    <row r="61" spans="1:22" ht="13.15" outlineLevel="2">
      <c r="A61" s="22"/>
      <c r="B61" s="22"/>
      <c r="C61" s="25" t="s">
        <v>157</v>
      </c>
      <c r="D61" s="22"/>
      <c r="F61" s="43"/>
      <c r="G61" s="43"/>
      <c r="H61" s="43"/>
      <c r="I61" s="34">
        <f t="shared" si="40"/>
        <v>0</v>
      </c>
      <c r="J61" s="43"/>
      <c r="K61" s="43"/>
      <c r="L61" s="43"/>
      <c r="M61" s="34">
        <f t="shared" si="41"/>
        <v>0</v>
      </c>
      <c r="N61" s="43"/>
      <c r="O61" s="43"/>
      <c r="P61" s="43"/>
      <c r="Q61" s="34">
        <f t="shared" si="42"/>
        <v>0</v>
      </c>
      <c r="R61" s="43"/>
      <c r="S61" s="43"/>
      <c r="T61" s="43"/>
      <c r="U61" s="34">
        <f t="shared" si="43"/>
        <v>0</v>
      </c>
      <c r="V61" s="34">
        <f t="shared" si="44"/>
        <v>0</v>
      </c>
    </row>
    <row r="62" spans="1:22" ht="13.15" outlineLevel="2">
      <c r="A62" s="22"/>
      <c r="B62" s="22"/>
      <c r="C62" s="25" t="s">
        <v>28</v>
      </c>
      <c r="D62" s="22"/>
      <c r="E62" s="7">
        <v>0</v>
      </c>
      <c r="F62" s="43"/>
      <c r="G62" s="43"/>
      <c r="H62" s="43"/>
      <c r="I62" s="34">
        <f t="shared" si="40"/>
        <v>0</v>
      </c>
      <c r="J62" s="43"/>
      <c r="K62" s="43"/>
      <c r="L62" s="43"/>
      <c r="M62" s="34">
        <f t="shared" si="41"/>
        <v>0</v>
      </c>
      <c r="N62" s="43"/>
      <c r="O62" s="43"/>
      <c r="P62" s="43"/>
      <c r="Q62" s="34">
        <f t="shared" si="42"/>
        <v>0</v>
      </c>
      <c r="R62" s="43"/>
      <c r="S62" s="43"/>
      <c r="T62" s="43"/>
      <c r="U62" s="34">
        <f t="shared" si="43"/>
        <v>0</v>
      </c>
      <c r="V62" s="34">
        <f t="shared" si="44"/>
        <v>0</v>
      </c>
    </row>
    <row r="63" spans="1:22" ht="13.15" outlineLevel="2">
      <c r="A63" s="22"/>
      <c r="B63" s="22"/>
      <c r="C63" s="25" t="s">
        <v>35</v>
      </c>
      <c r="D63" s="22"/>
      <c r="E63" s="7">
        <v>0</v>
      </c>
      <c r="F63" s="43">
        <v>724000</v>
      </c>
      <c r="G63" s="43">
        <v>724000</v>
      </c>
      <c r="H63" s="43">
        <v>724000</v>
      </c>
      <c r="I63" s="34">
        <f t="shared" si="40"/>
        <v>2172000</v>
      </c>
      <c r="J63" s="43">
        <v>724000</v>
      </c>
      <c r="K63" s="43">
        <v>724000</v>
      </c>
      <c r="L63" s="43">
        <v>724000</v>
      </c>
      <c r="M63" s="34">
        <f t="shared" si="41"/>
        <v>2172000</v>
      </c>
      <c r="N63" s="43">
        <v>724000</v>
      </c>
      <c r="O63" s="43">
        <v>724000</v>
      </c>
      <c r="P63" s="43">
        <v>724000</v>
      </c>
      <c r="Q63" s="34">
        <f t="shared" si="42"/>
        <v>2172000</v>
      </c>
      <c r="R63" s="43">
        <v>724000</v>
      </c>
      <c r="S63" s="43">
        <v>724000</v>
      </c>
      <c r="T63" s="43">
        <v>724000</v>
      </c>
      <c r="U63" s="34">
        <f t="shared" si="43"/>
        <v>2172000</v>
      </c>
      <c r="V63" s="34">
        <f t="shared" si="44"/>
        <v>8688000</v>
      </c>
    </row>
    <row r="64" spans="1:22" ht="13.15" outlineLevel="2">
      <c r="A64" s="22"/>
      <c r="B64" s="22"/>
      <c r="C64" s="25" t="s">
        <v>52</v>
      </c>
      <c r="D64" s="22"/>
      <c r="E64" s="7">
        <v>0</v>
      </c>
      <c r="F64" s="43">
        <v>82000</v>
      </c>
      <c r="G64" s="43">
        <v>82000</v>
      </c>
      <c r="H64" s="43">
        <v>82000</v>
      </c>
      <c r="I64" s="34">
        <f t="shared" si="40"/>
        <v>246000</v>
      </c>
      <c r="J64" s="43">
        <v>82000</v>
      </c>
      <c r="K64" s="43">
        <v>82000</v>
      </c>
      <c r="L64" s="43">
        <v>82000</v>
      </c>
      <c r="M64" s="34">
        <f t="shared" si="41"/>
        <v>246000</v>
      </c>
      <c r="N64" s="43">
        <v>82000</v>
      </c>
      <c r="O64" s="43">
        <v>82000</v>
      </c>
      <c r="P64" s="43">
        <v>82000</v>
      </c>
      <c r="Q64" s="34">
        <f t="shared" si="42"/>
        <v>246000</v>
      </c>
      <c r="R64" s="43">
        <v>82000</v>
      </c>
      <c r="S64" s="43">
        <v>82000</v>
      </c>
      <c r="T64" s="43">
        <v>82000</v>
      </c>
      <c r="U64" s="34">
        <f t="shared" si="43"/>
        <v>246000</v>
      </c>
      <c r="V64" s="34">
        <f t="shared" si="44"/>
        <v>984000</v>
      </c>
    </row>
    <row r="65" spans="1:22" ht="13.15" outlineLevel="2">
      <c r="A65" s="22"/>
      <c r="B65" s="22"/>
      <c r="C65" s="25" t="s">
        <v>36</v>
      </c>
      <c r="D65" s="22"/>
      <c r="E65" s="7">
        <v>0</v>
      </c>
      <c r="F65" s="43"/>
      <c r="G65" s="43"/>
      <c r="H65" s="43"/>
      <c r="I65" s="34">
        <f t="shared" si="40"/>
        <v>0</v>
      </c>
      <c r="J65" s="43"/>
      <c r="K65" s="43"/>
      <c r="L65" s="43"/>
      <c r="M65" s="34">
        <f t="shared" si="41"/>
        <v>0</v>
      </c>
      <c r="N65" s="43"/>
      <c r="O65" s="43"/>
      <c r="P65" s="43"/>
      <c r="Q65" s="34">
        <f t="shared" si="42"/>
        <v>0</v>
      </c>
      <c r="R65" s="43"/>
      <c r="S65" s="43"/>
      <c r="T65" s="43"/>
      <c r="U65" s="34">
        <f t="shared" si="43"/>
        <v>0</v>
      </c>
      <c r="V65" s="34">
        <f t="shared" si="44"/>
        <v>0</v>
      </c>
    </row>
    <row r="66" spans="1:22" ht="13.15" outlineLevel="1">
      <c r="A66" s="24"/>
      <c r="B66" s="24" t="s">
        <v>4</v>
      </c>
      <c r="C66" s="24"/>
      <c r="D66" s="24"/>
      <c r="E66" s="8"/>
      <c r="F66" s="44">
        <f t="shared" ref="F66:G66" si="45">SUM(F55:F65)</f>
        <v>1788000</v>
      </c>
      <c r="G66" s="44">
        <f t="shared" si="45"/>
        <v>1788000</v>
      </c>
      <c r="H66" s="44">
        <f t="shared" ref="H66" si="46">SUM(H55:H65)</f>
        <v>1788000</v>
      </c>
      <c r="I66" s="35">
        <f>SUM(I55:I65)</f>
        <v>5364000</v>
      </c>
      <c r="J66" s="44">
        <f t="shared" ref="J66:L66" si="47">SUM(J55:J65)</f>
        <v>1788000</v>
      </c>
      <c r="K66" s="44">
        <f t="shared" si="47"/>
        <v>1788000</v>
      </c>
      <c r="L66" s="44">
        <f t="shared" si="47"/>
        <v>1788000</v>
      </c>
      <c r="M66" s="35">
        <f>SUM(M55:M65)</f>
        <v>5364000</v>
      </c>
      <c r="N66" s="44">
        <f t="shared" ref="N66:P66" si="48">SUM(N55:N65)</f>
        <v>1788000</v>
      </c>
      <c r="O66" s="44">
        <f t="shared" si="48"/>
        <v>1788000</v>
      </c>
      <c r="P66" s="44">
        <f t="shared" si="48"/>
        <v>1788000</v>
      </c>
      <c r="Q66" s="35">
        <f>SUM(Q55:Q65)</f>
        <v>5364000</v>
      </c>
      <c r="R66" s="44">
        <f t="shared" ref="R66:T66" si="49">SUM(R55:R65)</f>
        <v>1788000</v>
      </c>
      <c r="S66" s="44">
        <f t="shared" si="49"/>
        <v>1788000</v>
      </c>
      <c r="T66" s="44">
        <f t="shared" si="49"/>
        <v>1788000</v>
      </c>
      <c r="U66" s="35">
        <f>SUM(U55:U65)</f>
        <v>5364000</v>
      </c>
      <c r="V66" s="35">
        <f t="shared" si="44"/>
        <v>21456000</v>
      </c>
    </row>
    <row r="67" spans="1:22" ht="13.15" outlineLevel="2">
      <c r="A67" s="24"/>
      <c r="B67" s="26" t="s">
        <v>5</v>
      </c>
      <c r="C67" s="27"/>
      <c r="D67" s="27"/>
      <c r="E67" s="9"/>
      <c r="F67" s="129"/>
      <c r="G67" s="129"/>
      <c r="H67" s="129"/>
      <c r="I67" s="36"/>
      <c r="J67" s="129"/>
      <c r="K67" s="129"/>
      <c r="L67" s="129"/>
      <c r="M67" s="36"/>
      <c r="N67" s="129"/>
      <c r="O67" s="129"/>
      <c r="P67" s="129"/>
      <c r="Q67" s="36"/>
      <c r="R67" s="129"/>
      <c r="S67" s="129"/>
      <c r="T67" s="129"/>
      <c r="U67" s="36"/>
      <c r="V67" s="35" t="s">
        <v>86</v>
      </c>
    </row>
    <row r="68" spans="1:22" ht="13.15" outlineLevel="2">
      <c r="A68" s="24"/>
      <c r="B68" s="27"/>
      <c r="C68" s="28" t="s">
        <v>47</v>
      </c>
      <c r="D68" s="27"/>
      <c r="E68" s="9">
        <v>0</v>
      </c>
      <c r="F68" s="43">
        <v>0</v>
      </c>
      <c r="G68" s="43"/>
      <c r="H68" s="43"/>
      <c r="I68" s="34">
        <f>SUM(F68:H68)</f>
        <v>0</v>
      </c>
      <c r="J68" s="43"/>
      <c r="K68" s="43"/>
      <c r="L68" s="43"/>
      <c r="M68" s="34">
        <f>SUM(J68:L68)</f>
        <v>0</v>
      </c>
      <c r="N68" s="43"/>
      <c r="O68" s="43"/>
      <c r="P68" s="43"/>
      <c r="Q68" s="34">
        <f>SUM(N68:P68)</f>
        <v>0</v>
      </c>
      <c r="R68" s="43"/>
      <c r="S68" s="43"/>
      <c r="T68" s="43"/>
      <c r="U68" s="34">
        <f>SUM(R68:T68)</f>
        <v>0</v>
      </c>
      <c r="V68" s="34">
        <f>I68+M68+Q68+U68</f>
        <v>0</v>
      </c>
    </row>
    <row r="69" spans="1:22" ht="13.15" outlineLevel="2">
      <c r="A69" s="24"/>
      <c r="B69" s="27"/>
      <c r="C69" s="28" t="s">
        <v>48</v>
      </c>
      <c r="D69" s="27"/>
      <c r="E69" s="9">
        <v>0</v>
      </c>
      <c r="F69" s="43">
        <v>15000</v>
      </c>
      <c r="G69" s="43">
        <v>1000000</v>
      </c>
      <c r="H69" s="43">
        <v>1000000</v>
      </c>
      <c r="I69" s="34">
        <f>SUM(F69:H69)</f>
        <v>2015000</v>
      </c>
      <c r="J69" s="43">
        <v>1000000</v>
      </c>
      <c r="K69" s="43">
        <v>1000000</v>
      </c>
      <c r="L69" s="43">
        <v>1000000</v>
      </c>
      <c r="M69" s="34">
        <f>SUM(J69:L69)</f>
        <v>3000000</v>
      </c>
      <c r="N69" s="43">
        <v>1000000</v>
      </c>
      <c r="O69" s="43">
        <v>1000000</v>
      </c>
      <c r="P69" s="43">
        <v>1000000</v>
      </c>
      <c r="Q69" s="34">
        <f>SUM(N69:P69)</f>
        <v>3000000</v>
      </c>
      <c r="R69" s="43">
        <v>1000000</v>
      </c>
      <c r="S69" s="43">
        <v>1000000</v>
      </c>
      <c r="T69" s="43">
        <v>1000000</v>
      </c>
      <c r="U69" s="34">
        <f>SUM(R69:T69)</f>
        <v>3000000</v>
      </c>
      <c r="V69" s="34">
        <f>I69+M69+Q69+U69</f>
        <v>11015000</v>
      </c>
    </row>
    <row r="70" spans="1:22" ht="13.15" outlineLevel="2">
      <c r="A70" s="24"/>
      <c r="B70" s="27"/>
      <c r="C70" s="28" t="s">
        <v>26</v>
      </c>
      <c r="D70" s="27"/>
      <c r="E70" s="9">
        <v>0</v>
      </c>
      <c r="F70" s="43"/>
      <c r="G70" s="43"/>
      <c r="H70" s="43"/>
      <c r="I70" s="34">
        <f>SUM(F70:H70)</f>
        <v>0</v>
      </c>
      <c r="J70" s="43"/>
      <c r="K70" s="43"/>
      <c r="L70" s="43"/>
      <c r="M70" s="34">
        <f>SUM(J70:L70)</f>
        <v>0</v>
      </c>
      <c r="N70" s="43"/>
      <c r="O70" s="43"/>
      <c r="P70" s="43"/>
      <c r="Q70" s="34">
        <f>SUM(N70:P70)</f>
        <v>0</v>
      </c>
      <c r="R70" s="43"/>
      <c r="S70" s="43"/>
      <c r="T70" s="43"/>
      <c r="U70" s="34">
        <f>SUM(R70:T70)</f>
        <v>0</v>
      </c>
      <c r="V70" s="34">
        <f>I70+M70+Q70+U70</f>
        <v>0</v>
      </c>
    </row>
    <row r="71" spans="1:22" ht="13.15" outlineLevel="1">
      <c r="A71" s="24"/>
      <c r="B71" s="29" t="s">
        <v>6</v>
      </c>
      <c r="C71" s="30"/>
      <c r="D71" s="30"/>
      <c r="E71" s="10"/>
      <c r="F71" s="45">
        <f>SUM(F68:F70)</f>
        <v>15000</v>
      </c>
      <c r="G71" s="45">
        <f>SUM(G68:G70)</f>
        <v>1000000</v>
      </c>
      <c r="H71" s="45">
        <f>SUM(H68:H70)</f>
        <v>1000000</v>
      </c>
      <c r="I71" s="35">
        <f t="shared" ref="I71:Q71" si="50">SUM(I68:I70)</f>
        <v>2015000</v>
      </c>
      <c r="J71" s="45">
        <f>SUM(J68:J70)</f>
        <v>1000000</v>
      </c>
      <c r="K71" s="45">
        <f>SUM(K68:K70)</f>
        <v>1000000</v>
      </c>
      <c r="L71" s="45">
        <f>SUM(L68:L70)</f>
        <v>1000000</v>
      </c>
      <c r="M71" s="35">
        <f t="shared" si="50"/>
        <v>3000000</v>
      </c>
      <c r="N71" s="45">
        <f>SUM(N68:N70)</f>
        <v>1000000</v>
      </c>
      <c r="O71" s="45">
        <f>SUM(O68:O70)</f>
        <v>1000000</v>
      </c>
      <c r="P71" s="45">
        <f>SUM(P68:P70)</f>
        <v>1000000</v>
      </c>
      <c r="Q71" s="35">
        <f t="shared" si="50"/>
        <v>3000000</v>
      </c>
      <c r="R71" s="45">
        <f>SUM(R68:R70)</f>
        <v>1000000</v>
      </c>
      <c r="S71" s="45">
        <f>SUM(S68:S70)</f>
        <v>1000000</v>
      </c>
      <c r="T71" s="45">
        <f>SUM(T68:T70)</f>
        <v>1000000</v>
      </c>
      <c r="U71" s="35">
        <f t="shared" ref="U71" si="51">SUM(U68:U70)</f>
        <v>3000000</v>
      </c>
      <c r="V71" s="35">
        <f>I71+M71+Q71+U71</f>
        <v>11015000</v>
      </c>
    </row>
    <row r="72" spans="1:22" ht="13.15" outlineLevel="2">
      <c r="A72" s="24"/>
      <c r="B72" s="26" t="s">
        <v>7</v>
      </c>
      <c r="C72" s="27"/>
      <c r="D72" s="27"/>
      <c r="E72" s="9"/>
      <c r="F72" s="129"/>
      <c r="G72" s="129"/>
      <c r="H72" s="129"/>
      <c r="I72" s="36"/>
      <c r="J72" s="129"/>
      <c r="K72" s="129"/>
      <c r="L72" s="129"/>
      <c r="M72" s="36"/>
      <c r="N72" s="129"/>
      <c r="O72" s="129"/>
      <c r="P72" s="129"/>
      <c r="Q72" s="36"/>
      <c r="R72" s="129"/>
      <c r="S72" s="129"/>
      <c r="T72" s="129"/>
      <c r="U72" s="36"/>
      <c r="V72" s="36"/>
    </row>
    <row r="73" spans="1:22" ht="13.15" outlineLevel="2">
      <c r="A73" s="24"/>
      <c r="B73" s="27"/>
      <c r="C73" s="28" t="s">
        <v>40</v>
      </c>
      <c r="D73" s="27"/>
      <c r="E73" s="9">
        <v>0</v>
      </c>
      <c r="F73" s="43"/>
      <c r="G73" s="43"/>
      <c r="H73" s="43"/>
      <c r="I73" s="34">
        <f>SUM(F73:H73)</f>
        <v>0</v>
      </c>
      <c r="J73" s="43"/>
      <c r="K73" s="43"/>
      <c r="L73" s="43"/>
      <c r="M73" s="34">
        <f>SUM(J73:L73)</f>
        <v>0</v>
      </c>
      <c r="N73" s="43"/>
      <c r="O73" s="43"/>
      <c r="P73" s="43"/>
      <c r="Q73" s="34">
        <f>SUM(N73:P73)</f>
        <v>0</v>
      </c>
      <c r="R73" s="43"/>
      <c r="S73" s="43"/>
      <c r="T73" s="43"/>
      <c r="U73" s="34">
        <f>SUM(R73:T73)</f>
        <v>0</v>
      </c>
      <c r="V73" s="34">
        <f>I73+M73+Q73+U73</f>
        <v>0</v>
      </c>
    </row>
    <row r="74" spans="1:22" ht="13.15" outlineLevel="2">
      <c r="A74" s="24"/>
      <c r="B74" s="27"/>
      <c r="C74" s="27" t="s">
        <v>8</v>
      </c>
      <c r="D74" s="27"/>
      <c r="E74" s="9">
        <v>0</v>
      </c>
      <c r="F74" s="43"/>
      <c r="G74" s="43"/>
      <c r="H74" s="43"/>
      <c r="I74" s="34">
        <f>SUM(F74:H74)</f>
        <v>0</v>
      </c>
      <c r="J74" s="43"/>
      <c r="K74" s="43"/>
      <c r="L74" s="43"/>
      <c r="M74" s="34">
        <f>SUM(J74:L74)</f>
        <v>0</v>
      </c>
      <c r="N74" s="43"/>
      <c r="O74" s="43"/>
      <c r="P74" s="43"/>
      <c r="Q74" s="34">
        <f>SUM(N74:P74)</f>
        <v>0</v>
      </c>
      <c r="R74" s="43"/>
      <c r="S74" s="43"/>
      <c r="T74" s="43"/>
      <c r="U74" s="34">
        <f>SUM(R74:T74)</f>
        <v>0</v>
      </c>
      <c r="V74" s="34">
        <f>I74+M74+Q74+U74</f>
        <v>0</v>
      </c>
    </row>
    <row r="75" spans="1:22" ht="13.15" outlineLevel="2">
      <c r="A75" s="24"/>
      <c r="B75" s="27"/>
      <c r="C75" s="27" t="s">
        <v>9</v>
      </c>
      <c r="D75" s="27"/>
      <c r="E75" s="9">
        <v>0</v>
      </c>
      <c r="F75" s="43"/>
      <c r="G75" s="43"/>
      <c r="H75" s="43"/>
      <c r="I75" s="34">
        <f>SUM(F75:H75)</f>
        <v>0</v>
      </c>
      <c r="J75" s="43"/>
      <c r="K75" s="43"/>
      <c r="L75" s="43"/>
      <c r="M75" s="34">
        <f>SUM(J75:L75)</f>
        <v>0</v>
      </c>
      <c r="N75" s="43"/>
      <c r="O75" s="43"/>
      <c r="P75" s="43"/>
      <c r="Q75" s="34">
        <f>SUM(N75:P75)</f>
        <v>0</v>
      </c>
      <c r="R75" s="43"/>
      <c r="S75" s="43"/>
      <c r="T75" s="43"/>
      <c r="U75" s="34">
        <f>SUM(R75:T75)</f>
        <v>0</v>
      </c>
      <c r="V75" s="34">
        <f>I75+M75+Q75+U75</f>
        <v>0</v>
      </c>
    </row>
    <row r="76" spans="1:22" ht="13.15" outlineLevel="1">
      <c r="A76" s="24"/>
      <c r="B76" s="29" t="s">
        <v>10</v>
      </c>
      <c r="C76" s="30"/>
      <c r="D76" s="30"/>
      <c r="E76" s="10"/>
      <c r="F76" s="45">
        <f t="shared" ref="F76" si="52">SUM(F73:F75)</f>
        <v>0</v>
      </c>
      <c r="G76" s="45">
        <f t="shared" ref="G76" si="53">SUM(G73:G75)</f>
        <v>0</v>
      </c>
      <c r="H76" s="45">
        <f t="shared" ref="H76" si="54">SUM(H73:H75)</f>
        <v>0</v>
      </c>
      <c r="I76" s="35">
        <f>SUM(I73:I75)</f>
        <v>0</v>
      </c>
      <c r="J76" s="45">
        <f t="shared" ref="J76:L76" si="55">SUM(J73:J75)</f>
        <v>0</v>
      </c>
      <c r="K76" s="45">
        <f t="shared" si="55"/>
        <v>0</v>
      </c>
      <c r="L76" s="45">
        <f t="shared" si="55"/>
        <v>0</v>
      </c>
      <c r="M76" s="35">
        <f>SUM(M73:M75)</f>
        <v>0</v>
      </c>
      <c r="N76" s="45">
        <f t="shared" ref="N76:P76" si="56">SUM(N73:N75)</f>
        <v>0</v>
      </c>
      <c r="O76" s="45">
        <f t="shared" si="56"/>
        <v>0</v>
      </c>
      <c r="P76" s="45">
        <f t="shared" si="56"/>
        <v>0</v>
      </c>
      <c r="Q76" s="35">
        <f>SUM(Q73:Q75)</f>
        <v>0</v>
      </c>
      <c r="R76" s="45">
        <f t="shared" ref="R76:T76" si="57">SUM(R73:R75)</f>
        <v>0</v>
      </c>
      <c r="S76" s="45">
        <f t="shared" si="57"/>
        <v>0</v>
      </c>
      <c r="T76" s="45">
        <f t="shared" si="57"/>
        <v>0</v>
      </c>
      <c r="U76" s="35">
        <f>SUM(U73:U75)</f>
        <v>0</v>
      </c>
      <c r="V76" s="35">
        <f>I76+M76+Q76+U76</f>
        <v>0</v>
      </c>
    </row>
    <row r="77" spans="1:22" ht="13.15">
      <c r="A77" s="31"/>
      <c r="B77" s="32"/>
      <c r="C77" s="31"/>
      <c r="D77" s="32" t="s">
        <v>11</v>
      </c>
      <c r="E77" s="9"/>
      <c r="F77" s="139">
        <f>F52+F53+F66+F71+F76</f>
        <v>15068000</v>
      </c>
      <c r="G77" s="139">
        <f>G52+G53+G66+G71+G76</f>
        <v>16053000</v>
      </c>
      <c r="H77" s="139">
        <f>H52+H53+H66+H71+H76</f>
        <v>16053000</v>
      </c>
      <c r="I77" s="139">
        <f>I76+I71+I66+I53+I52</f>
        <v>47174000</v>
      </c>
      <c r="J77" s="139">
        <f>J52+J53+J66+J71+J76</f>
        <v>16053000</v>
      </c>
      <c r="K77" s="139">
        <f>K52+K53+K66+K71+K76</f>
        <v>16053000</v>
      </c>
      <c r="L77" s="139">
        <f>L52+L53+L66+L71+L76</f>
        <v>16053000</v>
      </c>
      <c r="M77" s="139">
        <f>M76+M71+M66+M53+M52</f>
        <v>48159000</v>
      </c>
      <c r="N77" s="139">
        <f>N52+N53+N66+N71+N76</f>
        <v>16053000</v>
      </c>
      <c r="O77" s="139">
        <f>O52+O53+O66+O71+O76</f>
        <v>16053000</v>
      </c>
      <c r="P77" s="139">
        <f>P52+P53+P66+P71+P76</f>
        <v>16053000</v>
      </c>
      <c r="Q77" s="139">
        <f>Q76+Q71+Q66+Q53+Q52</f>
        <v>48159000</v>
      </c>
      <c r="R77" s="139">
        <f>R52+R53+R66+R71+R76</f>
        <v>16053000</v>
      </c>
      <c r="S77" s="139">
        <f>S52+S53+S66+S71+S76</f>
        <v>16053000</v>
      </c>
      <c r="T77" s="139">
        <f>T52+T53+T66+T71+T76</f>
        <v>16053000</v>
      </c>
      <c r="U77" s="35">
        <f>U76+U71+U66+U53+U52</f>
        <v>48159000</v>
      </c>
      <c r="V77" s="35">
        <f>I77+M77+Q77+U77</f>
        <v>191651000</v>
      </c>
    </row>
    <row r="78" spans="1:22" ht="13.15" outlineLevel="1">
      <c r="A78" s="32" t="s">
        <v>12</v>
      </c>
      <c r="B78" s="32"/>
      <c r="C78" s="33"/>
      <c r="D78" s="33"/>
      <c r="E78" s="9"/>
      <c r="F78" s="44"/>
      <c r="G78" s="44"/>
      <c r="H78" s="44"/>
      <c r="I78" s="35"/>
      <c r="J78" s="44"/>
      <c r="K78" s="44"/>
      <c r="L78" s="44"/>
      <c r="M78" s="35"/>
      <c r="N78" s="44"/>
      <c r="O78" s="44"/>
      <c r="P78" s="44"/>
      <c r="Q78" s="35"/>
      <c r="R78" s="44"/>
      <c r="S78" s="44"/>
      <c r="T78" s="44"/>
      <c r="U78" s="35"/>
      <c r="V78" s="35"/>
    </row>
    <row r="79" spans="1:22" ht="13.15" outlineLevel="2">
      <c r="A79" s="24"/>
      <c r="B79" s="26" t="s">
        <v>13</v>
      </c>
      <c r="C79" s="27"/>
      <c r="D79" s="27"/>
      <c r="E79" s="9"/>
      <c r="F79" s="129"/>
      <c r="G79" s="129"/>
      <c r="H79" s="129"/>
      <c r="I79" s="36"/>
      <c r="J79" s="129"/>
      <c r="K79" s="129"/>
      <c r="L79" s="129"/>
      <c r="M79" s="36"/>
      <c r="N79" s="129"/>
      <c r="O79" s="129"/>
      <c r="P79" s="129"/>
      <c r="Q79" s="36"/>
      <c r="R79" s="129"/>
      <c r="S79" s="129"/>
      <c r="T79" s="129"/>
      <c r="U79" s="36"/>
      <c r="V79" s="36"/>
    </row>
    <row r="80" spans="1:22" ht="13.15" outlineLevel="2">
      <c r="A80" s="24"/>
      <c r="B80" s="27"/>
      <c r="C80" s="28" t="s">
        <v>66</v>
      </c>
      <c r="D80" s="27"/>
      <c r="E80" s="9">
        <v>0</v>
      </c>
      <c r="F80" s="96"/>
      <c r="G80" s="96"/>
      <c r="H80" s="96"/>
      <c r="I80" s="34">
        <f t="shared" ref="I80:I87" si="58">SUM(F80:H80)</f>
        <v>0</v>
      </c>
      <c r="J80" s="96"/>
      <c r="K80" s="96"/>
      <c r="L80" s="96"/>
      <c r="M80" s="34">
        <f t="shared" ref="M80:M87" si="59">SUM(J80:L80)</f>
        <v>0</v>
      </c>
      <c r="N80" s="96"/>
      <c r="O80" s="96"/>
      <c r="P80" s="96"/>
      <c r="Q80" s="34">
        <f t="shared" ref="Q80:Q87" si="60">SUM(N80:P80)</f>
        <v>0</v>
      </c>
      <c r="R80" s="96"/>
      <c r="S80" s="96"/>
      <c r="T80" s="96"/>
      <c r="U80" s="34">
        <f t="shared" ref="U80:U87" si="61">SUM(R80:T80)</f>
        <v>0</v>
      </c>
      <c r="V80" s="34">
        <f t="shared" ref="V80:V97" si="62">I80+M80+Q80+U80</f>
        <v>0</v>
      </c>
    </row>
    <row r="81" spans="1:22" ht="13.15" outlineLevel="2">
      <c r="A81" s="24"/>
      <c r="B81" s="27"/>
      <c r="C81" s="28" t="s">
        <v>67</v>
      </c>
      <c r="D81" s="27"/>
      <c r="E81" s="9">
        <v>0</v>
      </c>
      <c r="F81" s="96"/>
      <c r="G81" s="96"/>
      <c r="H81" s="96"/>
      <c r="I81" s="34">
        <f t="shared" si="58"/>
        <v>0</v>
      </c>
      <c r="J81" s="96"/>
      <c r="K81" s="96"/>
      <c r="L81" s="96"/>
      <c r="M81" s="34">
        <f t="shared" si="59"/>
        <v>0</v>
      </c>
      <c r="N81" s="96"/>
      <c r="O81" s="96"/>
      <c r="P81" s="96"/>
      <c r="Q81" s="34">
        <f t="shared" si="60"/>
        <v>0</v>
      </c>
      <c r="R81" s="96"/>
      <c r="S81" s="96"/>
      <c r="T81" s="96"/>
      <c r="U81" s="34">
        <f t="shared" si="61"/>
        <v>0</v>
      </c>
      <c r="V81" s="34">
        <f t="shared" si="62"/>
        <v>0</v>
      </c>
    </row>
    <row r="82" spans="1:22" ht="13.15" outlineLevel="2">
      <c r="A82" s="24"/>
      <c r="B82" s="27"/>
      <c r="C82" s="28" t="s">
        <v>100</v>
      </c>
      <c r="D82" s="27"/>
      <c r="E82" s="9">
        <v>0</v>
      </c>
      <c r="F82" s="96"/>
      <c r="G82" s="96"/>
      <c r="H82" s="96"/>
      <c r="I82" s="34">
        <f t="shared" si="58"/>
        <v>0</v>
      </c>
      <c r="J82" s="96"/>
      <c r="K82" s="96"/>
      <c r="L82" s="96"/>
      <c r="M82" s="34">
        <f t="shared" si="59"/>
        <v>0</v>
      </c>
      <c r="N82" s="96"/>
      <c r="O82" s="96"/>
      <c r="P82" s="96"/>
      <c r="Q82" s="34">
        <f t="shared" si="60"/>
        <v>0</v>
      </c>
      <c r="R82" s="96"/>
      <c r="S82" s="96"/>
      <c r="T82" s="96"/>
      <c r="U82" s="34">
        <f t="shared" si="61"/>
        <v>0</v>
      </c>
      <c r="V82" s="34">
        <f t="shared" si="62"/>
        <v>0</v>
      </c>
    </row>
    <row r="83" spans="1:22" ht="13.15" outlineLevel="2">
      <c r="A83" s="24"/>
      <c r="B83" s="27"/>
      <c r="C83" s="28" t="s">
        <v>99</v>
      </c>
      <c r="D83" s="27"/>
      <c r="E83" s="9"/>
      <c r="F83" s="96"/>
      <c r="G83" s="96"/>
      <c r="H83" s="96"/>
      <c r="I83" s="34">
        <f t="shared" si="58"/>
        <v>0</v>
      </c>
      <c r="J83" s="96"/>
      <c r="K83" s="96"/>
      <c r="L83" s="96"/>
      <c r="M83" s="34">
        <f t="shared" si="59"/>
        <v>0</v>
      </c>
      <c r="N83" s="96"/>
      <c r="O83" s="96"/>
      <c r="P83" s="96"/>
      <c r="Q83" s="34">
        <f t="shared" si="60"/>
        <v>0</v>
      </c>
      <c r="R83" s="96"/>
      <c r="S83" s="96"/>
      <c r="T83" s="96"/>
      <c r="U83" s="34">
        <f t="shared" si="61"/>
        <v>0</v>
      </c>
      <c r="V83" s="34">
        <f t="shared" si="62"/>
        <v>0</v>
      </c>
    </row>
    <row r="84" spans="1:22" ht="13.15" outlineLevel="2">
      <c r="A84" s="24"/>
      <c r="B84" s="27"/>
      <c r="C84" s="28" t="s">
        <v>101</v>
      </c>
      <c r="D84" s="27"/>
      <c r="E84" s="9"/>
      <c r="F84" s="96"/>
      <c r="G84" s="96"/>
      <c r="H84" s="96"/>
      <c r="I84" s="34">
        <f t="shared" si="58"/>
        <v>0</v>
      </c>
      <c r="J84" s="96"/>
      <c r="K84" s="96"/>
      <c r="L84" s="96"/>
      <c r="M84" s="34">
        <f t="shared" si="59"/>
        <v>0</v>
      </c>
      <c r="N84" s="96"/>
      <c r="O84" s="96"/>
      <c r="P84" s="96"/>
      <c r="Q84" s="34">
        <f t="shared" si="60"/>
        <v>0</v>
      </c>
      <c r="R84" s="96"/>
      <c r="S84" s="96"/>
      <c r="T84" s="96"/>
      <c r="U84" s="34">
        <f t="shared" si="61"/>
        <v>0</v>
      </c>
      <c r="V84" s="34">
        <f t="shared" si="62"/>
        <v>0</v>
      </c>
    </row>
    <row r="85" spans="1:22" ht="13.15" outlineLevel="2">
      <c r="A85" s="24"/>
      <c r="B85" s="27"/>
      <c r="C85" s="28" t="s">
        <v>41</v>
      </c>
      <c r="D85" s="27"/>
      <c r="E85" s="9">
        <v>0</v>
      </c>
      <c r="F85" s="96"/>
      <c r="G85" s="96"/>
      <c r="H85" s="96"/>
      <c r="I85" s="34">
        <f t="shared" si="58"/>
        <v>0</v>
      </c>
      <c r="J85" s="96"/>
      <c r="K85" s="96"/>
      <c r="L85" s="96"/>
      <c r="M85" s="34">
        <f t="shared" si="59"/>
        <v>0</v>
      </c>
      <c r="N85" s="96"/>
      <c r="O85" s="96"/>
      <c r="P85" s="96"/>
      <c r="Q85" s="34">
        <f t="shared" si="60"/>
        <v>0</v>
      </c>
      <c r="R85" s="96"/>
      <c r="S85" s="96"/>
      <c r="T85" s="96"/>
      <c r="U85" s="34">
        <f t="shared" si="61"/>
        <v>0</v>
      </c>
      <c r="V85" s="34">
        <f t="shared" si="62"/>
        <v>0</v>
      </c>
    </row>
    <row r="86" spans="1:22" ht="13.15" outlineLevel="2">
      <c r="A86" s="24"/>
      <c r="B86" s="27"/>
      <c r="C86" s="28" t="s">
        <v>114</v>
      </c>
      <c r="D86" s="27"/>
      <c r="E86" s="9">
        <v>0</v>
      </c>
      <c r="F86" s="96"/>
      <c r="G86" s="96"/>
      <c r="H86" s="96"/>
      <c r="I86" s="34">
        <f t="shared" si="58"/>
        <v>0</v>
      </c>
      <c r="J86" s="96"/>
      <c r="K86" s="96"/>
      <c r="L86" s="96"/>
      <c r="M86" s="34">
        <f t="shared" si="59"/>
        <v>0</v>
      </c>
      <c r="N86" s="96"/>
      <c r="O86" s="96"/>
      <c r="P86" s="96"/>
      <c r="Q86" s="34">
        <f t="shared" si="60"/>
        <v>0</v>
      </c>
      <c r="R86" s="96"/>
      <c r="S86" s="96"/>
      <c r="T86" s="96"/>
      <c r="U86" s="34">
        <f t="shared" si="61"/>
        <v>0</v>
      </c>
      <c r="V86" s="34">
        <f t="shared" si="62"/>
        <v>0</v>
      </c>
    </row>
    <row r="87" spans="1:22" ht="13.15" outlineLevel="2">
      <c r="A87" s="24"/>
      <c r="B87" s="27"/>
      <c r="C87" s="28" t="s">
        <v>105</v>
      </c>
      <c r="D87" s="27"/>
      <c r="E87" s="9">
        <v>0</v>
      </c>
      <c r="F87" s="96"/>
      <c r="G87" s="96"/>
      <c r="H87" s="96"/>
      <c r="I87" s="34">
        <f t="shared" si="58"/>
        <v>0</v>
      </c>
      <c r="J87" s="96"/>
      <c r="K87" s="96"/>
      <c r="L87" s="96"/>
      <c r="M87" s="34">
        <f t="shared" si="59"/>
        <v>0</v>
      </c>
      <c r="N87" s="96"/>
      <c r="O87" s="96"/>
      <c r="P87" s="96"/>
      <c r="Q87" s="34">
        <f t="shared" si="60"/>
        <v>0</v>
      </c>
      <c r="R87" s="96"/>
      <c r="S87" s="96"/>
      <c r="T87" s="96"/>
      <c r="U87" s="34">
        <f t="shared" si="61"/>
        <v>0</v>
      </c>
      <c r="V87" s="34">
        <f t="shared" si="62"/>
        <v>0</v>
      </c>
    </row>
    <row r="88" spans="1:22" ht="13.15" outlineLevel="1">
      <c r="A88" s="24"/>
      <c r="B88" s="30" t="s">
        <v>14</v>
      </c>
      <c r="C88" s="30"/>
      <c r="D88" s="30"/>
      <c r="E88" s="10"/>
      <c r="F88" s="45">
        <f t="shared" ref="F88:Q89" si="63">SUM(F80:F87)</f>
        <v>0</v>
      </c>
      <c r="G88" s="45">
        <f t="shared" si="63"/>
        <v>0</v>
      </c>
      <c r="H88" s="45">
        <f t="shared" ref="H88" si="64">SUM(H80:H87)</f>
        <v>0</v>
      </c>
      <c r="I88" s="35">
        <f t="shared" si="63"/>
        <v>0</v>
      </c>
      <c r="J88" s="45">
        <f t="shared" ref="J88:L88" si="65">SUM(J80:J87)</f>
        <v>0</v>
      </c>
      <c r="K88" s="45">
        <f t="shared" si="65"/>
        <v>0</v>
      </c>
      <c r="L88" s="45">
        <f t="shared" si="65"/>
        <v>0</v>
      </c>
      <c r="M88" s="35">
        <f t="shared" si="63"/>
        <v>0</v>
      </c>
      <c r="N88" s="45">
        <f t="shared" ref="N88:P88" si="66">SUM(N80:N87)</f>
        <v>0</v>
      </c>
      <c r="O88" s="45">
        <f t="shared" si="66"/>
        <v>0</v>
      </c>
      <c r="P88" s="45">
        <f t="shared" si="66"/>
        <v>0</v>
      </c>
      <c r="Q88" s="35">
        <f t="shared" si="63"/>
        <v>0</v>
      </c>
      <c r="R88" s="45">
        <f t="shared" ref="R88:T88" si="67">SUM(R80:R87)</f>
        <v>0</v>
      </c>
      <c r="S88" s="45">
        <f t="shared" si="67"/>
        <v>0</v>
      </c>
      <c r="T88" s="45">
        <f t="shared" si="67"/>
        <v>0</v>
      </c>
      <c r="U88" s="35">
        <f t="shared" ref="U88:U89" si="68">SUM(U80:U87)</f>
        <v>0</v>
      </c>
      <c r="V88" s="35">
        <f t="shared" si="62"/>
        <v>0</v>
      </c>
    </row>
    <row r="89" spans="1:22" s="4" customFormat="1" ht="13.15" outlineLevel="1">
      <c r="A89" s="24"/>
      <c r="B89" s="24" t="s">
        <v>15</v>
      </c>
      <c r="C89" s="24"/>
      <c r="D89" s="24"/>
      <c r="E89" s="8">
        <v>0</v>
      </c>
      <c r="F89" s="44">
        <v>0</v>
      </c>
      <c r="G89" s="44">
        <v>0</v>
      </c>
      <c r="H89" s="44">
        <v>0</v>
      </c>
      <c r="I89" s="35">
        <f t="shared" si="63"/>
        <v>0</v>
      </c>
      <c r="J89" s="44">
        <v>0</v>
      </c>
      <c r="K89" s="44">
        <v>0</v>
      </c>
      <c r="L89" s="44">
        <v>0</v>
      </c>
      <c r="M89" s="35">
        <f t="shared" si="63"/>
        <v>0</v>
      </c>
      <c r="N89" s="44">
        <v>0</v>
      </c>
      <c r="O89" s="44">
        <v>0</v>
      </c>
      <c r="P89" s="44">
        <v>0</v>
      </c>
      <c r="Q89" s="35">
        <f t="shared" si="63"/>
        <v>0</v>
      </c>
      <c r="R89" s="44">
        <v>0</v>
      </c>
      <c r="S89" s="44">
        <v>0</v>
      </c>
      <c r="T89" s="44">
        <v>0</v>
      </c>
      <c r="U89" s="35">
        <f t="shared" si="68"/>
        <v>0</v>
      </c>
      <c r="V89" s="35">
        <f t="shared" si="62"/>
        <v>0</v>
      </c>
    </row>
    <row r="90" spans="1:22" ht="13.15" outlineLevel="2">
      <c r="A90" s="24"/>
      <c r="B90" s="26" t="s">
        <v>16</v>
      </c>
      <c r="C90" s="27"/>
      <c r="D90" s="27"/>
      <c r="E90" s="9"/>
      <c r="F90" s="129"/>
      <c r="G90" s="129"/>
      <c r="H90" s="129"/>
      <c r="I90" s="34">
        <f t="shared" ref="I90:I96" si="69">SUM(F90:H90)</f>
        <v>0</v>
      </c>
      <c r="J90" s="129"/>
      <c r="K90" s="129"/>
      <c r="L90" s="129"/>
      <c r="M90" s="34">
        <f t="shared" ref="M90:M96" si="70">SUM(J90:L90)</f>
        <v>0</v>
      </c>
      <c r="N90" s="129"/>
      <c r="O90" s="129"/>
      <c r="P90" s="129"/>
      <c r="Q90" s="34">
        <f t="shared" ref="Q90:Q96" si="71">SUM(N90:P90)</f>
        <v>0</v>
      </c>
      <c r="R90" s="129"/>
      <c r="S90" s="129"/>
      <c r="T90" s="129"/>
      <c r="U90" s="34">
        <f t="shared" ref="U90" si="72">SUM(R90:T90)</f>
        <v>0</v>
      </c>
      <c r="V90" s="34">
        <f t="shared" si="62"/>
        <v>0</v>
      </c>
    </row>
    <row r="91" spans="1:22" ht="13.15" outlineLevel="2">
      <c r="A91" s="24"/>
      <c r="B91" s="27"/>
      <c r="C91" s="28" t="s">
        <v>42</v>
      </c>
      <c r="D91" s="27"/>
      <c r="E91" s="9">
        <v>0</v>
      </c>
      <c r="F91" s="43"/>
      <c r="G91" s="43"/>
      <c r="H91" s="43"/>
      <c r="I91" s="34">
        <f t="shared" si="69"/>
        <v>0</v>
      </c>
      <c r="J91" s="43"/>
      <c r="K91" s="43"/>
      <c r="L91" s="43"/>
      <c r="M91" s="34">
        <f t="shared" si="70"/>
        <v>0</v>
      </c>
      <c r="N91" s="43"/>
      <c r="O91" s="43"/>
      <c r="P91" s="43"/>
      <c r="Q91" s="34">
        <f t="shared" si="71"/>
        <v>0</v>
      </c>
      <c r="R91" s="43"/>
      <c r="S91" s="43"/>
      <c r="T91" s="43"/>
      <c r="U91" s="34">
        <f t="shared" ref="U91:U96" si="73">SUM(R91:T91)</f>
        <v>0</v>
      </c>
      <c r="V91" s="34">
        <f t="shared" si="62"/>
        <v>0</v>
      </c>
    </row>
    <row r="92" spans="1:22" ht="13.15" outlineLevel="2">
      <c r="A92" s="24"/>
      <c r="B92" s="27"/>
      <c r="C92" s="28" t="s">
        <v>43</v>
      </c>
      <c r="D92" s="27"/>
      <c r="E92" s="9">
        <v>0</v>
      </c>
      <c r="F92" s="43">
        <v>82000</v>
      </c>
      <c r="G92" s="43"/>
      <c r="H92" s="43"/>
      <c r="I92" s="34">
        <f t="shared" si="69"/>
        <v>82000</v>
      </c>
      <c r="J92" s="43"/>
      <c r="K92" s="43"/>
      <c r="L92" s="43"/>
      <c r="M92" s="34">
        <f t="shared" si="70"/>
        <v>0</v>
      </c>
      <c r="N92" s="43"/>
      <c r="O92" s="43"/>
      <c r="P92" s="43"/>
      <c r="Q92" s="34">
        <f t="shared" si="71"/>
        <v>0</v>
      </c>
      <c r="R92" s="43"/>
      <c r="S92" s="43"/>
      <c r="T92" s="43"/>
      <c r="U92" s="34">
        <f t="shared" si="73"/>
        <v>0</v>
      </c>
      <c r="V92" s="34">
        <f t="shared" si="62"/>
        <v>82000</v>
      </c>
    </row>
    <row r="93" spans="1:22" ht="13.15" outlineLevel="2">
      <c r="A93" s="24"/>
      <c r="B93" s="27"/>
      <c r="C93" s="28" t="s">
        <v>53</v>
      </c>
      <c r="D93" s="27"/>
      <c r="E93" s="9">
        <v>0</v>
      </c>
      <c r="F93" s="43"/>
      <c r="G93" s="43"/>
      <c r="H93" s="43"/>
      <c r="I93" s="34">
        <f t="shared" si="69"/>
        <v>0</v>
      </c>
      <c r="J93" s="43"/>
      <c r="K93" s="43"/>
      <c r="L93" s="43"/>
      <c r="M93" s="34">
        <f t="shared" si="70"/>
        <v>0</v>
      </c>
      <c r="N93" s="43"/>
      <c r="O93" s="43"/>
      <c r="P93" s="43"/>
      <c r="Q93" s="34">
        <f t="shared" si="71"/>
        <v>0</v>
      </c>
      <c r="R93" s="43"/>
      <c r="S93" s="43"/>
      <c r="T93" s="43"/>
      <c r="U93" s="34">
        <f t="shared" si="73"/>
        <v>0</v>
      </c>
      <c r="V93" s="34">
        <f t="shared" si="62"/>
        <v>0</v>
      </c>
    </row>
    <row r="94" spans="1:22" ht="13.15" outlineLevel="2">
      <c r="A94" s="24"/>
      <c r="B94" s="27"/>
      <c r="C94" s="28" t="s">
        <v>44</v>
      </c>
      <c r="D94" s="27"/>
      <c r="E94" s="9">
        <v>0</v>
      </c>
      <c r="F94" s="43"/>
      <c r="G94" s="43"/>
      <c r="H94" s="43"/>
      <c r="I94" s="34">
        <f t="shared" si="69"/>
        <v>0</v>
      </c>
      <c r="J94" s="43"/>
      <c r="K94" s="43"/>
      <c r="L94" s="43"/>
      <c r="M94" s="34">
        <f t="shared" si="70"/>
        <v>0</v>
      </c>
      <c r="N94" s="43"/>
      <c r="O94" s="43"/>
      <c r="P94" s="43"/>
      <c r="Q94" s="34">
        <f t="shared" si="71"/>
        <v>0</v>
      </c>
      <c r="R94" s="43"/>
      <c r="S94" s="43"/>
      <c r="T94" s="43"/>
      <c r="U94" s="34">
        <f t="shared" si="73"/>
        <v>0</v>
      </c>
      <c r="V94" s="34">
        <f t="shared" si="62"/>
        <v>0</v>
      </c>
    </row>
    <row r="95" spans="1:22" ht="13.15" outlineLevel="2">
      <c r="A95" s="24"/>
      <c r="B95" s="27"/>
      <c r="C95" s="28" t="s">
        <v>51</v>
      </c>
      <c r="D95" s="27"/>
      <c r="E95" s="9">
        <v>0</v>
      </c>
      <c r="F95" s="43">
        <v>14000</v>
      </c>
      <c r="G95" s="43"/>
      <c r="H95" s="43"/>
      <c r="I95" s="34">
        <f t="shared" si="69"/>
        <v>14000</v>
      </c>
      <c r="J95" s="43"/>
      <c r="K95" s="43"/>
      <c r="L95" s="43"/>
      <c r="M95" s="34">
        <f t="shared" si="70"/>
        <v>0</v>
      </c>
      <c r="N95" s="43"/>
      <c r="O95" s="43"/>
      <c r="P95" s="43"/>
      <c r="Q95" s="34">
        <f t="shared" si="71"/>
        <v>0</v>
      </c>
      <c r="R95" s="43"/>
      <c r="S95" s="43"/>
      <c r="T95" s="43"/>
      <c r="U95" s="34">
        <f t="shared" si="73"/>
        <v>0</v>
      </c>
      <c r="V95" s="34">
        <f t="shared" si="62"/>
        <v>14000</v>
      </c>
    </row>
    <row r="96" spans="1:22" ht="13.15" outlineLevel="2">
      <c r="A96" s="24"/>
      <c r="B96" s="27"/>
      <c r="C96" s="28" t="s">
        <v>50</v>
      </c>
      <c r="D96" s="27"/>
      <c r="E96" s="9">
        <v>0</v>
      </c>
      <c r="F96" s="43"/>
      <c r="G96" s="43"/>
      <c r="H96" s="43"/>
      <c r="I96" s="34">
        <f t="shared" si="69"/>
        <v>0</v>
      </c>
      <c r="J96" s="43"/>
      <c r="K96" s="43"/>
      <c r="L96" s="43"/>
      <c r="M96" s="34">
        <f t="shared" si="70"/>
        <v>0</v>
      </c>
      <c r="N96" s="43"/>
      <c r="O96" s="43"/>
      <c r="P96" s="43"/>
      <c r="Q96" s="34">
        <f t="shared" si="71"/>
        <v>0</v>
      </c>
      <c r="R96" s="43"/>
      <c r="S96" s="43"/>
      <c r="T96" s="43"/>
      <c r="U96" s="34">
        <f t="shared" si="73"/>
        <v>0</v>
      </c>
      <c r="V96" s="34">
        <f t="shared" si="62"/>
        <v>0</v>
      </c>
    </row>
    <row r="97" spans="1:22" ht="13.15" outlineLevel="1">
      <c r="A97" s="24"/>
      <c r="B97" s="24" t="s">
        <v>17</v>
      </c>
      <c r="C97" s="24"/>
      <c r="D97" s="24"/>
      <c r="E97" s="8"/>
      <c r="F97" s="44">
        <f t="shared" ref="F97:G97" si="74">SUM(F91:F96)</f>
        <v>96000</v>
      </c>
      <c r="G97" s="44">
        <f t="shared" si="74"/>
        <v>0</v>
      </c>
      <c r="H97" s="44">
        <f t="shared" ref="H97" si="75">SUM(H91:H96)</f>
        <v>0</v>
      </c>
      <c r="I97" s="35">
        <f>SUM(I91:I96)</f>
        <v>96000</v>
      </c>
      <c r="J97" s="44">
        <f t="shared" ref="J97:L97" si="76">SUM(J91:J96)</f>
        <v>0</v>
      </c>
      <c r="K97" s="44">
        <f t="shared" si="76"/>
        <v>0</v>
      </c>
      <c r="L97" s="44">
        <f t="shared" si="76"/>
        <v>0</v>
      </c>
      <c r="M97" s="35">
        <f>SUM(M91:M96)</f>
        <v>0</v>
      </c>
      <c r="N97" s="44">
        <f t="shared" ref="N97:P97" si="77">SUM(N91:N96)</f>
        <v>0</v>
      </c>
      <c r="O97" s="44">
        <f t="shared" si="77"/>
        <v>0</v>
      </c>
      <c r="P97" s="44">
        <f t="shared" si="77"/>
        <v>0</v>
      </c>
      <c r="Q97" s="35">
        <f>SUM(Q91:Q96)</f>
        <v>0</v>
      </c>
      <c r="R97" s="44">
        <f t="shared" ref="R97:T97" si="78">SUM(R91:R96)</f>
        <v>0</v>
      </c>
      <c r="S97" s="44">
        <f t="shared" si="78"/>
        <v>0</v>
      </c>
      <c r="T97" s="44">
        <f t="shared" si="78"/>
        <v>0</v>
      </c>
      <c r="U97" s="35">
        <f>SUM(U91:U96)</f>
        <v>0</v>
      </c>
      <c r="V97" s="35">
        <f t="shared" si="62"/>
        <v>96000</v>
      </c>
    </row>
    <row r="98" spans="1:22" ht="13.15" outlineLevel="2">
      <c r="A98" s="24"/>
      <c r="B98" s="26" t="s">
        <v>18</v>
      </c>
      <c r="C98" s="27"/>
      <c r="D98" s="27"/>
      <c r="E98" s="9"/>
      <c r="F98" s="129"/>
      <c r="G98" s="129"/>
      <c r="H98" s="129"/>
      <c r="I98" s="36"/>
      <c r="J98" s="129"/>
      <c r="K98" s="129"/>
      <c r="L98" s="129"/>
      <c r="M98" s="36"/>
      <c r="N98" s="129"/>
      <c r="O98" s="129"/>
      <c r="P98" s="129"/>
      <c r="Q98" s="36"/>
      <c r="R98" s="129"/>
      <c r="S98" s="129"/>
      <c r="T98" s="129"/>
      <c r="U98" s="36"/>
      <c r="V98" s="36"/>
    </row>
    <row r="99" spans="1:22" ht="13.15" outlineLevel="2">
      <c r="A99" s="24"/>
      <c r="B99" s="27"/>
      <c r="C99" s="28" t="s">
        <v>68</v>
      </c>
      <c r="D99" s="27"/>
      <c r="E99" s="9">
        <v>0</v>
      </c>
      <c r="F99" s="96"/>
      <c r="G99" s="96"/>
      <c r="H99" s="96"/>
      <c r="I99" s="34">
        <f t="shared" ref="I99:I105" si="79">SUM(F99:H99)</f>
        <v>0</v>
      </c>
      <c r="J99" s="96"/>
      <c r="K99" s="96"/>
      <c r="L99" s="96"/>
      <c r="M99" s="34">
        <f t="shared" ref="M99:M105" si="80">SUM(J99:L99)</f>
        <v>0</v>
      </c>
      <c r="N99" s="96"/>
      <c r="O99" s="96"/>
      <c r="P99" s="96"/>
      <c r="Q99" s="34">
        <f t="shared" ref="Q99:Q105" si="81">SUM(N99:P99)</f>
        <v>0</v>
      </c>
      <c r="R99" s="96"/>
      <c r="S99" s="96"/>
      <c r="T99" s="96"/>
      <c r="U99" s="34">
        <f t="shared" ref="U99" si="82">SUM(R99:T99)</f>
        <v>0</v>
      </c>
      <c r="V99" s="34">
        <f t="shared" ref="V99:V106" si="83">I99+M99+Q99+U99</f>
        <v>0</v>
      </c>
    </row>
    <row r="100" spans="1:22" ht="13.15" outlineLevel="2">
      <c r="A100" s="24"/>
      <c r="B100" s="27"/>
      <c r="C100" s="28" t="s">
        <v>45</v>
      </c>
      <c r="D100" s="27"/>
      <c r="E100" s="9">
        <v>0</v>
      </c>
      <c r="F100" s="96"/>
      <c r="G100" s="96"/>
      <c r="H100" s="96"/>
      <c r="I100" s="34">
        <f t="shared" si="79"/>
        <v>0</v>
      </c>
      <c r="J100" s="96"/>
      <c r="K100" s="96"/>
      <c r="L100" s="96"/>
      <c r="M100" s="34">
        <f t="shared" si="80"/>
        <v>0</v>
      </c>
      <c r="N100" s="96"/>
      <c r="O100" s="96"/>
      <c r="P100" s="96"/>
      <c r="Q100" s="34">
        <f t="shared" si="81"/>
        <v>0</v>
      </c>
      <c r="R100" s="96"/>
      <c r="S100" s="96"/>
      <c r="T100" s="96"/>
      <c r="U100" s="34">
        <f t="shared" ref="U100:U105" si="84">SUM(R100:T100)</f>
        <v>0</v>
      </c>
      <c r="V100" s="34">
        <f t="shared" si="83"/>
        <v>0</v>
      </c>
    </row>
    <row r="101" spans="1:22" ht="13.15" outlineLevel="2">
      <c r="A101" s="24"/>
      <c r="B101" s="27"/>
      <c r="C101" s="28" t="s">
        <v>94</v>
      </c>
      <c r="D101" s="27"/>
      <c r="E101" s="9">
        <v>0</v>
      </c>
      <c r="F101" s="96">
        <v>393000</v>
      </c>
      <c r="G101" s="96">
        <v>100000</v>
      </c>
      <c r="H101" s="96">
        <v>100000</v>
      </c>
      <c r="I101" s="34">
        <f t="shared" si="79"/>
        <v>593000</v>
      </c>
      <c r="J101" s="96">
        <v>100000</v>
      </c>
      <c r="K101" s="96">
        <v>100000</v>
      </c>
      <c r="L101" s="96">
        <v>100000</v>
      </c>
      <c r="M101" s="34">
        <f t="shared" si="80"/>
        <v>300000</v>
      </c>
      <c r="N101" s="96">
        <v>100000</v>
      </c>
      <c r="O101" s="96">
        <v>100000</v>
      </c>
      <c r="P101" s="96">
        <v>100000</v>
      </c>
      <c r="Q101" s="34">
        <f t="shared" si="81"/>
        <v>300000</v>
      </c>
      <c r="R101" s="96">
        <v>100000</v>
      </c>
      <c r="S101" s="96">
        <v>100000</v>
      </c>
      <c r="T101" s="96">
        <v>100000</v>
      </c>
      <c r="U101" s="34">
        <f t="shared" si="84"/>
        <v>300000</v>
      </c>
      <c r="V101" s="34">
        <f t="shared" si="83"/>
        <v>1493000</v>
      </c>
    </row>
    <row r="102" spans="1:22" ht="13.15" outlineLevel="2">
      <c r="A102" s="24"/>
      <c r="B102" s="27"/>
      <c r="C102" s="28" t="s">
        <v>46</v>
      </c>
      <c r="D102" s="27"/>
      <c r="E102" s="9">
        <v>0</v>
      </c>
      <c r="F102" s="96"/>
      <c r="G102" s="96"/>
      <c r="H102" s="96"/>
      <c r="I102" s="34">
        <f t="shared" si="79"/>
        <v>0</v>
      </c>
      <c r="J102" s="96"/>
      <c r="K102" s="96"/>
      <c r="L102" s="96"/>
      <c r="M102" s="34">
        <f t="shared" si="80"/>
        <v>0</v>
      </c>
      <c r="N102" s="96"/>
      <c r="O102" s="96"/>
      <c r="P102" s="96"/>
      <c r="Q102" s="34">
        <f t="shared" si="81"/>
        <v>0</v>
      </c>
      <c r="R102" s="96"/>
      <c r="S102" s="96"/>
      <c r="T102" s="96"/>
      <c r="U102" s="34">
        <f t="shared" si="84"/>
        <v>0</v>
      </c>
      <c r="V102" s="34">
        <f t="shared" si="83"/>
        <v>0</v>
      </c>
    </row>
    <row r="103" spans="1:22" ht="13.15" outlineLevel="2">
      <c r="A103" s="24"/>
      <c r="B103" s="27"/>
      <c r="C103" s="28" t="s">
        <v>111</v>
      </c>
      <c r="D103" s="27"/>
      <c r="E103" s="9">
        <v>0</v>
      </c>
      <c r="F103" s="96"/>
      <c r="G103" s="96"/>
      <c r="H103" s="96"/>
      <c r="I103" s="34">
        <f t="shared" si="79"/>
        <v>0</v>
      </c>
      <c r="J103" s="96"/>
      <c r="K103" s="96"/>
      <c r="L103" s="96"/>
      <c r="M103" s="34">
        <f t="shared" si="80"/>
        <v>0</v>
      </c>
      <c r="N103" s="96"/>
      <c r="O103" s="96"/>
      <c r="P103" s="96"/>
      <c r="Q103" s="34">
        <f t="shared" si="81"/>
        <v>0</v>
      </c>
      <c r="R103" s="96"/>
      <c r="S103" s="96"/>
      <c r="T103" s="96"/>
      <c r="U103" s="34">
        <f t="shared" si="84"/>
        <v>0</v>
      </c>
      <c r="V103" s="34">
        <f t="shared" si="83"/>
        <v>0</v>
      </c>
    </row>
    <row r="104" spans="1:22" ht="13.15" outlineLevel="2">
      <c r="A104" s="24"/>
      <c r="B104" s="27"/>
      <c r="C104" s="28" t="s">
        <v>115</v>
      </c>
      <c r="D104" s="27"/>
      <c r="E104" s="9">
        <v>0</v>
      </c>
      <c r="F104" s="96"/>
      <c r="G104" s="96"/>
      <c r="H104" s="96"/>
      <c r="I104" s="34">
        <f t="shared" si="79"/>
        <v>0</v>
      </c>
      <c r="J104" s="96"/>
      <c r="K104" s="96"/>
      <c r="L104" s="96"/>
      <c r="M104" s="34">
        <f t="shared" si="80"/>
        <v>0</v>
      </c>
      <c r="N104" s="96"/>
      <c r="O104" s="96"/>
      <c r="P104" s="96"/>
      <c r="Q104" s="34">
        <f t="shared" si="81"/>
        <v>0</v>
      </c>
      <c r="R104" s="96"/>
      <c r="S104" s="96"/>
      <c r="T104" s="96"/>
      <c r="U104" s="34">
        <f t="shared" si="84"/>
        <v>0</v>
      </c>
      <c r="V104" s="34">
        <f t="shared" si="83"/>
        <v>0</v>
      </c>
    </row>
    <row r="105" spans="1:22" ht="13.15" outlineLevel="2">
      <c r="A105" s="24"/>
      <c r="B105" s="27"/>
      <c r="C105" s="28" t="s">
        <v>26</v>
      </c>
      <c r="D105" s="27"/>
      <c r="E105" s="9"/>
      <c r="F105" s="96"/>
      <c r="G105" s="96"/>
      <c r="H105" s="96"/>
      <c r="I105" s="34">
        <f t="shared" si="79"/>
        <v>0</v>
      </c>
      <c r="J105" s="96"/>
      <c r="K105" s="96"/>
      <c r="L105" s="96"/>
      <c r="M105" s="34">
        <f t="shared" si="80"/>
        <v>0</v>
      </c>
      <c r="N105" s="96"/>
      <c r="O105" s="96"/>
      <c r="P105" s="96"/>
      <c r="Q105" s="34">
        <f t="shared" si="81"/>
        <v>0</v>
      </c>
      <c r="R105" s="96"/>
      <c r="S105" s="96"/>
      <c r="T105" s="96"/>
      <c r="U105" s="34">
        <f t="shared" si="84"/>
        <v>0</v>
      </c>
      <c r="V105" s="34">
        <f t="shared" si="83"/>
        <v>0</v>
      </c>
    </row>
    <row r="106" spans="1:22" ht="13.15" outlineLevel="1">
      <c r="A106" s="24"/>
      <c r="B106" s="29" t="s">
        <v>19</v>
      </c>
      <c r="C106" s="30"/>
      <c r="D106" s="30"/>
      <c r="E106" s="10"/>
      <c r="F106" s="45">
        <f>SUM(F99:F105)</f>
        <v>393000</v>
      </c>
      <c r="G106" s="45">
        <f>SUM(G99:G105)</f>
        <v>100000</v>
      </c>
      <c r="H106" s="45">
        <f>SUM(H99:H105)</f>
        <v>100000</v>
      </c>
      <c r="I106" s="35">
        <f t="shared" ref="I106" si="85">SUM(I99:I105)</f>
        <v>593000</v>
      </c>
      <c r="J106" s="45">
        <f>SUM(J99:J105)</f>
        <v>100000</v>
      </c>
      <c r="K106" s="45">
        <f>SUM(K99:K105)</f>
        <v>100000</v>
      </c>
      <c r="L106" s="45">
        <f>SUM(L99:L105)</f>
        <v>100000</v>
      </c>
      <c r="M106" s="35">
        <f t="shared" ref="M106" si="86">SUM(M99:M105)</f>
        <v>300000</v>
      </c>
      <c r="N106" s="45">
        <f>SUM(N99:N105)</f>
        <v>100000</v>
      </c>
      <c r="O106" s="45">
        <f>SUM(O99:O105)</f>
        <v>100000</v>
      </c>
      <c r="P106" s="45">
        <f>SUM(P99:P105)</f>
        <v>100000</v>
      </c>
      <c r="Q106" s="35">
        <f t="shared" ref="Q106" si="87">SUM(Q99:Q105)</f>
        <v>300000</v>
      </c>
      <c r="R106" s="45">
        <f>SUM(R99:R105)</f>
        <v>100000</v>
      </c>
      <c r="S106" s="45">
        <f>SUM(S99:S105)</f>
        <v>100000</v>
      </c>
      <c r="T106" s="45">
        <f>SUM(T99:T105)</f>
        <v>100000</v>
      </c>
      <c r="U106" s="35">
        <f t="shared" ref="U106" si="88">SUM(U99:U105)</f>
        <v>300000</v>
      </c>
      <c r="V106" s="35">
        <f t="shared" si="83"/>
        <v>1493000</v>
      </c>
    </row>
    <row r="107" spans="1:22" ht="13.15" outlineLevel="2">
      <c r="A107" s="24"/>
      <c r="B107" s="26" t="s">
        <v>20</v>
      </c>
      <c r="C107" s="27"/>
      <c r="D107" s="27"/>
      <c r="E107" s="9"/>
      <c r="F107" s="129"/>
      <c r="G107" s="129"/>
      <c r="H107" s="129"/>
      <c r="I107" s="36"/>
      <c r="J107" s="129"/>
      <c r="K107" s="129"/>
      <c r="L107" s="129"/>
      <c r="M107" s="36"/>
      <c r="N107" s="129"/>
      <c r="O107" s="129"/>
      <c r="P107" s="129"/>
      <c r="Q107" s="36"/>
      <c r="R107" s="129"/>
      <c r="S107" s="129"/>
      <c r="T107" s="129"/>
      <c r="U107" s="36"/>
      <c r="V107" s="36"/>
    </row>
    <row r="108" spans="1:22" ht="13.15" outlineLevel="2">
      <c r="A108" s="24"/>
      <c r="B108" s="27"/>
      <c r="C108" s="28" t="s">
        <v>29</v>
      </c>
      <c r="D108" s="27"/>
      <c r="E108" s="9">
        <v>0</v>
      </c>
      <c r="F108" s="96"/>
      <c r="G108" s="96"/>
      <c r="H108" s="96"/>
      <c r="I108" s="34">
        <f t="shared" ref="I108:I112" si="89">SUM(F108:H108)</f>
        <v>0</v>
      </c>
      <c r="J108" s="96"/>
      <c r="K108" s="96"/>
      <c r="L108" s="96"/>
      <c r="M108" s="34">
        <f t="shared" ref="M108:M112" si="90">SUM(J108:L108)</f>
        <v>0</v>
      </c>
      <c r="N108" s="96"/>
      <c r="O108" s="96"/>
      <c r="P108" s="96"/>
      <c r="Q108" s="34">
        <f t="shared" ref="Q108:Q112" si="91">SUM(N108:P108)</f>
        <v>0</v>
      </c>
      <c r="R108" s="96"/>
      <c r="S108" s="96"/>
      <c r="T108" s="96"/>
      <c r="U108" s="34">
        <f t="shared" ref="U108:U112" si="92">SUM(R108:T108)</f>
        <v>0</v>
      </c>
      <c r="V108" s="34">
        <f t="shared" ref="V108:V114" si="93">I108+M108+Q108+U108</f>
        <v>0</v>
      </c>
    </row>
    <row r="109" spans="1:22" ht="13.15" outlineLevel="2">
      <c r="A109" s="24"/>
      <c r="B109" s="27"/>
      <c r="C109" s="28" t="s">
        <v>33</v>
      </c>
      <c r="D109" s="27"/>
      <c r="E109" s="9">
        <v>0</v>
      </c>
      <c r="F109" s="96"/>
      <c r="G109" s="96"/>
      <c r="H109" s="96"/>
      <c r="I109" s="34">
        <f t="shared" si="89"/>
        <v>0</v>
      </c>
      <c r="J109" s="96"/>
      <c r="K109" s="96"/>
      <c r="L109" s="96"/>
      <c r="M109" s="34">
        <f t="shared" si="90"/>
        <v>0</v>
      </c>
      <c r="N109" s="96"/>
      <c r="O109" s="96"/>
      <c r="P109" s="96"/>
      <c r="Q109" s="34">
        <f t="shared" si="91"/>
        <v>0</v>
      </c>
      <c r="R109" s="96"/>
      <c r="S109" s="96"/>
      <c r="T109" s="96"/>
      <c r="U109" s="34">
        <f t="shared" si="92"/>
        <v>0</v>
      </c>
      <c r="V109" s="34">
        <f t="shared" si="93"/>
        <v>0</v>
      </c>
    </row>
    <row r="110" spans="1:22" ht="13.15" outlineLevel="2">
      <c r="A110" s="24"/>
      <c r="B110" s="27"/>
      <c r="C110" s="28" t="s">
        <v>95</v>
      </c>
      <c r="D110" s="27"/>
      <c r="E110" s="9"/>
      <c r="F110" s="96"/>
      <c r="G110" s="96"/>
      <c r="H110" s="96"/>
      <c r="I110" s="34">
        <f t="shared" si="89"/>
        <v>0</v>
      </c>
      <c r="J110" s="96"/>
      <c r="K110" s="96"/>
      <c r="L110" s="96"/>
      <c r="M110" s="34">
        <f t="shared" si="90"/>
        <v>0</v>
      </c>
      <c r="N110" s="96"/>
      <c r="O110" s="96"/>
      <c r="P110" s="96"/>
      <c r="Q110" s="34">
        <f t="shared" si="91"/>
        <v>0</v>
      </c>
      <c r="R110" s="96"/>
      <c r="S110" s="96"/>
      <c r="T110" s="96"/>
      <c r="U110" s="34">
        <f t="shared" si="92"/>
        <v>0</v>
      </c>
      <c r="V110" s="34">
        <f t="shared" si="93"/>
        <v>0</v>
      </c>
    </row>
    <row r="111" spans="1:22" ht="13.15" outlineLevel="2">
      <c r="A111" s="24"/>
      <c r="B111" s="27"/>
      <c r="C111" s="28" t="s">
        <v>63</v>
      </c>
      <c r="D111" s="27"/>
      <c r="E111" s="9"/>
      <c r="F111" s="96"/>
      <c r="G111" s="96"/>
      <c r="H111" s="96"/>
      <c r="I111" s="34">
        <f t="shared" si="89"/>
        <v>0</v>
      </c>
      <c r="J111" s="96"/>
      <c r="K111" s="96"/>
      <c r="L111" s="96"/>
      <c r="M111" s="34">
        <f t="shared" si="90"/>
        <v>0</v>
      </c>
      <c r="N111" s="96"/>
      <c r="O111" s="96"/>
      <c r="P111" s="96"/>
      <c r="Q111" s="34">
        <f t="shared" si="91"/>
        <v>0</v>
      </c>
      <c r="R111" s="96"/>
      <c r="S111" s="96"/>
      <c r="T111" s="96"/>
      <c r="U111" s="34">
        <f t="shared" si="92"/>
        <v>0</v>
      </c>
      <c r="V111" s="34">
        <f t="shared" si="93"/>
        <v>0</v>
      </c>
    </row>
    <row r="112" spans="1:22" ht="13.15" outlineLevel="2">
      <c r="A112" s="24"/>
      <c r="B112" s="27"/>
      <c r="C112" s="28" t="s">
        <v>153</v>
      </c>
      <c r="D112" s="27"/>
      <c r="E112" s="9">
        <v>0</v>
      </c>
      <c r="F112" s="96"/>
      <c r="G112" s="96"/>
      <c r="H112" s="96"/>
      <c r="I112" s="34">
        <f t="shared" si="89"/>
        <v>0</v>
      </c>
      <c r="J112" s="96"/>
      <c r="K112" s="96"/>
      <c r="L112" s="96"/>
      <c r="M112" s="34">
        <f t="shared" si="90"/>
        <v>0</v>
      </c>
      <c r="N112" s="96"/>
      <c r="O112" s="96"/>
      <c r="P112" s="96"/>
      <c r="Q112" s="34">
        <f t="shared" si="91"/>
        <v>0</v>
      </c>
      <c r="R112" s="96"/>
      <c r="S112" s="96"/>
      <c r="T112" s="96"/>
      <c r="U112" s="34">
        <f t="shared" si="92"/>
        <v>0</v>
      </c>
      <c r="V112" s="34">
        <f t="shared" si="93"/>
        <v>0</v>
      </c>
    </row>
    <row r="113" spans="1:22" ht="13.15" outlineLevel="1">
      <c r="A113" s="24"/>
      <c r="B113" s="30" t="s">
        <v>21</v>
      </c>
      <c r="C113" s="30"/>
      <c r="D113" s="30"/>
      <c r="E113" s="10"/>
      <c r="F113" s="45">
        <f t="shared" ref="F113:U113" si="94">SUM(F108:F112)</f>
        <v>0</v>
      </c>
      <c r="G113" s="45">
        <f t="shared" si="94"/>
        <v>0</v>
      </c>
      <c r="H113" s="45">
        <f t="shared" si="94"/>
        <v>0</v>
      </c>
      <c r="I113" s="35">
        <f t="shared" si="94"/>
        <v>0</v>
      </c>
      <c r="J113" s="45">
        <f t="shared" si="94"/>
        <v>0</v>
      </c>
      <c r="K113" s="45">
        <f t="shared" si="94"/>
        <v>0</v>
      </c>
      <c r="L113" s="45">
        <f t="shared" si="94"/>
        <v>0</v>
      </c>
      <c r="M113" s="35">
        <f t="shared" si="94"/>
        <v>0</v>
      </c>
      <c r="N113" s="45">
        <f t="shared" si="94"/>
        <v>0</v>
      </c>
      <c r="O113" s="45">
        <f t="shared" si="94"/>
        <v>0</v>
      </c>
      <c r="P113" s="45">
        <f t="shared" si="94"/>
        <v>0</v>
      </c>
      <c r="Q113" s="35">
        <f t="shared" si="94"/>
        <v>0</v>
      </c>
      <c r="R113" s="45">
        <f t="shared" si="94"/>
        <v>0</v>
      </c>
      <c r="S113" s="45">
        <f t="shared" si="94"/>
        <v>0</v>
      </c>
      <c r="T113" s="45">
        <f t="shared" si="94"/>
        <v>0</v>
      </c>
      <c r="U113" s="35">
        <f t="shared" si="94"/>
        <v>0</v>
      </c>
      <c r="V113" s="35">
        <f t="shared" si="93"/>
        <v>0</v>
      </c>
    </row>
    <row r="114" spans="1:22" ht="13.15">
      <c r="A114" s="24"/>
      <c r="B114" s="24"/>
      <c r="C114" s="24"/>
      <c r="D114" s="24" t="s">
        <v>22</v>
      </c>
      <c r="E114" s="8"/>
      <c r="F114" s="44">
        <f t="shared" ref="F114:U114" si="95">F88+F89+F97+F106+F113</f>
        <v>489000</v>
      </c>
      <c r="G114" s="44">
        <f t="shared" si="95"/>
        <v>100000</v>
      </c>
      <c r="H114" s="44">
        <f t="shared" si="95"/>
        <v>100000</v>
      </c>
      <c r="I114" s="35">
        <f t="shared" si="95"/>
        <v>689000</v>
      </c>
      <c r="J114" s="44">
        <f t="shared" si="95"/>
        <v>100000</v>
      </c>
      <c r="K114" s="44">
        <f t="shared" si="95"/>
        <v>100000</v>
      </c>
      <c r="L114" s="44">
        <f t="shared" si="95"/>
        <v>100000</v>
      </c>
      <c r="M114" s="35">
        <f t="shared" si="95"/>
        <v>300000</v>
      </c>
      <c r="N114" s="44">
        <f t="shared" si="95"/>
        <v>100000</v>
      </c>
      <c r="O114" s="44">
        <f t="shared" si="95"/>
        <v>100000</v>
      </c>
      <c r="P114" s="44">
        <f t="shared" si="95"/>
        <v>100000</v>
      </c>
      <c r="Q114" s="35">
        <f t="shared" si="95"/>
        <v>300000</v>
      </c>
      <c r="R114" s="44">
        <f t="shared" si="95"/>
        <v>100000</v>
      </c>
      <c r="S114" s="44">
        <f t="shared" si="95"/>
        <v>100000</v>
      </c>
      <c r="T114" s="44">
        <f t="shared" si="95"/>
        <v>100000</v>
      </c>
      <c r="U114" s="35">
        <f t="shared" si="95"/>
        <v>300000</v>
      </c>
      <c r="V114" s="35">
        <f t="shared" si="93"/>
        <v>1589000</v>
      </c>
    </row>
    <row r="115" spans="1:22" ht="13.9">
      <c r="A115" s="11" t="s">
        <v>23</v>
      </c>
      <c r="B115" s="11"/>
      <c r="C115" s="11"/>
      <c r="D115" s="11"/>
      <c r="E115" s="12"/>
      <c r="F115" s="46">
        <f t="shared" ref="F115:U115" si="96">F114+F77</f>
        <v>15557000</v>
      </c>
      <c r="G115" s="46">
        <f t="shared" si="96"/>
        <v>16153000</v>
      </c>
      <c r="H115" s="46">
        <f t="shared" si="96"/>
        <v>16153000</v>
      </c>
      <c r="I115" s="109">
        <f t="shared" si="96"/>
        <v>47863000</v>
      </c>
      <c r="J115" s="46">
        <f t="shared" si="96"/>
        <v>16153000</v>
      </c>
      <c r="K115" s="46">
        <f t="shared" si="96"/>
        <v>16153000</v>
      </c>
      <c r="L115" s="46">
        <f t="shared" si="96"/>
        <v>16153000</v>
      </c>
      <c r="M115" s="109">
        <f t="shared" si="96"/>
        <v>48459000</v>
      </c>
      <c r="N115" s="46">
        <f t="shared" si="96"/>
        <v>16153000</v>
      </c>
      <c r="O115" s="46">
        <f t="shared" si="96"/>
        <v>16153000</v>
      </c>
      <c r="P115" s="46">
        <f t="shared" si="96"/>
        <v>16153000</v>
      </c>
      <c r="Q115" s="109">
        <f t="shared" si="96"/>
        <v>48459000</v>
      </c>
      <c r="R115" s="46">
        <f t="shared" si="96"/>
        <v>16153000</v>
      </c>
      <c r="S115" s="46">
        <f t="shared" si="96"/>
        <v>16153000</v>
      </c>
      <c r="T115" s="46">
        <f t="shared" si="96"/>
        <v>16153000</v>
      </c>
      <c r="U115" s="109">
        <f t="shared" si="96"/>
        <v>48459000</v>
      </c>
      <c r="V115" s="40">
        <f>I115+M115+Q115+U115</f>
        <v>193240000</v>
      </c>
    </row>
    <row r="116" spans="1:22" ht="13.15" thickBot="1">
      <c r="A116" s="14"/>
      <c r="B116" s="14"/>
      <c r="C116" s="14"/>
      <c r="D116" s="14"/>
      <c r="E116" s="15"/>
      <c r="F116" s="47"/>
      <c r="G116" s="47"/>
      <c r="H116" s="47"/>
      <c r="I116" s="37"/>
      <c r="J116" s="47"/>
      <c r="K116" s="47"/>
      <c r="L116" s="47"/>
      <c r="M116" s="37"/>
      <c r="N116" s="47"/>
      <c r="O116" s="47"/>
      <c r="P116" s="47"/>
      <c r="Q116" s="37"/>
      <c r="R116" s="47"/>
      <c r="S116" s="47"/>
      <c r="T116" s="47"/>
      <c r="U116" s="37"/>
      <c r="V116" s="37"/>
    </row>
    <row r="117" spans="1:22">
      <c r="A117" s="7"/>
      <c r="B117" s="7"/>
      <c r="C117" s="7"/>
      <c r="D117" s="7"/>
      <c r="F117" s="13"/>
      <c r="G117" s="13"/>
      <c r="H117" s="13"/>
      <c r="J117" s="13"/>
      <c r="K117" s="13"/>
      <c r="L117" s="13"/>
      <c r="N117" s="13" t="s">
        <v>86</v>
      </c>
      <c r="O117" s="13"/>
      <c r="P117" s="13"/>
      <c r="R117" s="13"/>
      <c r="S117" s="13"/>
      <c r="T117" s="13"/>
    </row>
    <row r="118" spans="1:22" ht="13.15">
      <c r="D118" s="104" t="s">
        <v>273</v>
      </c>
      <c r="F118" s="263">
        <f>F77</f>
        <v>15068000</v>
      </c>
      <c r="G118" s="194">
        <f t="shared" ref="G118:V118" si="97">G77</f>
        <v>16053000</v>
      </c>
      <c r="H118" s="194">
        <f t="shared" si="97"/>
        <v>16053000</v>
      </c>
      <c r="I118" s="194">
        <f t="shared" si="97"/>
        <v>47174000</v>
      </c>
      <c r="J118" s="194">
        <f t="shared" si="97"/>
        <v>16053000</v>
      </c>
      <c r="K118" s="194">
        <f t="shared" si="97"/>
        <v>16053000</v>
      </c>
      <c r="L118" s="194">
        <f t="shared" si="97"/>
        <v>16053000</v>
      </c>
      <c r="M118" s="194">
        <f t="shared" si="97"/>
        <v>48159000</v>
      </c>
      <c r="N118" s="194">
        <f t="shared" si="97"/>
        <v>16053000</v>
      </c>
      <c r="O118" s="194">
        <f t="shared" si="97"/>
        <v>16053000</v>
      </c>
      <c r="P118" s="194">
        <f t="shared" si="97"/>
        <v>16053000</v>
      </c>
      <c r="Q118" s="194">
        <f t="shared" si="97"/>
        <v>48159000</v>
      </c>
      <c r="R118" s="194">
        <f t="shared" si="97"/>
        <v>16053000</v>
      </c>
      <c r="S118" s="194">
        <f t="shared" si="97"/>
        <v>16053000</v>
      </c>
      <c r="T118" s="194">
        <f t="shared" si="97"/>
        <v>16053000</v>
      </c>
      <c r="U118" s="194">
        <f t="shared" si="97"/>
        <v>48159000</v>
      </c>
      <c r="V118" s="194">
        <f t="shared" si="97"/>
        <v>191651000</v>
      </c>
    </row>
    <row r="119" spans="1:22" ht="13.15">
      <c r="D119" s="106" t="s">
        <v>287</v>
      </c>
      <c r="F119" s="275">
        <f>ROUND(F118*0.5,-3)</f>
        <v>7534000</v>
      </c>
      <c r="G119" s="275">
        <f t="shared" ref="G119:V119" si="98">ROUND(G118*0.5,-3)</f>
        <v>8027000</v>
      </c>
      <c r="H119" s="275">
        <f t="shared" si="98"/>
        <v>8027000</v>
      </c>
      <c r="I119" s="275">
        <f t="shared" si="98"/>
        <v>23587000</v>
      </c>
      <c r="J119" s="275">
        <f t="shared" si="98"/>
        <v>8027000</v>
      </c>
      <c r="K119" s="275">
        <f t="shared" si="98"/>
        <v>8027000</v>
      </c>
      <c r="L119" s="275">
        <f t="shared" si="98"/>
        <v>8027000</v>
      </c>
      <c r="M119" s="275">
        <f t="shared" si="98"/>
        <v>24080000</v>
      </c>
      <c r="N119" s="275">
        <f t="shared" si="98"/>
        <v>8027000</v>
      </c>
      <c r="O119" s="275">
        <f t="shared" si="98"/>
        <v>8027000</v>
      </c>
      <c r="P119" s="275">
        <f t="shared" si="98"/>
        <v>8027000</v>
      </c>
      <c r="Q119" s="275">
        <f t="shared" si="98"/>
        <v>24080000</v>
      </c>
      <c r="R119" s="275">
        <f t="shared" si="98"/>
        <v>8027000</v>
      </c>
      <c r="S119" s="275">
        <f t="shared" si="98"/>
        <v>8027000</v>
      </c>
      <c r="T119" s="275">
        <f t="shared" si="98"/>
        <v>8027000</v>
      </c>
      <c r="U119" s="275">
        <f t="shared" si="98"/>
        <v>24080000</v>
      </c>
      <c r="V119" s="275">
        <f t="shared" si="98"/>
        <v>95826000</v>
      </c>
    </row>
    <row r="120" spans="1:22" ht="13.15">
      <c r="D120" s="106" t="s">
        <v>286</v>
      </c>
      <c r="F120" s="275">
        <f>F118-F119</f>
        <v>7534000</v>
      </c>
      <c r="G120" s="275">
        <f t="shared" ref="G120:V120" si="99">G118-G119</f>
        <v>8026000</v>
      </c>
      <c r="H120" s="275">
        <f t="shared" si="99"/>
        <v>8026000</v>
      </c>
      <c r="I120" s="275">
        <f t="shared" si="99"/>
        <v>23587000</v>
      </c>
      <c r="J120" s="275">
        <f t="shared" si="99"/>
        <v>8026000</v>
      </c>
      <c r="K120" s="275">
        <f t="shared" si="99"/>
        <v>8026000</v>
      </c>
      <c r="L120" s="275">
        <f t="shared" si="99"/>
        <v>8026000</v>
      </c>
      <c r="M120" s="275">
        <f t="shared" si="99"/>
        <v>24079000</v>
      </c>
      <c r="N120" s="275">
        <f t="shared" si="99"/>
        <v>8026000</v>
      </c>
      <c r="O120" s="275">
        <f t="shared" si="99"/>
        <v>8026000</v>
      </c>
      <c r="P120" s="275">
        <f t="shared" si="99"/>
        <v>8026000</v>
      </c>
      <c r="Q120" s="275">
        <f t="shared" si="99"/>
        <v>24079000</v>
      </c>
      <c r="R120" s="275">
        <f t="shared" si="99"/>
        <v>8026000</v>
      </c>
      <c r="S120" s="275">
        <f t="shared" si="99"/>
        <v>8026000</v>
      </c>
      <c r="T120" s="275">
        <f t="shared" si="99"/>
        <v>8026000</v>
      </c>
      <c r="U120" s="275">
        <f t="shared" si="99"/>
        <v>24079000</v>
      </c>
      <c r="V120" s="275">
        <f t="shared" si="99"/>
        <v>95825000</v>
      </c>
    </row>
    <row r="127" spans="1:22">
      <c r="H127" s="3" t="s">
        <v>338</v>
      </c>
    </row>
  </sheetData>
  <mergeCells count="15">
    <mergeCell ref="A3:D3"/>
    <mergeCell ref="A4:A11"/>
    <mergeCell ref="B5:B10"/>
    <mergeCell ref="A12:D12"/>
    <mergeCell ref="A14:D14"/>
    <mergeCell ref="C24:D24"/>
    <mergeCell ref="C25:D25"/>
    <mergeCell ref="A26:D26"/>
    <mergeCell ref="A28:D28"/>
    <mergeCell ref="C29:D29"/>
    <mergeCell ref="A15:A25"/>
    <mergeCell ref="C15:D15"/>
    <mergeCell ref="C21:D21"/>
    <mergeCell ref="C22:D22"/>
    <mergeCell ref="C23:D23"/>
  </mergeCells>
  <phoneticPr fontId="8" type="noConversion"/>
  <pageMargins left="0.59055118110236227" right="0.39370078740157483" top="0.78740157480314965" bottom="0.39370078740157483" header="0.31496062992125984" footer="0.51181102362204722"/>
  <pageSetup scale="10" fitToHeight="2" orientation="portrait" r:id="rId1"/>
  <headerFooter alignWithMargins="0">
    <oddHeader>&amp;L&amp;Z&amp;F&amp;A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U122"/>
  <sheetViews>
    <sheetView workbookViewId="0">
      <pane xSplit="4" ySplit="2" topLeftCell="G60" activePane="bottomRight" state="frozen"/>
      <selection activeCell="F120" sqref="F120"/>
      <selection pane="topRight" activeCell="F120" sqref="F120"/>
      <selection pane="bottomLeft" activeCell="F120" sqref="F120"/>
      <selection pane="bottomRight" activeCell="V71" sqref="V71"/>
    </sheetView>
  </sheetViews>
  <sheetFormatPr defaultColWidth="8.87890625" defaultRowHeight="12.75" outlineLevelRow="2" outlineLevelCol="1"/>
  <cols>
    <col min="1" max="3" width="1.3515625" style="3" customWidth="1"/>
    <col min="4" max="4" width="21.1171875" style="3" customWidth="1"/>
    <col min="5" max="5" width="1.64453125" style="7" customWidth="1"/>
    <col min="6" max="6" width="10.234375" style="3" customWidth="1" outlineLevel="1"/>
    <col min="7" max="8" width="10.87890625" style="3" customWidth="1" outlineLevel="1"/>
    <col min="9" max="9" width="10.87890625" style="3" bestFit="1" customWidth="1"/>
    <col min="10" max="10" width="10.234375" style="3" customWidth="1" outlineLevel="1"/>
    <col min="11" max="12" width="10.87890625" style="3" customWidth="1" outlineLevel="1"/>
    <col min="13" max="13" width="10.87890625" style="3" bestFit="1" customWidth="1"/>
    <col min="14" max="14" width="10.234375" style="3" customWidth="1" outlineLevel="1"/>
    <col min="15" max="16" width="10.87890625" style="3" customWidth="1" outlineLevel="1"/>
    <col min="17" max="17" width="10.87890625" style="3" bestFit="1" customWidth="1"/>
    <col min="18" max="20" width="10.234375" style="3" customWidth="1" outlineLevel="1"/>
    <col min="21" max="22" width="10.87890625" style="3" bestFit="1" customWidth="1"/>
    <col min="23" max="16384" width="8.87890625" style="3"/>
  </cols>
  <sheetData>
    <row r="1" spans="1:47" ht="13.9" thickBot="1">
      <c r="A1" s="1"/>
      <c r="B1" s="1"/>
      <c r="C1" s="1"/>
      <c r="D1" s="38"/>
      <c r="E1" s="2"/>
      <c r="F1" s="18" t="s">
        <v>69</v>
      </c>
      <c r="G1" s="18" t="s">
        <v>70</v>
      </c>
      <c r="H1" s="18" t="s">
        <v>71</v>
      </c>
      <c r="I1" s="18" t="s">
        <v>72</v>
      </c>
      <c r="J1" s="18" t="s">
        <v>74</v>
      </c>
      <c r="K1" s="18" t="s">
        <v>75</v>
      </c>
      <c r="L1" s="18" t="s">
        <v>76</v>
      </c>
      <c r="M1" s="18" t="s">
        <v>77</v>
      </c>
      <c r="N1" s="18" t="s">
        <v>80</v>
      </c>
      <c r="O1" s="18" t="s">
        <v>81</v>
      </c>
      <c r="P1" s="18" t="s">
        <v>82</v>
      </c>
      <c r="Q1" s="18" t="s">
        <v>83</v>
      </c>
      <c r="R1" s="18" t="s">
        <v>88</v>
      </c>
      <c r="S1" s="18" t="s">
        <v>91</v>
      </c>
      <c r="T1" s="18" t="s">
        <v>92</v>
      </c>
      <c r="U1" s="18" t="s">
        <v>89</v>
      </c>
      <c r="V1" s="18">
        <v>2026</v>
      </c>
      <c r="AU1" s="4"/>
    </row>
    <row r="2" spans="1:47" ht="13.5" thickBot="1">
      <c r="A2" s="5"/>
      <c r="B2" s="5"/>
      <c r="C2" s="5"/>
      <c r="D2" s="6"/>
      <c r="E2" s="2"/>
      <c r="F2" s="110" t="s">
        <v>24</v>
      </c>
      <c r="G2" s="110" t="s">
        <v>24</v>
      </c>
      <c r="H2" s="110" t="s">
        <v>24</v>
      </c>
      <c r="I2" s="137" t="s">
        <v>25</v>
      </c>
      <c r="J2" s="110" t="s">
        <v>24</v>
      </c>
      <c r="K2" s="110" t="s">
        <v>24</v>
      </c>
      <c r="L2" s="110" t="s">
        <v>24</v>
      </c>
      <c r="M2" s="137" t="s">
        <v>25</v>
      </c>
      <c r="N2" s="110" t="s">
        <v>24</v>
      </c>
      <c r="O2" s="110" t="s">
        <v>24</v>
      </c>
      <c r="P2" s="110" t="s">
        <v>24</v>
      </c>
      <c r="Q2" s="137" t="s">
        <v>25</v>
      </c>
      <c r="R2" s="110" t="s">
        <v>24</v>
      </c>
      <c r="S2" s="110" t="s">
        <v>24</v>
      </c>
      <c r="T2" s="110" t="s">
        <v>24</v>
      </c>
      <c r="U2" s="137" t="s">
        <v>25</v>
      </c>
      <c r="V2" s="137" t="s">
        <v>25</v>
      </c>
    </row>
    <row r="3" spans="1:47" s="111" customFormat="1" ht="12.75" customHeight="1">
      <c r="A3" s="447" t="s">
        <v>159</v>
      </c>
      <c r="B3" s="448"/>
      <c r="C3" s="448"/>
      <c r="D3" s="449"/>
      <c r="E3" s="2"/>
      <c r="F3" s="133"/>
      <c r="G3" s="133"/>
      <c r="H3" s="133"/>
      <c r="I3" s="34"/>
      <c r="J3" s="133"/>
      <c r="K3" s="133"/>
      <c r="L3" s="133"/>
      <c r="M3" s="34"/>
      <c r="N3" s="133"/>
      <c r="O3" s="133"/>
      <c r="P3" s="133"/>
      <c r="Q3" s="34"/>
      <c r="R3" s="133"/>
      <c r="S3" s="133"/>
      <c r="T3" s="133"/>
      <c r="U3" s="34"/>
      <c r="V3" s="134"/>
    </row>
    <row r="4" spans="1:47" s="111" customFormat="1" ht="12.75" customHeight="1">
      <c r="A4" s="450"/>
      <c r="B4" s="112" t="s">
        <v>160</v>
      </c>
      <c r="C4" s="112"/>
      <c r="D4" s="113"/>
      <c r="E4" s="2"/>
      <c r="F4" s="43"/>
      <c r="G4" s="43"/>
      <c r="H4" s="43"/>
      <c r="I4" s="34"/>
      <c r="J4" s="43"/>
      <c r="K4" s="43"/>
      <c r="L4" s="43"/>
      <c r="M4" s="34"/>
      <c r="N4" s="43"/>
      <c r="O4" s="43"/>
      <c r="P4" s="43"/>
      <c r="Q4" s="34"/>
      <c r="R4" s="43"/>
      <c r="S4" s="43"/>
      <c r="T4" s="43"/>
      <c r="U4" s="34"/>
      <c r="V4" s="34"/>
    </row>
    <row r="5" spans="1:47" s="111" customFormat="1" ht="12.75" customHeight="1" outlineLevel="1">
      <c r="A5" s="450"/>
      <c r="B5" s="451"/>
      <c r="C5" s="114"/>
      <c r="D5" s="115" t="s">
        <v>161</v>
      </c>
      <c r="E5" s="7">
        <v>1</v>
      </c>
      <c r="F5" s="43"/>
      <c r="G5" s="43"/>
      <c r="H5" s="43"/>
      <c r="I5" s="34">
        <f t="shared" ref="I5:I10" si="0">H5+G5+F5</f>
        <v>0</v>
      </c>
      <c r="J5" s="43"/>
      <c r="K5" s="43"/>
      <c r="L5" s="43"/>
      <c r="M5" s="34">
        <f t="shared" ref="M5:M10" si="1">L5+K5+J5</f>
        <v>0</v>
      </c>
      <c r="N5" s="43"/>
      <c r="O5" s="43"/>
      <c r="P5" s="43"/>
      <c r="Q5" s="34">
        <f t="shared" ref="Q5:Q10" si="2">P5+O5+N5</f>
        <v>0</v>
      </c>
      <c r="R5" s="43"/>
      <c r="S5" s="43"/>
      <c r="T5" s="43"/>
      <c r="U5" s="34">
        <f t="shared" ref="U5:U10" si="3">T5+S5+R5</f>
        <v>0</v>
      </c>
      <c r="V5" s="34">
        <f t="shared" ref="V5:V10" si="4">U5+Q5+M5+I5</f>
        <v>0</v>
      </c>
    </row>
    <row r="6" spans="1:47" s="111" customFormat="1" ht="12.75" customHeight="1" outlineLevel="1">
      <c r="A6" s="450"/>
      <c r="B6" s="451"/>
      <c r="C6" s="116"/>
      <c r="D6" s="117" t="s">
        <v>162</v>
      </c>
      <c r="E6" s="7">
        <v>1</v>
      </c>
      <c r="F6" s="43"/>
      <c r="G6" s="43"/>
      <c r="H6" s="43"/>
      <c r="I6" s="34">
        <f t="shared" si="0"/>
        <v>0</v>
      </c>
      <c r="J6" s="43"/>
      <c r="K6" s="43"/>
      <c r="L6" s="43"/>
      <c r="M6" s="34">
        <f t="shared" si="1"/>
        <v>0</v>
      </c>
      <c r="N6" s="43"/>
      <c r="O6" s="43"/>
      <c r="P6" s="43"/>
      <c r="Q6" s="34">
        <f t="shared" si="2"/>
        <v>0</v>
      </c>
      <c r="R6" s="43"/>
      <c r="S6" s="43"/>
      <c r="T6" s="43"/>
      <c r="U6" s="34">
        <f t="shared" si="3"/>
        <v>0</v>
      </c>
      <c r="V6" s="34">
        <f t="shared" si="4"/>
        <v>0</v>
      </c>
    </row>
    <row r="7" spans="1:47" s="111" customFormat="1" ht="12.75" customHeight="1" outlineLevel="1">
      <c r="A7" s="450"/>
      <c r="B7" s="451"/>
      <c r="C7" s="116"/>
      <c r="D7" s="117" t="s">
        <v>163</v>
      </c>
      <c r="E7" s="7">
        <v>1</v>
      </c>
      <c r="F7" s="43"/>
      <c r="G7" s="43"/>
      <c r="H7" s="43"/>
      <c r="I7" s="34">
        <f t="shared" si="0"/>
        <v>0</v>
      </c>
      <c r="J7" s="43"/>
      <c r="K7" s="43"/>
      <c r="L7" s="43"/>
      <c r="M7" s="34">
        <f t="shared" si="1"/>
        <v>0</v>
      </c>
      <c r="N7" s="43"/>
      <c r="O7" s="43"/>
      <c r="P7" s="43"/>
      <c r="Q7" s="34">
        <f t="shared" si="2"/>
        <v>0</v>
      </c>
      <c r="R7" s="43"/>
      <c r="S7" s="43"/>
      <c r="T7" s="43"/>
      <c r="U7" s="34">
        <f t="shared" si="3"/>
        <v>0</v>
      </c>
      <c r="V7" s="34">
        <f t="shared" si="4"/>
        <v>0</v>
      </c>
    </row>
    <row r="8" spans="1:47" s="111" customFormat="1" ht="12.75" customHeight="1" outlineLevel="1">
      <c r="A8" s="450"/>
      <c r="B8" s="451"/>
      <c r="C8" s="116"/>
      <c r="D8" s="118" t="s">
        <v>164</v>
      </c>
      <c r="E8" s="7"/>
      <c r="F8" s="43"/>
      <c r="G8" s="43"/>
      <c r="H8" s="43"/>
      <c r="I8" s="34">
        <f t="shared" si="0"/>
        <v>0</v>
      </c>
      <c r="J8" s="43"/>
      <c r="K8" s="43"/>
      <c r="L8" s="43"/>
      <c r="M8" s="34">
        <f t="shared" si="1"/>
        <v>0</v>
      </c>
      <c r="N8" s="43"/>
      <c r="O8" s="43"/>
      <c r="P8" s="43"/>
      <c r="Q8" s="34">
        <f t="shared" si="2"/>
        <v>0</v>
      </c>
      <c r="R8" s="43"/>
      <c r="S8" s="43"/>
      <c r="T8" s="43"/>
      <c r="U8" s="34">
        <f t="shared" si="3"/>
        <v>0</v>
      </c>
      <c r="V8" s="34">
        <f t="shared" si="4"/>
        <v>0</v>
      </c>
    </row>
    <row r="9" spans="1:47" s="111" customFormat="1" ht="12.75" customHeight="1" outlineLevel="1">
      <c r="A9" s="450"/>
      <c r="B9" s="451"/>
      <c r="C9" s="116"/>
      <c r="D9" s="117" t="s">
        <v>166</v>
      </c>
      <c r="E9" s="7"/>
      <c r="F9" s="43"/>
      <c r="G9" s="43"/>
      <c r="H9" s="43"/>
      <c r="I9" s="34">
        <f t="shared" si="0"/>
        <v>0</v>
      </c>
      <c r="J9" s="43"/>
      <c r="K9" s="43"/>
      <c r="L9" s="43"/>
      <c r="M9" s="34">
        <f t="shared" si="1"/>
        <v>0</v>
      </c>
      <c r="N9" s="43"/>
      <c r="O9" s="43"/>
      <c r="P9" s="43"/>
      <c r="Q9" s="34">
        <f t="shared" si="2"/>
        <v>0</v>
      </c>
      <c r="R9" s="43"/>
      <c r="S9" s="43"/>
      <c r="T9" s="43"/>
      <c r="U9" s="34">
        <f t="shared" si="3"/>
        <v>0</v>
      </c>
      <c r="V9" s="34">
        <f t="shared" si="4"/>
        <v>0</v>
      </c>
    </row>
    <row r="10" spans="1:47" s="111" customFormat="1" ht="12.75" customHeight="1" outlineLevel="1">
      <c r="A10" s="450"/>
      <c r="B10" s="451"/>
      <c r="C10" s="116"/>
      <c r="D10" s="117" t="s">
        <v>165</v>
      </c>
      <c r="E10" s="7"/>
      <c r="F10" s="43"/>
      <c r="G10" s="43"/>
      <c r="H10" s="43"/>
      <c r="I10" s="34">
        <f t="shared" si="0"/>
        <v>0</v>
      </c>
      <c r="J10" s="43"/>
      <c r="K10" s="43"/>
      <c r="L10" s="43"/>
      <c r="M10" s="34">
        <f t="shared" si="1"/>
        <v>0</v>
      </c>
      <c r="N10" s="43"/>
      <c r="O10" s="43"/>
      <c r="P10" s="43"/>
      <c r="Q10" s="34">
        <f t="shared" si="2"/>
        <v>0</v>
      </c>
      <c r="R10" s="43"/>
      <c r="S10" s="43"/>
      <c r="T10" s="43"/>
      <c r="U10" s="34">
        <f t="shared" si="3"/>
        <v>0</v>
      </c>
      <c r="V10" s="34">
        <f t="shared" si="4"/>
        <v>0</v>
      </c>
    </row>
    <row r="11" spans="1:47" s="111" customFormat="1" ht="6.75" customHeight="1">
      <c r="A11" s="450"/>
      <c r="B11" s="4"/>
      <c r="C11" s="4"/>
      <c r="D11" s="119"/>
      <c r="E11" s="120"/>
      <c r="F11" s="43"/>
      <c r="G11" s="43"/>
      <c r="H11" s="43"/>
      <c r="I11" s="34"/>
      <c r="J11" s="43"/>
      <c r="K11" s="43"/>
      <c r="L11" s="43"/>
      <c r="M11" s="34"/>
      <c r="N11" s="43"/>
      <c r="O11" s="43"/>
      <c r="P11" s="43"/>
      <c r="Q11" s="34"/>
      <c r="R11" s="43"/>
      <c r="S11" s="43"/>
      <c r="T11" s="43"/>
      <c r="U11" s="34"/>
      <c r="V11" s="34"/>
    </row>
    <row r="12" spans="1:47" s="111" customFormat="1" ht="12.75" customHeight="1">
      <c r="A12" s="447" t="s">
        <v>167</v>
      </c>
      <c r="B12" s="448"/>
      <c r="C12" s="448"/>
      <c r="D12" s="449"/>
      <c r="E12" s="8"/>
      <c r="F12" s="44">
        <f t="shared" ref="F12:V12" si="5">SUM(F5:F10)</f>
        <v>0</v>
      </c>
      <c r="G12" s="44">
        <f t="shared" si="5"/>
        <v>0</v>
      </c>
      <c r="H12" s="44">
        <f t="shared" si="5"/>
        <v>0</v>
      </c>
      <c r="I12" s="35">
        <f t="shared" si="5"/>
        <v>0</v>
      </c>
      <c r="J12" s="44">
        <f t="shared" si="5"/>
        <v>0</v>
      </c>
      <c r="K12" s="44">
        <f t="shared" si="5"/>
        <v>0</v>
      </c>
      <c r="L12" s="44">
        <f t="shared" si="5"/>
        <v>0</v>
      </c>
      <c r="M12" s="35">
        <f t="shared" si="5"/>
        <v>0</v>
      </c>
      <c r="N12" s="44">
        <f t="shared" si="5"/>
        <v>0</v>
      </c>
      <c r="O12" s="44">
        <f t="shared" si="5"/>
        <v>0</v>
      </c>
      <c r="P12" s="44">
        <f t="shared" si="5"/>
        <v>0</v>
      </c>
      <c r="Q12" s="35">
        <f t="shared" si="5"/>
        <v>0</v>
      </c>
      <c r="R12" s="44">
        <f t="shared" si="5"/>
        <v>0</v>
      </c>
      <c r="S12" s="44">
        <f t="shared" si="5"/>
        <v>0</v>
      </c>
      <c r="T12" s="44">
        <f t="shared" si="5"/>
        <v>0</v>
      </c>
      <c r="U12" s="35">
        <f t="shared" si="5"/>
        <v>0</v>
      </c>
      <c r="V12" s="35">
        <f t="shared" si="5"/>
        <v>0</v>
      </c>
    </row>
    <row r="13" spans="1:47" s="111" customFormat="1" ht="5.25" customHeight="1">
      <c r="A13" s="121"/>
      <c r="B13" s="3"/>
      <c r="C13" s="3"/>
      <c r="D13" s="119"/>
      <c r="E13" s="4"/>
      <c r="F13" s="43"/>
      <c r="G13" s="43"/>
      <c r="H13" s="43"/>
      <c r="I13" s="34"/>
      <c r="J13" s="43"/>
      <c r="K13" s="43"/>
      <c r="L13" s="43"/>
      <c r="M13" s="34"/>
      <c r="N13" s="43"/>
      <c r="O13" s="43"/>
      <c r="P13" s="43"/>
      <c r="Q13" s="34"/>
      <c r="R13" s="43"/>
      <c r="S13" s="43"/>
      <c r="T13" s="43"/>
      <c r="U13" s="34"/>
      <c r="V13" s="34"/>
    </row>
    <row r="14" spans="1:47" s="111" customFormat="1" ht="12.75" customHeight="1">
      <c r="A14" s="452" t="s">
        <v>168</v>
      </c>
      <c r="B14" s="453"/>
      <c r="C14" s="453"/>
      <c r="D14" s="454"/>
      <c r="E14" s="7"/>
      <c r="F14" s="43"/>
      <c r="G14" s="43"/>
      <c r="H14" s="43"/>
      <c r="I14" s="34"/>
      <c r="J14" s="43"/>
      <c r="K14" s="43"/>
      <c r="L14" s="43"/>
      <c r="M14" s="34"/>
      <c r="N14" s="43"/>
      <c r="O14" s="43"/>
      <c r="P14" s="43"/>
      <c r="Q14" s="34"/>
      <c r="R14" s="43"/>
      <c r="S14" s="43"/>
      <c r="T14" s="43"/>
      <c r="U14" s="34"/>
      <c r="V14" s="34"/>
    </row>
    <row r="15" spans="1:47" s="111" customFormat="1" ht="12.75" customHeight="1" outlineLevel="1">
      <c r="A15" s="465"/>
      <c r="B15" s="3"/>
      <c r="C15" s="466" t="s">
        <v>169</v>
      </c>
      <c r="D15" s="467"/>
      <c r="E15" s="7"/>
      <c r="F15" s="43"/>
      <c r="G15" s="43"/>
      <c r="H15" s="43"/>
      <c r="I15" s="34"/>
      <c r="J15" s="43"/>
      <c r="K15" s="43"/>
      <c r="L15" s="43"/>
      <c r="M15" s="34"/>
      <c r="N15" s="43"/>
      <c r="O15" s="43"/>
      <c r="P15" s="43"/>
      <c r="Q15" s="34"/>
      <c r="R15" s="43"/>
      <c r="S15" s="43"/>
      <c r="T15" s="43"/>
      <c r="U15" s="34"/>
      <c r="V15" s="34"/>
    </row>
    <row r="16" spans="1:47" s="111" customFormat="1" ht="12.75" customHeight="1" outlineLevel="1">
      <c r="A16" s="465"/>
      <c r="B16" s="3"/>
      <c r="C16" s="116"/>
      <c r="D16" s="117" t="s">
        <v>170</v>
      </c>
      <c r="E16" s="7">
        <v>0</v>
      </c>
      <c r="F16" s="43"/>
      <c r="G16" s="43"/>
      <c r="H16" s="43"/>
      <c r="I16" s="34">
        <f t="shared" ref="I16:I22" si="6">H16+G16+F16</f>
        <v>0</v>
      </c>
      <c r="J16" s="43"/>
      <c r="K16" s="43"/>
      <c r="L16" s="43"/>
      <c r="M16" s="34">
        <f t="shared" ref="M16:M22" si="7">L16+K16+J16</f>
        <v>0</v>
      </c>
      <c r="N16" s="43"/>
      <c r="O16" s="43"/>
      <c r="P16" s="43"/>
      <c r="Q16" s="34">
        <f t="shared" ref="Q16:Q22" si="8">P16+O16+N16</f>
        <v>0</v>
      </c>
      <c r="R16" s="43"/>
      <c r="S16" s="43"/>
      <c r="T16" s="43"/>
      <c r="U16" s="34">
        <f t="shared" ref="U16:U25" si="9">T16+S16+R16</f>
        <v>0</v>
      </c>
      <c r="V16" s="34">
        <f t="shared" ref="V16:V25" si="10">U16+Q16+M16+I16</f>
        <v>0</v>
      </c>
    </row>
    <row r="17" spans="1:22" s="111" customFormat="1" ht="12.75" customHeight="1" outlineLevel="1">
      <c r="A17" s="465"/>
      <c r="B17" s="3"/>
      <c r="C17" s="116"/>
      <c r="D17" s="117" t="s">
        <v>172</v>
      </c>
      <c r="E17" s="7"/>
      <c r="F17" s="43"/>
      <c r="G17" s="43"/>
      <c r="H17" s="43"/>
      <c r="I17" s="34">
        <f t="shared" si="6"/>
        <v>0</v>
      </c>
      <c r="J17" s="43"/>
      <c r="K17" s="43"/>
      <c r="L17" s="43"/>
      <c r="M17" s="34">
        <f t="shared" si="7"/>
        <v>0</v>
      </c>
      <c r="N17" s="43"/>
      <c r="O17" s="43"/>
      <c r="P17" s="43"/>
      <c r="Q17" s="34">
        <f t="shared" si="8"/>
        <v>0</v>
      </c>
      <c r="R17" s="43"/>
      <c r="S17" s="43"/>
      <c r="T17" s="43"/>
      <c r="U17" s="34">
        <f t="shared" si="9"/>
        <v>0</v>
      </c>
      <c r="V17" s="34">
        <f t="shared" si="10"/>
        <v>0</v>
      </c>
    </row>
    <row r="18" spans="1:22" s="111" customFormat="1" ht="12.75" customHeight="1" outlineLevel="1">
      <c r="A18" s="465"/>
      <c r="B18" s="3"/>
      <c r="C18" s="116"/>
      <c r="D18" s="117" t="s">
        <v>294</v>
      </c>
      <c r="E18" s="7"/>
      <c r="F18" s="43"/>
      <c r="G18" s="43"/>
      <c r="H18" s="43"/>
      <c r="I18" s="34">
        <f t="shared" si="6"/>
        <v>0</v>
      </c>
      <c r="J18" s="43"/>
      <c r="K18" s="43"/>
      <c r="L18" s="43"/>
      <c r="M18" s="34">
        <f t="shared" si="7"/>
        <v>0</v>
      </c>
      <c r="N18" s="43"/>
      <c r="O18" s="43"/>
      <c r="P18" s="43"/>
      <c r="Q18" s="34">
        <f t="shared" si="8"/>
        <v>0</v>
      </c>
      <c r="R18" s="43"/>
      <c r="S18" s="43"/>
      <c r="T18" s="43"/>
      <c r="U18" s="34">
        <f t="shared" si="9"/>
        <v>0</v>
      </c>
      <c r="V18" s="34">
        <f t="shared" si="10"/>
        <v>0</v>
      </c>
    </row>
    <row r="19" spans="1:22" s="111" customFormat="1" ht="12.75" customHeight="1" outlineLevel="1">
      <c r="A19" s="465"/>
      <c r="B19" s="3"/>
      <c r="C19" s="116"/>
      <c r="D19" s="117" t="s">
        <v>173</v>
      </c>
      <c r="E19" s="7"/>
      <c r="F19" s="43"/>
      <c r="G19" s="43"/>
      <c r="H19" s="43"/>
      <c r="I19" s="34">
        <f t="shared" si="6"/>
        <v>0</v>
      </c>
      <c r="J19" s="43"/>
      <c r="K19" s="43"/>
      <c r="L19" s="43"/>
      <c r="M19" s="34">
        <f t="shared" si="7"/>
        <v>0</v>
      </c>
      <c r="N19" s="43"/>
      <c r="O19" s="43"/>
      <c r="P19" s="43"/>
      <c r="Q19" s="34">
        <f t="shared" si="8"/>
        <v>0</v>
      </c>
      <c r="R19" s="43"/>
      <c r="S19" s="43"/>
      <c r="T19" s="43"/>
      <c r="U19" s="34">
        <f t="shared" si="9"/>
        <v>0</v>
      </c>
      <c r="V19" s="34">
        <f t="shared" si="10"/>
        <v>0</v>
      </c>
    </row>
    <row r="20" spans="1:22" s="111" customFormat="1" ht="12.75" customHeight="1" outlineLevel="1">
      <c r="A20" s="465"/>
      <c r="B20" s="3"/>
      <c r="C20" s="116"/>
      <c r="D20" s="118" t="s">
        <v>174</v>
      </c>
      <c r="E20" s="7">
        <v>0</v>
      </c>
      <c r="F20" s="43"/>
      <c r="G20" s="43"/>
      <c r="H20" s="43"/>
      <c r="I20" s="34">
        <f t="shared" si="6"/>
        <v>0</v>
      </c>
      <c r="J20" s="43"/>
      <c r="K20" s="43"/>
      <c r="L20" s="43"/>
      <c r="M20" s="34">
        <f t="shared" si="7"/>
        <v>0</v>
      </c>
      <c r="N20" s="43"/>
      <c r="O20" s="43"/>
      <c r="P20" s="43"/>
      <c r="Q20" s="34">
        <f t="shared" si="8"/>
        <v>0</v>
      </c>
      <c r="R20" s="43"/>
      <c r="S20" s="43"/>
      <c r="T20" s="43"/>
      <c r="U20" s="34">
        <f t="shared" si="9"/>
        <v>0</v>
      </c>
      <c r="V20" s="34">
        <f t="shared" si="10"/>
        <v>0</v>
      </c>
    </row>
    <row r="21" spans="1:22" s="111" customFormat="1" ht="12.75" customHeight="1" outlineLevel="1">
      <c r="A21" s="465"/>
      <c r="B21" s="3"/>
      <c r="C21" s="468" t="s">
        <v>175</v>
      </c>
      <c r="D21" s="469"/>
      <c r="E21" s="7"/>
      <c r="F21" s="43"/>
      <c r="G21" s="43"/>
      <c r="H21" s="43"/>
      <c r="I21" s="34">
        <f t="shared" si="6"/>
        <v>0</v>
      </c>
      <c r="J21" s="43"/>
      <c r="K21" s="43"/>
      <c r="L21" s="43"/>
      <c r="M21" s="34">
        <f t="shared" si="7"/>
        <v>0</v>
      </c>
      <c r="N21" s="43"/>
      <c r="O21" s="43"/>
      <c r="P21" s="43"/>
      <c r="Q21" s="34">
        <f t="shared" si="8"/>
        <v>0</v>
      </c>
      <c r="R21" s="43"/>
      <c r="S21" s="43"/>
      <c r="T21" s="43"/>
      <c r="U21" s="34">
        <f t="shared" si="9"/>
        <v>0</v>
      </c>
      <c r="V21" s="34">
        <f t="shared" si="10"/>
        <v>0</v>
      </c>
    </row>
    <row r="22" spans="1:22" s="111" customFormat="1" ht="12.75" customHeight="1" outlineLevel="1">
      <c r="A22" s="465"/>
      <c r="B22" s="3"/>
      <c r="C22" s="468" t="s">
        <v>176</v>
      </c>
      <c r="D22" s="469"/>
      <c r="E22" s="7"/>
      <c r="F22" s="43"/>
      <c r="G22" s="43"/>
      <c r="H22" s="43"/>
      <c r="I22" s="34">
        <f t="shared" si="6"/>
        <v>0</v>
      </c>
      <c r="J22" s="43"/>
      <c r="K22" s="43"/>
      <c r="L22" s="43"/>
      <c r="M22" s="34">
        <f t="shared" si="7"/>
        <v>0</v>
      </c>
      <c r="N22" s="43"/>
      <c r="O22" s="43"/>
      <c r="P22" s="43"/>
      <c r="Q22" s="34">
        <f t="shared" si="8"/>
        <v>0</v>
      </c>
      <c r="R22" s="43"/>
      <c r="S22" s="43"/>
      <c r="T22" s="43"/>
      <c r="U22" s="34">
        <f t="shared" si="9"/>
        <v>0</v>
      </c>
      <c r="V22" s="34">
        <f t="shared" si="10"/>
        <v>0</v>
      </c>
    </row>
    <row r="23" spans="1:22" s="111" customFormat="1" ht="12.75" customHeight="1" outlineLevel="1">
      <c r="A23" s="465"/>
      <c r="B23" s="3"/>
      <c r="C23" s="457" t="s">
        <v>203</v>
      </c>
      <c r="D23" s="470"/>
      <c r="E23" s="7"/>
      <c r="F23" s="96"/>
      <c r="G23" s="96"/>
      <c r="H23" s="96"/>
      <c r="I23" s="34">
        <f>H23+G23+F23</f>
        <v>0</v>
      </c>
      <c r="J23" s="96"/>
      <c r="K23" s="96"/>
      <c r="L23" s="96"/>
      <c r="M23" s="34">
        <f>L23+K23+J23</f>
        <v>0</v>
      </c>
      <c r="N23" s="96"/>
      <c r="O23" s="96"/>
      <c r="P23" s="96"/>
      <c r="Q23" s="34">
        <f>P23+O23+N23</f>
        <v>0</v>
      </c>
      <c r="R23" s="96"/>
      <c r="S23" s="96"/>
      <c r="T23" s="96"/>
      <c r="U23" s="34">
        <f t="shared" si="9"/>
        <v>0</v>
      </c>
      <c r="V23" s="34">
        <f t="shared" si="10"/>
        <v>0</v>
      </c>
    </row>
    <row r="24" spans="1:22" s="111" customFormat="1" ht="12.75" customHeight="1" outlineLevel="1">
      <c r="A24" s="465"/>
      <c r="B24" s="3"/>
      <c r="C24" s="457" t="s">
        <v>184</v>
      </c>
      <c r="D24" s="458"/>
      <c r="E24" s="7"/>
      <c r="F24" s="96"/>
      <c r="G24" s="96"/>
      <c r="H24" s="96"/>
      <c r="I24" s="34">
        <f t="shared" ref="I24:I25" si="11">H24+G24+F24</f>
        <v>0</v>
      </c>
      <c r="J24" s="96"/>
      <c r="K24" s="96"/>
      <c r="L24" s="96"/>
      <c r="M24" s="34">
        <f t="shared" ref="M24:M25" si="12">L24+K24+J24</f>
        <v>0</v>
      </c>
      <c r="N24" s="96"/>
      <c r="O24" s="96"/>
      <c r="P24" s="96"/>
      <c r="Q24" s="34">
        <f t="shared" ref="Q24:Q25" si="13">P24+O24+N24</f>
        <v>0</v>
      </c>
      <c r="R24" s="96"/>
      <c r="S24" s="96"/>
      <c r="T24" s="96"/>
      <c r="U24" s="34">
        <f t="shared" si="9"/>
        <v>0</v>
      </c>
      <c r="V24" s="34">
        <f t="shared" si="10"/>
        <v>0</v>
      </c>
    </row>
    <row r="25" spans="1:22" s="111" customFormat="1" ht="12.75" customHeight="1" outlineLevel="1">
      <c r="A25" s="465"/>
      <c r="B25" s="3"/>
      <c r="C25" s="457" t="s">
        <v>183</v>
      </c>
      <c r="D25" s="458"/>
      <c r="E25" s="7">
        <v>0</v>
      </c>
      <c r="F25" s="43"/>
      <c r="G25" s="43"/>
      <c r="H25" s="96"/>
      <c r="I25" s="34">
        <f t="shared" si="11"/>
        <v>0</v>
      </c>
      <c r="J25" s="43"/>
      <c r="K25" s="43"/>
      <c r="L25" s="96"/>
      <c r="M25" s="34">
        <f t="shared" si="12"/>
        <v>0</v>
      </c>
      <c r="N25" s="43"/>
      <c r="O25" s="43"/>
      <c r="P25" s="96"/>
      <c r="Q25" s="34">
        <f t="shared" si="13"/>
        <v>0</v>
      </c>
      <c r="R25" s="43"/>
      <c r="S25" s="43"/>
      <c r="T25" s="96"/>
      <c r="U25" s="34">
        <f t="shared" si="9"/>
        <v>0</v>
      </c>
      <c r="V25" s="34">
        <f t="shared" si="10"/>
        <v>0</v>
      </c>
    </row>
    <row r="26" spans="1:22" s="111" customFormat="1" ht="12.75" customHeight="1">
      <c r="A26" s="459" t="s">
        <v>177</v>
      </c>
      <c r="B26" s="460"/>
      <c r="C26" s="460"/>
      <c r="D26" s="461"/>
      <c r="E26" s="8"/>
      <c r="F26" s="44">
        <f t="shared" ref="F26:V26" si="14">SUM(F16:F25)</f>
        <v>0</v>
      </c>
      <c r="G26" s="44">
        <f t="shared" si="14"/>
        <v>0</v>
      </c>
      <c r="H26" s="44">
        <f t="shared" si="14"/>
        <v>0</v>
      </c>
      <c r="I26" s="35">
        <f t="shared" si="14"/>
        <v>0</v>
      </c>
      <c r="J26" s="44">
        <f t="shared" si="14"/>
        <v>0</v>
      </c>
      <c r="K26" s="44">
        <f t="shared" si="14"/>
        <v>0</v>
      </c>
      <c r="L26" s="44">
        <f t="shared" si="14"/>
        <v>0</v>
      </c>
      <c r="M26" s="35">
        <f t="shared" si="14"/>
        <v>0</v>
      </c>
      <c r="N26" s="44">
        <f t="shared" si="14"/>
        <v>0</v>
      </c>
      <c r="O26" s="44">
        <f t="shared" si="14"/>
        <v>0</v>
      </c>
      <c r="P26" s="44">
        <f t="shared" si="14"/>
        <v>0</v>
      </c>
      <c r="Q26" s="35">
        <f t="shared" si="14"/>
        <v>0</v>
      </c>
      <c r="R26" s="44">
        <f t="shared" si="14"/>
        <v>0</v>
      </c>
      <c r="S26" s="44">
        <f t="shared" si="14"/>
        <v>0</v>
      </c>
      <c r="T26" s="44">
        <f t="shared" si="14"/>
        <v>0</v>
      </c>
      <c r="U26" s="35">
        <f t="shared" si="14"/>
        <v>0</v>
      </c>
      <c r="V26" s="35">
        <f t="shared" si="14"/>
        <v>0</v>
      </c>
    </row>
    <row r="27" spans="1:22" s="111" customFormat="1" ht="8.25" customHeight="1">
      <c r="A27" s="122"/>
      <c r="B27" s="123"/>
      <c r="C27" s="123"/>
      <c r="D27" s="124"/>
      <c r="E27" s="8"/>
      <c r="F27" s="43"/>
      <c r="G27" s="43"/>
      <c r="H27" s="43"/>
      <c r="I27" s="34"/>
      <c r="J27" s="43"/>
      <c r="K27" s="43"/>
      <c r="L27" s="43"/>
      <c r="M27" s="34"/>
      <c r="N27" s="43"/>
      <c r="O27" s="43"/>
      <c r="P27" s="43"/>
      <c r="Q27" s="34"/>
      <c r="R27" s="43"/>
      <c r="S27" s="43"/>
      <c r="T27" s="43"/>
      <c r="U27" s="34"/>
      <c r="V27" s="34"/>
    </row>
    <row r="28" spans="1:22" s="111" customFormat="1" ht="12.75" customHeight="1">
      <c r="A28" s="462" t="s">
        <v>178</v>
      </c>
      <c r="B28" s="463"/>
      <c r="C28" s="463"/>
      <c r="D28" s="464"/>
      <c r="E28" s="8"/>
      <c r="F28" s="43"/>
      <c r="G28" s="43"/>
      <c r="H28" s="43"/>
      <c r="I28" s="34"/>
      <c r="J28" s="43"/>
      <c r="K28" s="43"/>
      <c r="L28" s="43"/>
      <c r="M28" s="34"/>
      <c r="N28" s="43"/>
      <c r="O28" s="43"/>
      <c r="P28" s="43"/>
      <c r="Q28" s="34"/>
      <c r="R28" s="43"/>
      <c r="S28" s="43"/>
      <c r="T28" s="43"/>
      <c r="U28" s="34"/>
      <c r="V28" s="34"/>
    </row>
    <row r="29" spans="1:22" s="111" customFormat="1" ht="12.75" customHeight="1">
      <c r="A29" s="125"/>
      <c r="B29" s="4"/>
      <c r="C29" s="455" t="s">
        <v>179</v>
      </c>
      <c r="D29" s="456"/>
      <c r="E29" s="8"/>
      <c r="F29" s="44">
        <f t="shared" ref="F29:V29" si="15">F12-F26</f>
        <v>0</v>
      </c>
      <c r="G29" s="44">
        <f t="shared" si="15"/>
        <v>0</v>
      </c>
      <c r="H29" s="44">
        <f t="shared" si="15"/>
        <v>0</v>
      </c>
      <c r="I29" s="35">
        <f t="shared" si="15"/>
        <v>0</v>
      </c>
      <c r="J29" s="44">
        <f t="shared" si="15"/>
        <v>0</v>
      </c>
      <c r="K29" s="44">
        <f t="shared" si="15"/>
        <v>0</v>
      </c>
      <c r="L29" s="44">
        <f t="shared" si="15"/>
        <v>0</v>
      </c>
      <c r="M29" s="35">
        <f t="shared" si="15"/>
        <v>0</v>
      </c>
      <c r="N29" s="44">
        <f t="shared" si="15"/>
        <v>0</v>
      </c>
      <c r="O29" s="44">
        <f t="shared" si="15"/>
        <v>0</v>
      </c>
      <c r="P29" s="44">
        <f t="shared" si="15"/>
        <v>0</v>
      </c>
      <c r="Q29" s="35">
        <f t="shared" si="15"/>
        <v>0</v>
      </c>
      <c r="R29" s="44">
        <f t="shared" si="15"/>
        <v>0</v>
      </c>
      <c r="S29" s="44">
        <f t="shared" si="15"/>
        <v>0</v>
      </c>
      <c r="T29" s="44">
        <f t="shared" si="15"/>
        <v>0</v>
      </c>
      <c r="U29" s="35">
        <f t="shared" si="15"/>
        <v>0</v>
      </c>
      <c r="V29" s="35">
        <f t="shared" si="15"/>
        <v>0</v>
      </c>
    </row>
    <row r="30" spans="1:22" s="111" customFormat="1" ht="12.75" customHeight="1">
      <c r="A30" s="121"/>
      <c r="B30" s="3"/>
      <c r="C30" s="3"/>
      <c r="D30" s="118" t="s">
        <v>180</v>
      </c>
      <c r="E30" s="7"/>
      <c r="F30" s="126">
        <f t="shared" ref="F30:V30" si="16">IF(F12=0,0,F29/F12)</f>
        <v>0</v>
      </c>
      <c r="G30" s="126">
        <f t="shared" si="16"/>
        <v>0</v>
      </c>
      <c r="H30" s="126">
        <f t="shared" si="16"/>
        <v>0</v>
      </c>
      <c r="I30" s="127">
        <f t="shared" si="16"/>
        <v>0</v>
      </c>
      <c r="J30" s="126">
        <f t="shared" si="16"/>
        <v>0</v>
      </c>
      <c r="K30" s="126">
        <f t="shared" si="16"/>
        <v>0</v>
      </c>
      <c r="L30" s="126">
        <f t="shared" si="16"/>
        <v>0</v>
      </c>
      <c r="M30" s="127">
        <f t="shared" si="16"/>
        <v>0</v>
      </c>
      <c r="N30" s="126">
        <f t="shared" si="16"/>
        <v>0</v>
      </c>
      <c r="O30" s="126">
        <f t="shared" si="16"/>
        <v>0</v>
      </c>
      <c r="P30" s="126">
        <f t="shared" si="16"/>
        <v>0</v>
      </c>
      <c r="Q30" s="127">
        <f t="shared" si="16"/>
        <v>0</v>
      </c>
      <c r="R30" s="126">
        <f t="shared" si="16"/>
        <v>0</v>
      </c>
      <c r="S30" s="126">
        <f t="shared" si="16"/>
        <v>0</v>
      </c>
      <c r="T30" s="126">
        <f t="shared" si="16"/>
        <v>0</v>
      </c>
      <c r="U30" s="127">
        <f t="shared" si="16"/>
        <v>0</v>
      </c>
      <c r="V30" s="127">
        <f t="shared" si="16"/>
        <v>0</v>
      </c>
    </row>
    <row r="31" spans="1:22" ht="13.15" outlineLevel="1">
      <c r="A31" s="21" t="s">
        <v>49</v>
      </c>
      <c r="B31" s="22"/>
      <c r="C31" s="22"/>
      <c r="D31" s="22"/>
      <c r="F31" s="43"/>
      <c r="G31" s="43"/>
      <c r="H31" s="43"/>
      <c r="I31" s="34"/>
      <c r="J31" s="43"/>
      <c r="K31" s="43"/>
      <c r="L31" s="43"/>
      <c r="M31" s="34"/>
      <c r="N31" s="43"/>
      <c r="O31" s="43"/>
      <c r="P31" s="43"/>
      <c r="Q31" s="34"/>
      <c r="R31" s="43"/>
      <c r="S31" s="43"/>
      <c r="T31" s="43"/>
      <c r="U31" s="34"/>
      <c r="V31" s="34"/>
    </row>
    <row r="32" spans="1:22" ht="13.5" outlineLevel="2">
      <c r="A32" s="22"/>
      <c r="B32" s="22"/>
      <c r="C32" s="23" t="s">
        <v>37</v>
      </c>
      <c r="D32" s="24"/>
      <c r="E32" s="8"/>
      <c r="F32" s="43"/>
      <c r="G32" s="43"/>
      <c r="H32" s="43"/>
      <c r="I32" s="34"/>
      <c r="J32" s="43"/>
      <c r="K32" s="43"/>
      <c r="L32" s="43"/>
      <c r="M32" s="34"/>
      <c r="N32" s="43"/>
      <c r="O32" s="43"/>
      <c r="P32" s="43"/>
      <c r="Q32" s="34"/>
      <c r="R32" s="43"/>
      <c r="S32" s="43"/>
      <c r="T32" s="43"/>
      <c r="U32" s="34"/>
      <c r="V32" s="34"/>
    </row>
    <row r="33" spans="1:22" ht="13.15" outlineLevel="2">
      <c r="A33" s="22"/>
      <c r="B33" s="22"/>
      <c r="C33" s="22"/>
      <c r="D33" s="25" t="s">
        <v>27</v>
      </c>
      <c r="E33" s="7">
        <v>0</v>
      </c>
      <c r="F33" s="43">
        <v>10000000</v>
      </c>
      <c r="G33" s="43">
        <v>10000000</v>
      </c>
      <c r="H33" s="43">
        <v>10000000</v>
      </c>
      <c r="I33" s="34">
        <f>SUM(F33:H33)</f>
        <v>30000000</v>
      </c>
      <c r="J33" s="43">
        <v>10000000</v>
      </c>
      <c r="K33" s="43">
        <v>10000000</v>
      </c>
      <c r="L33" s="43">
        <v>10000000</v>
      </c>
      <c r="M33" s="34">
        <f>SUM(J33:L33)</f>
        <v>30000000</v>
      </c>
      <c r="N33" s="43">
        <v>10000000</v>
      </c>
      <c r="O33" s="43">
        <v>10000000</v>
      </c>
      <c r="P33" s="43">
        <v>10000000</v>
      </c>
      <c r="Q33" s="34">
        <f>SUM(N33:P33)</f>
        <v>30000000</v>
      </c>
      <c r="R33" s="43">
        <v>10000000</v>
      </c>
      <c r="S33" s="43">
        <v>10000000</v>
      </c>
      <c r="T33" s="43">
        <v>10000000</v>
      </c>
      <c r="U33" s="34">
        <f>SUM(R33:T33)</f>
        <v>30000000</v>
      </c>
      <c r="V33" s="34">
        <f t="shared" ref="V33:V37" si="17">I33+M33+Q33+U33</f>
        <v>120000000</v>
      </c>
    </row>
    <row r="34" spans="1:22" ht="13.15" outlineLevel="2">
      <c r="A34" s="22"/>
      <c r="B34" s="22"/>
      <c r="C34" s="22"/>
      <c r="D34" s="25" t="s">
        <v>73</v>
      </c>
      <c r="F34" s="43">
        <v>0</v>
      </c>
      <c r="G34" s="43">
        <v>0</v>
      </c>
      <c r="H34" s="43">
        <v>0</v>
      </c>
      <c r="I34" s="34">
        <f>SUM(F34:H34)</f>
        <v>0</v>
      </c>
      <c r="J34" s="43">
        <v>0</v>
      </c>
      <c r="K34" s="43">
        <v>0</v>
      </c>
      <c r="L34" s="43">
        <v>0</v>
      </c>
      <c r="M34" s="34">
        <f>SUM(J34:L34)</f>
        <v>0</v>
      </c>
      <c r="N34" s="43">
        <v>0</v>
      </c>
      <c r="O34" s="43">
        <v>0</v>
      </c>
      <c r="P34" s="43">
        <v>0</v>
      </c>
      <c r="Q34" s="34">
        <f>SUM(N34:P34)</f>
        <v>0</v>
      </c>
      <c r="R34" s="43">
        <v>0</v>
      </c>
      <c r="S34" s="43">
        <v>0</v>
      </c>
      <c r="T34" s="43">
        <v>0</v>
      </c>
      <c r="U34" s="34">
        <f>SUM(R34:T34)</f>
        <v>0</v>
      </c>
      <c r="V34" s="34">
        <f t="shared" si="17"/>
        <v>0</v>
      </c>
    </row>
    <row r="35" spans="1:22" ht="13.15" outlineLevel="2">
      <c r="A35" s="22"/>
      <c r="B35" s="22"/>
      <c r="C35" s="22"/>
      <c r="D35" s="25" t="s">
        <v>55</v>
      </c>
      <c r="E35" s="7">
        <v>0</v>
      </c>
      <c r="F35" s="43"/>
      <c r="G35" s="43"/>
      <c r="H35" s="43"/>
      <c r="I35" s="34">
        <f>SUM(F35:H35)</f>
        <v>0</v>
      </c>
      <c r="J35" s="43"/>
      <c r="K35" s="43"/>
      <c r="L35" s="43"/>
      <c r="M35" s="34">
        <f>SUM(J35:L35)</f>
        <v>0</v>
      </c>
      <c r="N35" s="43"/>
      <c r="O35" s="43"/>
      <c r="P35" s="43"/>
      <c r="Q35" s="34">
        <f>SUM(N35:P35)</f>
        <v>0</v>
      </c>
      <c r="R35" s="43"/>
      <c r="S35" s="43"/>
      <c r="T35" s="43"/>
      <c r="U35" s="34">
        <f>SUM(R35:T35)</f>
        <v>0</v>
      </c>
      <c r="V35" s="34">
        <f t="shared" si="17"/>
        <v>0</v>
      </c>
    </row>
    <row r="36" spans="1:22" ht="13.15" outlineLevel="2">
      <c r="A36" s="22"/>
      <c r="B36" s="22"/>
      <c r="C36" s="22"/>
      <c r="D36" s="25" t="s">
        <v>96</v>
      </c>
      <c r="E36" s="7">
        <v>0</v>
      </c>
      <c r="F36" s="43">
        <v>1000000</v>
      </c>
      <c r="G36" s="43">
        <v>1000000</v>
      </c>
      <c r="H36" s="43">
        <v>1000000</v>
      </c>
      <c r="I36" s="34">
        <f>SUM(F36:H36)</f>
        <v>3000000</v>
      </c>
      <c r="J36" s="43">
        <v>1000000</v>
      </c>
      <c r="K36" s="43">
        <v>1000000</v>
      </c>
      <c r="L36" s="43">
        <v>1000000</v>
      </c>
      <c r="M36" s="34">
        <f>SUM(J36:L36)</f>
        <v>3000000</v>
      </c>
      <c r="N36" s="43">
        <v>1000000</v>
      </c>
      <c r="O36" s="43">
        <v>1000000</v>
      </c>
      <c r="P36" s="43">
        <v>1000000</v>
      </c>
      <c r="Q36" s="34">
        <f>SUM(N36:P36)</f>
        <v>3000000</v>
      </c>
      <c r="R36" s="43">
        <v>1000000</v>
      </c>
      <c r="S36" s="43">
        <v>1000000</v>
      </c>
      <c r="T36" s="43">
        <v>1000000</v>
      </c>
      <c r="U36" s="34">
        <f>SUM(R36:T36)</f>
        <v>3000000</v>
      </c>
      <c r="V36" s="34">
        <f t="shared" si="17"/>
        <v>12000000</v>
      </c>
    </row>
    <row r="37" spans="1:22" ht="13.15" outlineLevel="1">
      <c r="A37" s="24"/>
      <c r="B37" s="24" t="s">
        <v>0</v>
      </c>
      <c r="C37" s="24"/>
      <c r="D37" s="24"/>
      <c r="E37" s="8"/>
      <c r="F37" s="44">
        <f t="shared" ref="F37" si="18">SUM(F33:F36)</f>
        <v>11000000</v>
      </c>
      <c r="G37" s="44">
        <f t="shared" ref="G37:H37" si="19">SUM(G33:G36)</f>
        <v>11000000</v>
      </c>
      <c r="H37" s="44">
        <f t="shared" si="19"/>
        <v>11000000</v>
      </c>
      <c r="I37" s="35">
        <f>SUM(I33:I36)</f>
        <v>33000000</v>
      </c>
      <c r="J37" s="44">
        <f t="shared" ref="J37:L37" si="20">SUM(J33:J36)</f>
        <v>11000000</v>
      </c>
      <c r="K37" s="44">
        <f t="shared" si="20"/>
        <v>11000000</v>
      </c>
      <c r="L37" s="44">
        <f t="shared" si="20"/>
        <v>11000000</v>
      </c>
      <c r="M37" s="35">
        <f>SUM(M33:M36)</f>
        <v>33000000</v>
      </c>
      <c r="N37" s="44">
        <f t="shared" ref="N37:P37" si="21">SUM(N33:N36)</f>
        <v>11000000</v>
      </c>
      <c r="O37" s="44">
        <f t="shared" si="21"/>
        <v>11000000</v>
      </c>
      <c r="P37" s="44">
        <f t="shared" si="21"/>
        <v>11000000</v>
      </c>
      <c r="Q37" s="35">
        <f>SUM(Q33:Q36)</f>
        <v>33000000</v>
      </c>
      <c r="R37" s="44">
        <f t="shared" ref="R37:T37" si="22">SUM(R33:R36)</f>
        <v>11000000</v>
      </c>
      <c r="S37" s="44">
        <f t="shared" si="22"/>
        <v>11000000</v>
      </c>
      <c r="T37" s="44">
        <f t="shared" si="22"/>
        <v>11000000</v>
      </c>
      <c r="U37" s="35">
        <f t="shared" ref="U37" si="23">SUM(U33:U36)</f>
        <v>33000000</v>
      </c>
      <c r="V37" s="35">
        <f t="shared" si="17"/>
        <v>132000000</v>
      </c>
    </row>
    <row r="38" spans="1:22" ht="13.15" outlineLevel="2">
      <c r="A38" s="22"/>
      <c r="B38" s="22"/>
      <c r="C38" s="23" t="s">
        <v>38</v>
      </c>
      <c r="D38" s="22"/>
      <c r="F38" s="43"/>
      <c r="G38" s="43"/>
      <c r="H38" s="43"/>
      <c r="I38" s="34"/>
      <c r="J38" s="43"/>
      <c r="K38" s="43"/>
      <c r="L38" s="43"/>
      <c r="M38" s="34"/>
      <c r="N38" s="43"/>
      <c r="O38" s="43"/>
      <c r="P38" s="43"/>
      <c r="Q38" s="34"/>
      <c r="R38" s="43"/>
      <c r="S38" s="43"/>
      <c r="T38" s="43"/>
      <c r="U38" s="34"/>
      <c r="V38" s="34"/>
    </row>
    <row r="39" spans="1:22" ht="13.15" outlineLevel="2">
      <c r="A39" s="22"/>
      <c r="B39" s="22"/>
      <c r="C39" s="22"/>
      <c r="D39" s="25" t="s">
        <v>30</v>
      </c>
      <c r="E39" s="7">
        <v>0</v>
      </c>
      <c r="F39" s="43">
        <v>300000</v>
      </c>
      <c r="G39" s="43">
        <v>300000</v>
      </c>
      <c r="H39" s="43">
        <v>300000</v>
      </c>
      <c r="I39" s="34">
        <f t="shared" ref="I39:I50" si="24">SUM(F39:H39)</f>
        <v>900000</v>
      </c>
      <c r="J39" s="43">
        <v>300000</v>
      </c>
      <c r="K39" s="43">
        <v>300000</v>
      </c>
      <c r="L39" s="43">
        <v>300000</v>
      </c>
      <c r="M39" s="34">
        <f t="shared" ref="M39:M50" si="25">SUM(J39:L39)</f>
        <v>900000</v>
      </c>
      <c r="N39" s="43">
        <v>300000</v>
      </c>
      <c r="O39" s="43">
        <v>300000</v>
      </c>
      <c r="P39" s="43">
        <v>300000</v>
      </c>
      <c r="Q39" s="34">
        <f t="shared" ref="Q39:Q50" si="26">SUM(N39:P39)</f>
        <v>900000</v>
      </c>
      <c r="R39" s="43">
        <v>300000</v>
      </c>
      <c r="S39" s="43">
        <v>300000</v>
      </c>
      <c r="T39" s="43">
        <v>300000</v>
      </c>
      <c r="U39" s="34">
        <f t="shared" ref="U39:U50" si="27">SUM(R39:T39)</f>
        <v>900000</v>
      </c>
      <c r="V39" s="34">
        <f t="shared" ref="V39:V53" si="28">I39+M39+Q39+U39</f>
        <v>3600000</v>
      </c>
    </row>
    <row r="40" spans="1:22" ht="13.15" outlineLevel="2">
      <c r="A40" s="22"/>
      <c r="B40" s="22"/>
      <c r="C40" s="22"/>
      <c r="D40" s="25" t="s">
        <v>31</v>
      </c>
      <c r="E40" s="7">
        <v>0</v>
      </c>
      <c r="F40" s="43">
        <v>300000</v>
      </c>
      <c r="G40" s="43">
        <v>300000</v>
      </c>
      <c r="H40" s="43">
        <v>300000</v>
      </c>
      <c r="I40" s="34">
        <f t="shared" si="24"/>
        <v>900000</v>
      </c>
      <c r="J40" s="43">
        <v>300000</v>
      </c>
      <c r="K40" s="43">
        <v>300000</v>
      </c>
      <c r="L40" s="43">
        <v>300000</v>
      </c>
      <c r="M40" s="34">
        <f t="shared" si="25"/>
        <v>900000</v>
      </c>
      <c r="N40" s="43">
        <v>300000</v>
      </c>
      <c r="O40" s="43">
        <v>300000</v>
      </c>
      <c r="P40" s="43">
        <v>300000</v>
      </c>
      <c r="Q40" s="34">
        <f t="shared" si="26"/>
        <v>900000</v>
      </c>
      <c r="R40" s="43">
        <v>300000</v>
      </c>
      <c r="S40" s="43">
        <v>300000</v>
      </c>
      <c r="T40" s="43">
        <v>300000</v>
      </c>
      <c r="U40" s="34">
        <f t="shared" si="27"/>
        <v>900000</v>
      </c>
      <c r="V40" s="34">
        <f t="shared" si="28"/>
        <v>3600000</v>
      </c>
    </row>
    <row r="41" spans="1:22" ht="13.15" outlineLevel="2">
      <c r="A41" s="22"/>
      <c r="B41" s="22"/>
      <c r="C41" s="22"/>
      <c r="D41" s="25" t="s">
        <v>32</v>
      </c>
      <c r="E41" s="7">
        <v>0</v>
      </c>
      <c r="F41" s="43">
        <v>100000</v>
      </c>
      <c r="G41" s="43">
        <v>100000</v>
      </c>
      <c r="H41" s="43">
        <v>100000</v>
      </c>
      <c r="I41" s="34">
        <f t="shared" si="24"/>
        <v>300000</v>
      </c>
      <c r="J41" s="43">
        <v>100000</v>
      </c>
      <c r="K41" s="43">
        <v>100000</v>
      </c>
      <c r="L41" s="43">
        <v>100000</v>
      </c>
      <c r="M41" s="34">
        <f t="shared" si="25"/>
        <v>300000</v>
      </c>
      <c r="N41" s="43">
        <v>100000</v>
      </c>
      <c r="O41" s="43">
        <v>100000</v>
      </c>
      <c r="P41" s="43">
        <v>100000</v>
      </c>
      <c r="Q41" s="34">
        <f t="shared" si="26"/>
        <v>300000</v>
      </c>
      <c r="R41" s="43">
        <v>100000</v>
      </c>
      <c r="S41" s="43">
        <v>100000</v>
      </c>
      <c r="T41" s="43">
        <v>100000</v>
      </c>
      <c r="U41" s="34">
        <f t="shared" si="27"/>
        <v>300000</v>
      </c>
      <c r="V41" s="34">
        <f t="shared" si="28"/>
        <v>1200000</v>
      </c>
    </row>
    <row r="42" spans="1:22" ht="13.15" outlineLevel="2">
      <c r="A42" s="22"/>
      <c r="B42" s="22"/>
      <c r="C42" s="22"/>
      <c r="D42" s="25" t="s">
        <v>98</v>
      </c>
      <c r="E42" s="7">
        <v>0</v>
      </c>
      <c r="F42" s="43">
        <v>54000</v>
      </c>
      <c r="G42" s="43">
        <v>54000</v>
      </c>
      <c r="H42" s="43">
        <v>54000</v>
      </c>
      <c r="I42" s="34">
        <f t="shared" si="24"/>
        <v>162000</v>
      </c>
      <c r="J42" s="43">
        <v>54000</v>
      </c>
      <c r="K42" s="43">
        <v>54000</v>
      </c>
      <c r="L42" s="43">
        <v>54000</v>
      </c>
      <c r="M42" s="34">
        <f t="shared" si="25"/>
        <v>162000</v>
      </c>
      <c r="N42" s="43">
        <v>54000</v>
      </c>
      <c r="O42" s="43">
        <v>54000</v>
      </c>
      <c r="P42" s="43">
        <v>54000</v>
      </c>
      <c r="Q42" s="34">
        <f t="shared" si="26"/>
        <v>162000</v>
      </c>
      <c r="R42" s="43">
        <v>54000</v>
      </c>
      <c r="S42" s="43">
        <v>54000</v>
      </c>
      <c r="T42" s="43">
        <v>54000</v>
      </c>
      <c r="U42" s="34">
        <f t="shared" si="27"/>
        <v>162000</v>
      </c>
      <c r="V42" s="34">
        <f t="shared" si="28"/>
        <v>648000</v>
      </c>
    </row>
    <row r="43" spans="1:22" ht="13.15" outlineLevel="2">
      <c r="A43" s="22"/>
      <c r="B43" s="22"/>
      <c r="C43" s="22"/>
      <c r="D43" s="25" t="s">
        <v>56</v>
      </c>
      <c r="E43" s="7">
        <v>0</v>
      </c>
      <c r="F43" s="43">
        <v>39000</v>
      </c>
      <c r="G43" s="43">
        <v>39000</v>
      </c>
      <c r="H43" s="43">
        <v>39000</v>
      </c>
      <c r="I43" s="34">
        <f t="shared" si="24"/>
        <v>117000</v>
      </c>
      <c r="J43" s="43">
        <v>39000</v>
      </c>
      <c r="K43" s="43">
        <v>39000</v>
      </c>
      <c r="L43" s="43">
        <v>39000</v>
      </c>
      <c r="M43" s="34">
        <f t="shared" si="25"/>
        <v>117000</v>
      </c>
      <c r="N43" s="43">
        <v>39000</v>
      </c>
      <c r="O43" s="43">
        <v>39000</v>
      </c>
      <c r="P43" s="43">
        <v>39000</v>
      </c>
      <c r="Q43" s="34">
        <f t="shared" si="26"/>
        <v>117000</v>
      </c>
      <c r="R43" s="43">
        <v>39000</v>
      </c>
      <c r="S43" s="43">
        <v>39000</v>
      </c>
      <c r="T43" s="43">
        <v>39000</v>
      </c>
      <c r="U43" s="34">
        <f t="shared" si="27"/>
        <v>117000</v>
      </c>
      <c r="V43" s="34">
        <f t="shared" si="28"/>
        <v>468000</v>
      </c>
    </row>
    <row r="44" spans="1:22" ht="13.15" outlineLevel="2">
      <c r="A44" s="22"/>
      <c r="B44" s="22"/>
      <c r="C44" s="22"/>
      <c r="D44" s="25" t="s">
        <v>57</v>
      </c>
      <c r="F44" s="43"/>
      <c r="G44" s="43">
        <v>100000</v>
      </c>
      <c r="H44" s="43">
        <v>100000</v>
      </c>
      <c r="I44" s="34">
        <f t="shared" si="24"/>
        <v>200000</v>
      </c>
      <c r="J44" s="43">
        <v>100000</v>
      </c>
      <c r="K44" s="43">
        <v>100000</v>
      </c>
      <c r="L44" s="43">
        <v>100000</v>
      </c>
      <c r="M44" s="34">
        <f t="shared" si="25"/>
        <v>300000</v>
      </c>
      <c r="N44" s="43">
        <v>100000</v>
      </c>
      <c r="O44" s="43">
        <v>100000</v>
      </c>
      <c r="P44" s="43">
        <v>100000</v>
      </c>
      <c r="Q44" s="34">
        <f t="shared" si="26"/>
        <v>300000</v>
      </c>
      <c r="R44" s="43">
        <v>100000</v>
      </c>
      <c r="S44" s="43">
        <v>100000</v>
      </c>
      <c r="T44" s="43">
        <v>100000</v>
      </c>
      <c r="U44" s="34">
        <f t="shared" si="27"/>
        <v>300000</v>
      </c>
      <c r="V44" s="34">
        <f t="shared" si="28"/>
        <v>1100000</v>
      </c>
    </row>
    <row r="45" spans="1:22" ht="13.15" outlineLevel="2">
      <c r="A45" s="22"/>
      <c r="B45" s="22"/>
      <c r="C45" s="22"/>
      <c r="D45" s="25" t="s">
        <v>54</v>
      </c>
      <c r="E45" s="7">
        <v>0</v>
      </c>
      <c r="F45" s="43"/>
      <c r="G45" s="43"/>
      <c r="H45" s="43"/>
      <c r="I45" s="34">
        <f t="shared" si="24"/>
        <v>0</v>
      </c>
      <c r="J45" s="43"/>
      <c r="K45" s="43"/>
      <c r="L45" s="43"/>
      <c r="M45" s="34">
        <f t="shared" si="25"/>
        <v>0</v>
      </c>
      <c r="N45" s="43"/>
      <c r="O45" s="43"/>
      <c r="P45" s="43"/>
      <c r="Q45" s="34">
        <f t="shared" si="26"/>
        <v>0</v>
      </c>
      <c r="R45" s="43"/>
      <c r="S45" s="43"/>
      <c r="T45" s="43"/>
      <c r="U45" s="34">
        <f t="shared" si="27"/>
        <v>0</v>
      </c>
      <c r="V45" s="34">
        <f t="shared" si="28"/>
        <v>0</v>
      </c>
    </row>
    <row r="46" spans="1:22" ht="13.15" outlineLevel="2">
      <c r="A46" s="22"/>
      <c r="B46" s="22"/>
      <c r="C46" s="22"/>
      <c r="D46" s="25" t="s">
        <v>34</v>
      </c>
      <c r="E46" s="7">
        <v>0</v>
      </c>
      <c r="F46" s="43"/>
      <c r="G46" s="43"/>
      <c r="H46" s="43"/>
      <c r="I46" s="34">
        <f t="shared" si="24"/>
        <v>0</v>
      </c>
      <c r="J46" s="43"/>
      <c r="K46" s="43"/>
      <c r="L46" s="43"/>
      <c r="M46" s="34">
        <f t="shared" si="25"/>
        <v>0</v>
      </c>
      <c r="N46" s="43"/>
      <c r="O46" s="43"/>
      <c r="P46" s="43"/>
      <c r="Q46" s="34">
        <f t="shared" si="26"/>
        <v>0</v>
      </c>
      <c r="R46" s="43"/>
      <c r="S46" s="43"/>
      <c r="T46" s="43"/>
      <c r="U46" s="34">
        <f t="shared" si="27"/>
        <v>0</v>
      </c>
      <c r="V46" s="34">
        <f t="shared" si="28"/>
        <v>0</v>
      </c>
    </row>
    <row r="47" spans="1:22" ht="13.15" outlineLevel="2">
      <c r="A47" s="22"/>
      <c r="B47" s="22"/>
      <c r="C47" s="22"/>
      <c r="D47" s="25" t="s">
        <v>65</v>
      </c>
      <c r="E47" s="7">
        <v>0</v>
      </c>
      <c r="F47" s="43"/>
      <c r="G47" s="43"/>
      <c r="H47" s="43"/>
      <c r="I47" s="34">
        <f t="shared" si="24"/>
        <v>0</v>
      </c>
      <c r="J47" s="43"/>
      <c r="K47" s="43"/>
      <c r="L47" s="43"/>
      <c r="M47" s="34">
        <f t="shared" si="25"/>
        <v>0</v>
      </c>
      <c r="N47" s="43"/>
      <c r="O47" s="43"/>
      <c r="P47" s="43"/>
      <c r="Q47" s="34">
        <f t="shared" si="26"/>
        <v>0</v>
      </c>
      <c r="R47" s="43"/>
      <c r="S47" s="43"/>
      <c r="T47" s="43"/>
      <c r="U47" s="34">
        <f t="shared" si="27"/>
        <v>0</v>
      </c>
      <c r="V47" s="34">
        <f t="shared" si="28"/>
        <v>0</v>
      </c>
    </row>
    <row r="48" spans="1:22" ht="13.15" outlineLevel="2">
      <c r="A48" s="22"/>
      <c r="B48" s="22"/>
      <c r="C48" s="22"/>
      <c r="D48" s="25" t="s">
        <v>64</v>
      </c>
      <c r="E48" s="7">
        <v>0</v>
      </c>
      <c r="F48" s="43"/>
      <c r="G48" s="43"/>
      <c r="H48" s="43"/>
      <c r="I48" s="34">
        <f t="shared" si="24"/>
        <v>0</v>
      </c>
      <c r="J48" s="43"/>
      <c r="K48" s="43"/>
      <c r="L48" s="43"/>
      <c r="M48" s="34">
        <f t="shared" si="25"/>
        <v>0</v>
      </c>
      <c r="N48" s="43"/>
      <c r="O48" s="43"/>
      <c r="P48" s="43"/>
      <c r="Q48" s="34">
        <f t="shared" si="26"/>
        <v>0</v>
      </c>
      <c r="R48" s="43"/>
      <c r="S48" s="43"/>
      <c r="T48" s="43"/>
      <c r="U48" s="34">
        <f t="shared" si="27"/>
        <v>0</v>
      </c>
      <c r="V48" s="34">
        <f t="shared" si="28"/>
        <v>0</v>
      </c>
    </row>
    <row r="49" spans="1:22" ht="13.15" outlineLevel="2">
      <c r="A49" s="22"/>
      <c r="B49" s="22"/>
      <c r="C49" s="22"/>
      <c r="D49" s="25" t="s">
        <v>112</v>
      </c>
      <c r="F49" s="43">
        <v>65000</v>
      </c>
      <c r="G49" s="43">
        <v>65000</v>
      </c>
      <c r="H49" s="43">
        <v>65000</v>
      </c>
      <c r="I49" s="34">
        <f t="shared" si="24"/>
        <v>195000</v>
      </c>
      <c r="J49" s="43">
        <v>65000</v>
      </c>
      <c r="K49" s="43">
        <v>65000</v>
      </c>
      <c r="L49" s="43">
        <v>65000</v>
      </c>
      <c r="M49" s="34">
        <f t="shared" si="25"/>
        <v>195000</v>
      </c>
      <c r="N49" s="43">
        <v>65000</v>
      </c>
      <c r="O49" s="43">
        <v>65000</v>
      </c>
      <c r="P49" s="43">
        <v>65000</v>
      </c>
      <c r="Q49" s="34">
        <f t="shared" si="26"/>
        <v>195000</v>
      </c>
      <c r="R49" s="43">
        <v>65000</v>
      </c>
      <c r="S49" s="43">
        <v>65000</v>
      </c>
      <c r="T49" s="43">
        <v>65000</v>
      </c>
      <c r="U49" s="34">
        <f t="shared" si="27"/>
        <v>195000</v>
      </c>
      <c r="V49" s="34">
        <f t="shared" si="28"/>
        <v>780000</v>
      </c>
    </row>
    <row r="50" spans="1:22" ht="13.15" outlineLevel="2">
      <c r="A50" s="22"/>
      <c r="B50" s="22"/>
      <c r="C50" s="22"/>
      <c r="D50" s="25" t="s">
        <v>119</v>
      </c>
      <c r="F50" s="43">
        <v>60000</v>
      </c>
      <c r="G50" s="43">
        <v>60000</v>
      </c>
      <c r="H50" s="43">
        <v>60000</v>
      </c>
      <c r="I50" s="34">
        <f t="shared" si="24"/>
        <v>180000</v>
      </c>
      <c r="J50" s="43">
        <v>60000</v>
      </c>
      <c r="K50" s="43">
        <v>60000</v>
      </c>
      <c r="L50" s="43">
        <v>60000</v>
      </c>
      <c r="M50" s="34">
        <f t="shared" si="25"/>
        <v>180000</v>
      </c>
      <c r="N50" s="43">
        <v>60000</v>
      </c>
      <c r="O50" s="43">
        <v>60000</v>
      </c>
      <c r="P50" s="43">
        <v>60000</v>
      </c>
      <c r="Q50" s="34">
        <f t="shared" si="26"/>
        <v>180000</v>
      </c>
      <c r="R50" s="43">
        <v>60000</v>
      </c>
      <c r="S50" s="43">
        <v>60000</v>
      </c>
      <c r="T50" s="43">
        <v>60000</v>
      </c>
      <c r="U50" s="34">
        <f t="shared" si="27"/>
        <v>180000</v>
      </c>
      <c r="V50" s="34">
        <f t="shared" si="28"/>
        <v>720000</v>
      </c>
    </row>
    <row r="51" spans="1:22" ht="13.15" outlineLevel="1">
      <c r="A51" s="24"/>
      <c r="B51" s="24" t="s">
        <v>1</v>
      </c>
      <c r="C51" s="24"/>
      <c r="D51" s="24"/>
      <c r="E51" s="8"/>
      <c r="F51" s="44">
        <f t="shared" ref="F51:G51" si="29">SUM(F39:F50)</f>
        <v>918000</v>
      </c>
      <c r="G51" s="44">
        <f t="shared" si="29"/>
        <v>1018000</v>
      </c>
      <c r="H51" s="44">
        <f t="shared" ref="H51" si="30">SUM(H39:H50)</f>
        <v>1018000</v>
      </c>
      <c r="I51" s="35">
        <f>SUM(I39:I50)</f>
        <v>2954000</v>
      </c>
      <c r="J51" s="44">
        <f t="shared" ref="J51:L51" si="31">SUM(J39:J50)</f>
        <v>1018000</v>
      </c>
      <c r="K51" s="44">
        <f t="shared" si="31"/>
        <v>1018000</v>
      </c>
      <c r="L51" s="44">
        <f t="shared" si="31"/>
        <v>1018000</v>
      </c>
      <c r="M51" s="35">
        <f>SUM(M39:M50)</f>
        <v>3054000</v>
      </c>
      <c r="N51" s="44">
        <f t="shared" ref="N51:P51" si="32">SUM(N39:N50)</f>
        <v>1018000</v>
      </c>
      <c r="O51" s="44">
        <f t="shared" si="32"/>
        <v>1018000</v>
      </c>
      <c r="P51" s="44">
        <f t="shared" si="32"/>
        <v>1018000</v>
      </c>
      <c r="Q51" s="35">
        <f>SUM(Q39:Q50)</f>
        <v>3054000</v>
      </c>
      <c r="R51" s="44">
        <f t="shared" ref="R51:T51" si="33">SUM(R39:R50)</f>
        <v>1018000</v>
      </c>
      <c r="S51" s="44">
        <f t="shared" si="33"/>
        <v>1018000</v>
      </c>
      <c r="T51" s="44">
        <f t="shared" si="33"/>
        <v>1018000</v>
      </c>
      <c r="U51" s="35">
        <f t="shared" ref="U51" si="34">SUM(U39:U50)</f>
        <v>3054000</v>
      </c>
      <c r="V51" s="35">
        <f t="shared" si="28"/>
        <v>12116000</v>
      </c>
    </row>
    <row r="52" spans="1:22" ht="13.15" outlineLevel="1">
      <c r="A52" s="24"/>
      <c r="B52" s="24" t="s">
        <v>2</v>
      </c>
      <c r="C52" s="24"/>
      <c r="D52" s="24"/>
      <c r="E52" s="8"/>
      <c r="F52" s="44">
        <f>F37+F51</f>
        <v>11918000</v>
      </c>
      <c r="G52" s="44">
        <f>G37+G51</f>
        <v>12018000</v>
      </c>
      <c r="H52" s="44">
        <f>H37+H51</f>
        <v>12018000</v>
      </c>
      <c r="I52" s="35">
        <f>I51+I37</f>
        <v>35954000</v>
      </c>
      <c r="J52" s="44">
        <f>J37+J51</f>
        <v>12018000</v>
      </c>
      <c r="K52" s="44">
        <f>K37+K51</f>
        <v>12018000</v>
      </c>
      <c r="L52" s="44">
        <f>L37+L51</f>
        <v>12018000</v>
      </c>
      <c r="M52" s="35">
        <f>M51+M37</f>
        <v>36054000</v>
      </c>
      <c r="N52" s="44">
        <f>N37+N51</f>
        <v>12018000</v>
      </c>
      <c r="O52" s="44">
        <f>O37+O51</f>
        <v>12018000</v>
      </c>
      <c r="P52" s="44">
        <f>P37+P51</f>
        <v>12018000</v>
      </c>
      <c r="Q52" s="35">
        <f>Q51+Q37</f>
        <v>36054000</v>
      </c>
      <c r="R52" s="44">
        <f>R37+R51</f>
        <v>12018000</v>
      </c>
      <c r="S52" s="44">
        <f>S37+S51</f>
        <v>12018000</v>
      </c>
      <c r="T52" s="44">
        <f>T37+T51</f>
        <v>12018000</v>
      </c>
      <c r="U52" s="35">
        <f>U51+U37</f>
        <v>36054000</v>
      </c>
      <c r="V52" s="35">
        <f t="shared" si="28"/>
        <v>144116000</v>
      </c>
    </row>
    <row r="53" spans="1:22" s="4" customFormat="1" ht="13.15" outlineLevel="1">
      <c r="A53" s="24"/>
      <c r="B53" s="24" t="s">
        <v>3</v>
      </c>
      <c r="C53" s="24"/>
      <c r="D53" s="24"/>
      <c r="E53" s="8">
        <v>0</v>
      </c>
      <c r="F53" s="44">
        <v>0</v>
      </c>
      <c r="G53" s="44">
        <v>0</v>
      </c>
      <c r="H53" s="44">
        <v>0</v>
      </c>
      <c r="I53" s="35">
        <v>0</v>
      </c>
      <c r="J53" s="44">
        <v>0</v>
      </c>
      <c r="K53" s="44">
        <v>0</v>
      </c>
      <c r="L53" s="44">
        <v>0</v>
      </c>
      <c r="M53" s="35">
        <v>0</v>
      </c>
      <c r="N53" s="44">
        <v>0</v>
      </c>
      <c r="O53" s="44">
        <v>0</v>
      </c>
      <c r="P53" s="44">
        <v>0</v>
      </c>
      <c r="Q53" s="35">
        <v>0</v>
      </c>
      <c r="R53" s="44">
        <v>0</v>
      </c>
      <c r="S53" s="44">
        <v>0</v>
      </c>
      <c r="T53" s="44">
        <v>0</v>
      </c>
      <c r="U53" s="35">
        <v>0</v>
      </c>
      <c r="V53" s="35">
        <f t="shared" si="28"/>
        <v>0</v>
      </c>
    </row>
    <row r="54" spans="1:22" ht="13.15" outlineLevel="2">
      <c r="A54" s="22"/>
      <c r="B54" s="23" t="s">
        <v>39</v>
      </c>
      <c r="C54" s="22"/>
      <c r="D54" s="22"/>
      <c r="F54" s="43"/>
      <c r="G54" s="43"/>
      <c r="H54" s="43"/>
      <c r="I54" s="34"/>
      <c r="J54" s="43"/>
      <c r="K54" s="43"/>
      <c r="L54" s="43"/>
      <c r="M54" s="34"/>
      <c r="N54" s="43"/>
      <c r="O54" s="43"/>
      <c r="P54" s="43"/>
      <c r="Q54" s="34"/>
      <c r="R54" s="43"/>
      <c r="S54" s="43"/>
      <c r="T54" s="43"/>
      <c r="U54" s="34"/>
      <c r="V54" s="34"/>
    </row>
    <row r="55" spans="1:22" ht="13.15" outlineLevel="2">
      <c r="A55" s="22"/>
      <c r="B55" s="22"/>
      <c r="C55" s="25" t="s">
        <v>58</v>
      </c>
      <c r="D55" s="22"/>
      <c r="E55" s="7">
        <v>0</v>
      </c>
      <c r="F55" s="43"/>
      <c r="G55" s="43"/>
      <c r="H55" s="43"/>
      <c r="I55" s="34">
        <f t="shared" ref="I55:I65" si="35">SUM(F55:H55)</f>
        <v>0</v>
      </c>
      <c r="J55" s="43"/>
      <c r="K55" s="43"/>
      <c r="L55" s="43"/>
      <c r="M55" s="34">
        <f t="shared" ref="M55:M65" si="36">SUM(J55:L55)</f>
        <v>0</v>
      </c>
      <c r="N55" s="43"/>
      <c r="O55" s="43"/>
      <c r="P55" s="43"/>
      <c r="Q55" s="34">
        <f t="shared" ref="Q55:Q65" si="37">SUM(N55:P55)</f>
        <v>0</v>
      </c>
      <c r="R55" s="43"/>
      <c r="S55" s="43"/>
      <c r="T55" s="43"/>
      <c r="U55" s="34">
        <f t="shared" ref="U55:U65" si="38">SUM(R55:T55)</f>
        <v>0</v>
      </c>
      <c r="V55" s="34">
        <f t="shared" ref="V55:V66" si="39">I55+M55+Q55+U55</f>
        <v>0</v>
      </c>
    </row>
    <row r="56" spans="1:22" ht="13.15" outlineLevel="2">
      <c r="A56" s="22"/>
      <c r="B56" s="22"/>
      <c r="C56" s="25" t="s">
        <v>59</v>
      </c>
      <c r="D56" s="22"/>
      <c r="F56" s="43">
        <v>44000</v>
      </c>
      <c r="G56" s="43">
        <v>44000</v>
      </c>
      <c r="H56" s="43">
        <v>44000</v>
      </c>
      <c r="I56" s="34">
        <f t="shared" si="35"/>
        <v>132000</v>
      </c>
      <c r="J56" s="43">
        <v>44000</v>
      </c>
      <c r="K56" s="43">
        <v>44000</v>
      </c>
      <c r="L56" s="43">
        <v>44000</v>
      </c>
      <c r="M56" s="34">
        <f t="shared" si="36"/>
        <v>132000</v>
      </c>
      <c r="N56" s="43">
        <v>44000</v>
      </c>
      <c r="O56" s="43">
        <v>44000</v>
      </c>
      <c r="P56" s="43">
        <v>44000</v>
      </c>
      <c r="Q56" s="34">
        <f t="shared" si="37"/>
        <v>132000</v>
      </c>
      <c r="R56" s="43">
        <v>44000</v>
      </c>
      <c r="S56" s="43">
        <v>44000</v>
      </c>
      <c r="T56" s="43">
        <v>44000</v>
      </c>
      <c r="U56" s="34">
        <f t="shared" si="38"/>
        <v>132000</v>
      </c>
      <c r="V56" s="34">
        <f t="shared" si="39"/>
        <v>528000</v>
      </c>
    </row>
    <row r="57" spans="1:22" ht="13.15" outlineLevel="2">
      <c r="A57" s="22"/>
      <c r="B57" s="22"/>
      <c r="C57" s="25" t="s">
        <v>60</v>
      </c>
      <c r="D57" s="22"/>
      <c r="F57" s="43">
        <v>28000</v>
      </c>
      <c r="G57" s="43">
        <v>28000</v>
      </c>
      <c r="H57" s="43">
        <v>28000</v>
      </c>
      <c r="I57" s="34">
        <f t="shared" si="35"/>
        <v>84000</v>
      </c>
      <c r="J57" s="43">
        <v>28000</v>
      </c>
      <c r="K57" s="43">
        <v>28000</v>
      </c>
      <c r="L57" s="43">
        <v>28000</v>
      </c>
      <c r="M57" s="34">
        <f t="shared" si="36"/>
        <v>84000</v>
      </c>
      <c r="N57" s="43">
        <v>28000</v>
      </c>
      <c r="O57" s="43">
        <v>28000</v>
      </c>
      <c r="P57" s="43">
        <v>28000</v>
      </c>
      <c r="Q57" s="34">
        <f t="shared" si="37"/>
        <v>84000</v>
      </c>
      <c r="R57" s="43">
        <v>28000</v>
      </c>
      <c r="S57" s="43">
        <v>28000</v>
      </c>
      <c r="T57" s="43">
        <v>28000</v>
      </c>
      <c r="U57" s="34">
        <f t="shared" si="38"/>
        <v>84000</v>
      </c>
      <c r="V57" s="34">
        <f t="shared" si="39"/>
        <v>336000</v>
      </c>
    </row>
    <row r="58" spans="1:22" ht="13.15" outlineLevel="2">
      <c r="A58" s="22"/>
      <c r="B58" s="22"/>
      <c r="C58" s="25" t="s">
        <v>61</v>
      </c>
      <c r="D58" s="22"/>
      <c r="F58" s="43">
        <v>252000</v>
      </c>
      <c r="G58" s="43">
        <v>252000</v>
      </c>
      <c r="H58" s="43">
        <v>252000</v>
      </c>
      <c r="I58" s="34">
        <f t="shared" si="35"/>
        <v>756000</v>
      </c>
      <c r="J58" s="43">
        <v>252000</v>
      </c>
      <c r="K58" s="43">
        <v>252000</v>
      </c>
      <c r="L58" s="43">
        <v>252000</v>
      </c>
      <c r="M58" s="34">
        <f t="shared" si="36"/>
        <v>756000</v>
      </c>
      <c r="N58" s="43">
        <v>252000</v>
      </c>
      <c r="O58" s="43">
        <v>252000</v>
      </c>
      <c r="P58" s="43">
        <v>252000</v>
      </c>
      <c r="Q58" s="34">
        <f t="shared" si="37"/>
        <v>756000</v>
      </c>
      <c r="R58" s="43">
        <v>252000</v>
      </c>
      <c r="S58" s="43">
        <v>252000</v>
      </c>
      <c r="T58" s="43">
        <v>252000</v>
      </c>
      <c r="U58" s="34">
        <f t="shared" si="38"/>
        <v>756000</v>
      </c>
      <c r="V58" s="34">
        <f t="shared" si="39"/>
        <v>3024000</v>
      </c>
    </row>
    <row r="59" spans="1:22" ht="13.15" outlineLevel="2">
      <c r="A59" s="22"/>
      <c r="B59" s="22"/>
      <c r="C59" s="25" t="s">
        <v>62</v>
      </c>
      <c r="D59" s="22"/>
      <c r="F59" s="43">
        <v>170000</v>
      </c>
      <c r="G59" s="43">
        <v>170000</v>
      </c>
      <c r="H59" s="43">
        <v>170000</v>
      </c>
      <c r="I59" s="34">
        <f t="shared" si="35"/>
        <v>510000</v>
      </c>
      <c r="J59" s="43">
        <v>170000</v>
      </c>
      <c r="K59" s="43">
        <v>170000</v>
      </c>
      <c r="L59" s="43">
        <v>170000</v>
      </c>
      <c r="M59" s="34">
        <f t="shared" si="36"/>
        <v>510000</v>
      </c>
      <c r="N59" s="43">
        <v>170000</v>
      </c>
      <c r="O59" s="43">
        <v>170000</v>
      </c>
      <c r="P59" s="43">
        <v>170000</v>
      </c>
      <c r="Q59" s="34">
        <f t="shared" si="37"/>
        <v>510000</v>
      </c>
      <c r="R59" s="43">
        <v>170000</v>
      </c>
      <c r="S59" s="43">
        <v>170000</v>
      </c>
      <c r="T59" s="43">
        <v>170000</v>
      </c>
      <c r="U59" s="34">
        <f t="shared" si="38"/>
        <v>510000</v>
      </c>
      <c r="V59" s="34">
        <f t="shared" si="39"/>
        <v>2040000</v>
      </c>
    </row>
    <row r="60" spans="1:22" ht="13.15" outlineLevel="2">
      <c r="A60" s="22"/>
      <c r="B60" s="22"/>
      <c r="C60" s="25" t="s">
        <v>118</v>
      </c>
      <c r="D60" s="22"/>
      <c r="F60" s="43">
        <v>248000</v>
      </c>
      <c r="G60" s="43">
        <v>248000</v>
      </c>
      <c r="H60" s="43">
        <v>248000</v>
      </c>
      <c r="I60" s="34">
        <f t="shared" si="35"/>
        <v>744000</v>
      </c>
      <c r="J60" s="43">
        <v>248000</v>
      </c>
      <c r="K60" s="43">
        <v>248000</v>
      </c>
      <c r="L60" s="43">
        <v>248000</v>
      </c>
      <c r="M60" s="34">
        <f t="shared" si="36"/>
        <v>744000</v>
      </c>
      <c r="N60" s="43">
        <v>248000</v>
      </c>
      <c r="O60" s="43">
        <v>248000</v>
      </c>
      <c r="P60" s="43">
        <v>248000</v>
      </c>
      <c r="Q60" s="34">
        <f t="shared" si="37"/>
        <v>744000</v>
      </c>
      <c r="R60" s="43">
        <v>248000</v>
      </c>
      <c r="S60" s="43">
        <v>248000</v>
      </c>
      <c r="T60" s="43">
        <v>248000</v>
      </c>
      <c r="U60" s="34">
        <f t="shared" si="38"/>
        <v>744000</v>
      </c>
      <c r="V60" s="34">
        <f t="shared" si="39"/>
        <v>2976000</v>
      </c>
    </row>
    <row r="61" spans="1:22" ht="13.15" outlineLevel="2">
      <c r="A61" s="22"/>
      <c r="B61" s="22"/>
      <c r="C61" s="25" t="s">
        <v>157</v>
      </c>
      <c r="D61" s="22"/>
      <c r="F61" s="43"/>
      <c r="G61" s="43"/>
      <c r="H61" s="43"/>
      <c r="I61" s="34">
        <f t="shared" si="35"/>
        <v>0</v>
      </c>
      <c r="J61" s="43"/>
      <c r="K61" s="43"/>
      <c r="L61" s="43"/>
      <c r="M61" s="34">
        <f t="shared" si="36"/>
        <v>0</v>
      </c>
      <c r="N61" s="43"/>
      <c r="O61" s="43"/>
      <c r="P61" s="43"/>
      <c r="Q61" s="34">
        <f t="shared" si="37"/>
        <v>0</v>
      </c>
      <c r="R61" s="43"/>
      <c r="S61" s="43"/>
      <c r="T61" s="43"/>
      <c r="U61" s="34">
        <f t="shared" si="38"/>
        <v>0</v>
      </c>
      <c r="V61" s="34">
        <f t="shared" si="39"/>
        <v>0</v>
      </c>
    </row>
    <row r="62" spans="1:22" ht="13.15" outlineLevel="2">
      <c r="A62" s="22"/>
      <c r="B62" s="22"/>
      <c r="C62" s="25" t="s">
        <v>28</v>
      </c>
      <c r="D62" s="22"/>
      <c r="E62" s="7">
        <v>0</v>
      </c>
      <c r="F62" s="43"/>
      <c r="G62" s="43"/>
      <c r="H62" s="43"/>
      <c r="I62" s="34">
        <f t="shared" si="35"/>
        <v>0</v>
      </c>
      <c r="J62" s="43"/>
      <c r="K62" s="43"/>
      <c r="L62" s="43"/>
      <c r="M62" s="34">
        <f t="shared" si="36"/>
        <v>0</v>
      </c>
      <c r="N62" s="43"/>
      <c r="O62" s="43"/>
      <c r="P62" s="43"/>
      <c r="Q62" s="34">
        <f t="shared" si="37"/>
        <v>0</v>
      </c>
      <c r="R62" s="43"/>
      <c r="S62" s="43"/>
      <c r="T62" s="43"/>
      <c r="U62" s="34">
        <f t="shared" si="38"/>
        <v>0</v>
      </c>
      <c r="V62" s="34">
        <f t="shared" si="39"/>
        <v>0</v>
      </c>
    </row>
    <row r="63" spans="1:22" ht="13.15" outlineLevel="2">
      <c r="A63" s="22"/>
      <c r="B63" s="22"/>
      <c r="C63" s="25" t="s">
        <v>35</v>
      </c>
      <c r="D63" s="22"/>
      <c r="E63" s="7">
        <v>0</v>
      </c>
      <c r="F63" s="43"/>
      <c r="G63" s="43"/>
      <c r="H63" s="43"/>
      <c r="I63" s="34">
        <f t="shared" si="35"/>
        <v>0</v>
      </c>
      <c r="J63" s="43"/>
      <c r="K63" s="43"/>
      <c r="L63" s="43"/>
      <c r="M63" s="34">
        <f t="shared" si="36"/>
        <v>0</v>
      </c>
      <c r="N63" s="43"/>
      <c r="O63" s="43"/>
      <c r="P63" s="43"/>
      <c r="Q63" s="34">
        <f t="shared" si="37"/>
        <v>0</v>
      </c>
      <c r="R63" s="43"/>
      <c r="S63" s="43"/>
      <c r="T63" s="43"/>
      <c r="U63" s="34">
        <f t="shared" si="38"/>
        <v>0</v>
      </c>
      <c r="V63" s="34">
        <f t="shared" si="39"/>
        <v>0</v>
      </c>
    </row>
    <row r="64" spans="1:22" ht="13.15" outlineLevel="2">
      <c r="A64" s="22"/>
      <c r="B64" s="22"/>
      <c r="C64" s="25" t="s">
        <v>52</v>
      </c>
      <c r="D64" s="22"/>
      <c r="E64" s="7">
        <v>0</v>
      </c>
      <c r="F64" s="43">
        <v>38000</v>
      </c>
      <c r="G64" s="43">
        <v>30000</v>
      </c>
      <c r="H64" s="43">
        <v>30000</v>
      </c>
      <c r="I64" s="34">
        <f t="shared" si="35"/>
        <v>98000</v>
      </c>
      <c r="J64" s="43">
        <v>30000</v>
      </c>
      <c r="K64" s="43">
        <v>30000</v>
      </c>
      <c r="L64" s="43">
        <v>30000</v>
      </c>
      <c r="M64" s="34">
        <f t="shared" si="36"/>
        <v>90000</v>
      </c>
      <c r="N64" s="43">
        <v>30000</v>
      </c>
      <c r="O64" s="43">
        <v>30000</v>
      </c>
      <c r="P64" s="43">
        <v>30000</v>
      </c>
      <c r="Q64" s="34">
        <f t="shared" si="37"/>
        <v>90000</v>
      </c>
      <c r="R64" s="43">
        <v>30000</v>
      </c>
      <c r="S64" s="43">
        <v>30000</v>
      </c>
      <c r="T64" s="43">
        <v>30000</v>
      </c>
      <c r="U64" s="34">
        <f t="shared" si="38"/>
        <v>90000</v>
      </c>
      <c r="V64" s="34">
        <f t="shared" si="39"/>
        <v>368000</v>
      </c>
    </row>
    <row r="65" spans="1:22" ht="13.15" outlineLevel="2">
      <c r="A65" s="22"/>
      <c r="B65" s="22"/>
      <c r="C65" s="25" t="s">
        <v>36</v>
      </c>
      <c r="D65" s="22"/>
      <c r="E65" s="7">
        <v>0</v>
      </c>
      <c r="F65" s="43">
        <v>122000</v>
      </c>
      <c r="G65" s="43">
        <v>100000</v>
      </c>
      <c r="H65" s="43">
        <v>100000</v>
      </c>
      <c r="I65" s="34">
        <f t="shared" si="35"/>
        <v>322000</v>
      </c>
      <c r="J65" s="43">
        <v>100000</v>
      </c>
      <c r="K65" s="43">
        <v>100000</v>
      </c>
      <c r="L65" s="43">
        <v>100000</v>
      </c>
      <c r="M65" s="34">
        <f t="shared" si="36"/>
        <v>300000</v>
      </c>
      <c r="N65" s="43">
        <v>100000</v>
      </c>
      <c r="O65" s="43">
        <v>100000</v>
      </c>
      <c r="P65" s="43">
        <v>100000</v>
      </c>
      <c r="Q65" s="34">
        <f t="shared" si="37"/>
        <v>300000</v>
      </c>
      <c r="R65" s="43">
        <v>100000</v>
      </c>
      <c r="S65" s="43">
        <v>100000</v>
      </c>
      <c r="T65" s="43">
        <v>100000</v>
      </c>
      <c r="U65" s="34">
        <f t="shared" si="38"/>
        <v>300000</v>
      </c>
      <c r="V65" s="34">
        <f t="shared" si="39"/>
        <v>1222000</v>
      </c>
    </row>
    <row r="66" spans="1:22" ht="13.15" outlineLevel="1">
      <c r="A66" s="24"/>
      <c r="B66" s="24" t="s">
        <v>4</v>
      </c>
      <c r="C66" s="24"/>
      <c r="D66" s="24"/>
      <c r="E66" s="8"/>
      <c r="F66" s="44">
        <f t="shared" ref="F66:G66" si="40">SUM(F55:F65)</f>
        <v>902000</v>
      </c>
      <c r="G66" s="44">
        <f t="shared" si="40"/>
        <v>872000</v>
      </c>
      <c r="H66" s="44">
        <f t="shared" ref="H66" si="41">SUM(H55:H65)</f>
        <v>872000</v>
      </c>
      <c r="I66" s="35">
        <f>SUM(I55:I65)</f>
        <v>2646000</v>
      </c>
      <c r="J66" s="44">
        <f t="shared" ref="J66:L66" si="42">SUM(J55:J65)</f>
        <v>872000</v>
      </c>
      <c r="K66" s="44">
        <f t="shared" si="42"/>
        <v>872000</v>
      </c>
      <c r="L66" s="44">
        <f t="shared" si="42"/>
        <v>872000</v>
      </c>
      <c r="M66" s="35">
        <f>SUM(M55:M65)</f>
        <v>2616000</v>
      </c>
      <c r="N66" s="44">
        <f t="shared" ref="N66:P66" si="43">SUM(N55:N65)</f>
        <v>872000</v>
      </c>
      <c r="O66" s="44">
        <f t="shared" si="43"/>
        <v>872000</v>
      </c>
      <c r="P66" s="44">
        <f t="shared" si="43"/>
        <v>872000</v>
      </c>
      <c r="Q66" s="35">
        <f>SUM(Q55:Q65)</f>
        <v>2616000</v>
      </c>
      <c r="R66" s="44">
        <f t="shared" ref="R66:T66" si="44">SUM(R55:R65)</f>
        <v>872000</v>
      </c>
      <c r="S66" s="44">
        <f t="shared" si="44"/>
        <v>872000</v>
      </c>
      <c r="T66" s="44">
        <f t="shared" si="44"/>
        <v>872000</v>
      </c>
      <c r="U66" s="35">
        <f t="shared" ref="U66" si="45">SUM(U55:U65)</f>
        <v>2616000</v>
      </c>
      <c r="V66" s="35">
        <f t="shared" si="39"/>
        <v>10494000</v>
      </c>
    </row>
    <row r="67" spans="1:22" ht="13.15" outlineLevel="2">
      <c r="A67" s="24"/>
      <c r="B67" s="26" t="s">
        <v>5</v>
      </c>
      <c r="C67" s="27"/>
      <c r="D67" s="27"/>
      <c r="E67" s="9"/>
      <c r="F67" s="129"/>
      <c r="G67" s="129"/>
      <c r="H67" s="129"/>
      <c r="I67" s="36"/>
      <c r="J67" s="129"/>
      <c r="K67" s="129"/>
      <c r="L67" s="129"/>
      <c r="M67" s="36"/>
      <c r="N67" s="129"/>
      <c r="O67" s="129"/>
      <c r="P67" s="129"/>
      <c r="Q67" s="36"/>
      <c r="R67" s="129"/>
      <c r="S67" s="129"/>
      <c r="T67" s="129"/>
      <c r="U67" s="36"/>
      <c r="V67" s="35" t="s">
        <v>86</v>
      </c>
    </row>
    <row r="68" spans="1:22" ht="13.15" outlineLevel="2">
      <c r="A68" s="24"/>
      <c r="B68" s="27"/>
      <c r="C68" s="28" t="s">
        <v>47</v>
      </c>
      <c r="D68" s="27"/>
      <c r="E68" s="9">
        <v>0</v>
      </c>
      <c r="F68" s="43">
        <v>0</v>
      </c>
      <c r="G68" s="43"/>
      <c r="H68" s="43"/>
      <c r="I68" s="34">
        <f>SUM(F68:H68)</f>
        <v>0</v>
      </c>
      <c r="J68" s="43"/>
      <c r="K68" s="43"/>
      <c r="L68" s="43"/>
      <c r="M68" s="34">
        <f>SUM(J68:L68)</f>
        <v>0</v>
      </c>
      <c r="N68" s="43"/>
      <c r="O68" s="43"/>
      <c r="P68" s="43"/>
      <c r="Q68" s="34">
        <f>SUM(N68:P68)</f>
        <v>0</v>
      </c>
      <c r="R68" s="43"/>
      <c r="S68" s="43"/>
      <c r="T68" s="43"/>
      <c r="U68" s="34">
        <f>SUM(R68:T68)</f>
        <v>0</v>
      </c>
      <c r="V68" s="34">
        <f>I68+M68+Q68+U68</f>
        <v>0</v>
      </c>
    </row>
    <row r="69" spans="1:22" ht="13.15" outlineLevel="2">
      <c r="A69" s="24"/>
      <c r="B69" s="27"/>
      <c r="C69" s="28" t="s">
        <v>48</v>
      </c>
      <c r="D69" s="27"/>
      <c r="E69" s="9">
        <v>0</v>
      </c>
      <c r="F69" s="43">
        <v>0</v>
      </c>
      <c r="G69" s="43"/>
      <c r="H69" s="43"/>
      <c r="I69" s="34">
        <f>SUM(F69:H69)</f>
        <v>0</v>
      </c>
      <c r="J69" s="43"/>
      <c r="K69" s="43"/>
      <c r="L69" s="43"/>
      <c r="M69" s="34">
        <f>SUM(J69:L69)</f>
        <v>0</v>
      </c>
      <c r="N69" s="43"/>
      <c r="O69" s="43"/>
      <c r="P69" s="43"/>
      <c r="Q69" s="34">
        <f>SUM(N69:P69)</f>
        <v>0</v>
      </c>
      <c r="R69" s="43"/>
      <c r="S69" s="43"/>
      <c r="T69" s="43"/>
      <c r="U69" s="34">
        <f>SUM(R69:T69)</f>
        <v>0</v>
      </c>
      <c r="V69" s="34">
        <f>I69+M69+Q69+U69</f>
        <v>0</v>
      </c>
    </row>
    <row r="70" spans="1:22" ht="13.15" outlineLevel="2">
      <c r="A70" s="24"/>
      <c r="B70" s="27"/>
      <c r="C70" s="28" t="s">
        <v>26</v>
      </c>
      <c r="D70" s="27"/>
      <c r="E70" s="9">
        <v>0</v>
      </c>
      <c r="F70" s="43"/>
      <c r="G70" s="43"/>
      <c r="H70" s="43"/>
      <c r="I70" s="34">
        <f>SUM(F70:H70)</f>
        <v>0</v>
      </c>
      <c r="J70" s="43"/>
      <c r="K70" s="43"/>
      <c r="L70" s="43"/>
      <c r="M70" s="34">
        <f>SUM(J70:L70)</f>
        <v>0</v>
      </c>
      <c r="N70" s="43"/>
      <c r="O70" s="43"/>
      <c r="P70" s="43"/>
      <c r="Q70" s="34">
        <f>SUM(N70:P70)</f>
        <v>0</v>
      </c>
      <c r="R70" s="43"/>
      <c r="S70" s="43"/>
      <c r="T70" s="43"/>
      <c r="U70" s="34">
        <f>SUM(R70:T70)</f>
        <v>0</v>
      </c>
      <c r="V70" s="34">
        <f>I70+M70+Q70+U70</f>
        <v>0</v>
      </c>
    </row>
    <row r="71" spans="1:22" ht="13.15" outlineLevel="1">
      <c r="A71" s="24"/>
      <c r="B71" s="29" t="s">
        <v>6</v>
      </c>
      <c r="C71" s="30"/>
      <c r="D71" s="30"/>
      <c r="E71" s="10"/>
      <c r="F71" s="45">
        <f>SUM(F68:F70)</f>
        <v>0</v>
      </c>
      <c r="G71" s="45">
        <f>SUM(G68:G70)</f>
        <v>0</v>
      </c>
      <c r="H71" s="45">
        <f>SUM(H68:H70)</f>
        <v>0</v>
      </c>
      <c r="I71" s="35">
        <f t="shared" ref="I71:Q71" si="46">SUM(I68:I70)</f>
        <v>0</v>
      </c>
      <c r="J71" s="45">
        <f>SUM(J68:J70)</f>
        <v>0</v>
      </c>
      <c r="K71" s="45">
        <f>SUM(K68:K70)</f>
        <v>0</v>
      </c>
      <c r="L71" s="45">
        <f>SUM(L68:L70)</f>
        <v>0</v>
      </c>
      <c r="M71" s="35">
        <f t="shared" si="46"/>
        <v>0</v>
      </c>
      <c r="N71" s="45">
        <f>SUM(N68:N70)</f>
        <v>0</v>
      </c>
      <c r="O71" s="45">
        <f>SUM(O68:O70)</f>
        <v>0</v>
      </c>
      <c r="P71" s="45">
        <f>SUM(P68:P70)</f>
        <v>0</v>
      </c>
      <c r="Q71" s="35">
        <f t="shared" si="46"/>
        <v>0</v>
      </c>
      <c r="R71" s="45">
        <f>SUM(R68:R70)</f>
        <v>0</v>
      </c>
      <c r="S71" s="45">
        <f>SUM(S68:S70)</f>
        <v>0</v>
      </c>
      <c r="T71" s="45">
        <f>SUM(T68:T70)</f>
        <v>0</v>
      </c>
      <c r="U71" s="35">
        <f t="shared" ref="U71" si="47">SUM(U68:U70)</f>
        <v>0</v>
      </c>
      <c r="V71" s="35">
        <f>I71+M71+Q71+U71</f>
        <v>0</v>
      </c>
    </row>
    <row r="72" spans="1:22" ht="13.15" outlineLevel="2">
      <c r="A72" s="24"/>
      <c r="B72" s="26" t="s">
        <v>7</v>
      </c>
      <c r="C72" s="27"/>
      <c r="D72" s="27"/>
      <c r="E72" s="9"/>
      <c r="F72" s="129"/>
      <c r="G72" s="129"/>
      <c r="H72" s="129"/>
      <c r="I72" s="36"/>
      <c r="J72" s="129"/>
      <c r="K72" s="129"/>
      <c r="L72" s="129"/>
      <c r="M72" s="36"/>
      <c r="N72" s="129"/>
      <c r="O72" s="129"/>
      <c r="P72" s="129"/>
      <c r="Q72" s="36"/>
      <c r="R72" s="129"/>
      <c r="S72" s="129"/>
      <c r="T72" s="129"/>
      <c r="U72" s="36"/>
      <c r="V72" s="36"/>
    </row>
    <row r="73" spans="1:22" ht="13.15" outlineLevel="2">
      <c r="A73" s="24"/>
      <c r="B73" s="27"/>
      <c r="C73" s="28" t="s">
        <v>40</v>
      </c>
      <c r="D73" s="27"/>
      <c r="E73" s="9">
        <v>0</v>
      </c>
      <c r="F73" s="43"/>
      <c r="G73" s="43"/>
      <c r="H73" s="43"/>
      <c r="I73" s="34">
        <f>SUM(F73:H73)</f>
        <v>0</v>
      </c>
      <c r="J73" s="43"/>
      <c r="K73" s="43"/>
      <c r="L73" s="43"/>
      <c r="M73" s="34">
        <f>SUM(J73:L73)</f>
        <v>0</v>
      </c>
      <c r="N73" s="43"/>
      <c r="O73" s="43"/>
      <c r="P73" s="43"/>
      <c r="Q73" s="34">
        <f>SUM(N73:P73)</f>
        <v>0</v>
      </c>
      <c r="R73" s="43"/>
      <c r="S73" s="43"/>
      <c r="T73" s="43"/>
      <c r="U73" s="34">
        <f>SUM(R73:T73)</f>
        <v>0</v>
      </c>
      <c r="V73" s="34">
        <f>I73+M73+Q73+U73</f>
        <v>0</v>
      </c>
    </row>
    <row r="74" spans="1:22" ht="13.15" outlineLevel="2">
      <c r="A74" s="24"/>
      <c r="B74" s="27"/>
      <c r="C74" s="27" t="s">
        <v>8</v>
      </c>
      <c r="D74" s="27"/>
      <c r="E74" s="9">
        <v>0</v>
      </c>
      <c r="F74" s="43"/>
      <c r="G74" s="43"/>
      <c r="H74" s="43"/>
      <c r="I74" s="34">
        <f>SUM(F74:H74)</f>
        <v>0</v>
      </c>
      <c r="J74" s="43"/>
      <c r="K74" s="43"/>
      <c r="L74" s="43"/>
      <c r="M74" s="34">
        <f>SUM(J74:L74)</f>
        <v>0</v>
      </c>
      <c r="N74" s="43"/>
      <c r="O74" s="43"/>
      <c r="P74" s="43"/>
      <c r="Q74" s="34">
        <f>SUM(N74:P74)</f>
        <v>0</v>
      </c>
      <c r="R74" s="43"/>
      <c r="S74" s="43"/>
      <c r="T74" s="43"/>
      <c r="U74" s="34">
        <f>SUM(R74:T74)</f>
        <v>0</v>
      </c>
      <c r="V74" s="34">
        <f>I74+M74+Q74+U74</f>
        <v>0</v>
      </c>
    </row>
    <row r="75" spans="1:22" ht="13.15" outlineLevel="2">
      <c r="A75" s="24"/>
      <c r="B75" s="27"/>
      <c r="C75" s="27" t="s">
        <v>9</v>
      </c>
      <c r="D75" s="27"/>
      <c r="E75" s="9">
        <v>0</v>
      </c>
      <c r="F75" s="43"/>
      <c r="G75" s="43"/>
      <c r="H75" s="43"/>
      <c r="I75" s="34">
        <f>SUM(F75:H75)</f>
        <v>0</v>
      </c>
      <c r="J75" s="43"/>
      <c r="K75" s="43"/>
      <c r="L75" s="43"/>
      <c r="M75" s="34">
        <f>SUM(J75:L75)</f>
        <v>0</v>
      </c>
      <c r="N75" s="43"/>
      <c r="O75" s="43"/>
      <c r="P75" s="43"/>
      <c r="Q75" s="34">
        <f>SUM(N75:P75)</f>
        <v>0</v>
      </c>
      <c r="R75" s="43"/>
      <c r="S75" s="43"/>
      <c r="T75" s="43"/>
      <c r="U75" s="34">
        <f>SUM(R75:T75)</f>
        <v>0</v>
      </c>
      <c r="V75" s="34">
        <f>I75+M75+Q75+U75</f>
        <v>0</v>
      </c>
    </row>
    <row r="76" spans="1:22" ht="13.15" outlineLevel="1">
      <c r="A76" s="24"/>
      <c r="B76" s="29" t="s">
        <v>10</v>
      </c>
      <c r="C76" s="30"/>
      <c r="D76" s="30"/>
      <c r="E76" s="10"/>
      <c r="F76" s="45">
        <f t="shared" ref="F76" si="48">SUM(F73:F75)</f>
        <v>0</v>
      </c>
      <c r="G76" s="45">
        <f t="shared" ref="G76:H76" si="49">SUM(G73:G75)</f>
        <v>0</v>
      </c>
      <c r="H76" s="45">
        <f t="shared" si="49"/>
        <v>0</v>
      </c>
      <c r="I76" s="35">
        <f>SUM(I73:I75)</f>
        <v>0</v>
      </c>
      <c r="J76" s="45">
        <f t="shared" ref="J76" si="50">SUM(J73:J75)</f>
        <v>0</v>
      </c>
      <c r="K76" s="45">
        <f t="shared" ref="K76:L76" si="51">SUM(K73:K75)</f>
        <v>0</v>
      </c>
      <c r="L76" s="45">
        <f t="shared" si="51"/>
        <v>0</v>
      </c>
      <c r="M76" s="35">
        <f>SUM(M73:M75)</f>
        <v>0</v>
      </c>
      <c r="N76" s="45">
        <f t="shared" ref="N76" si="52">SUM(N73:N75)</f>
        <v>0</v>
      </c>
      <c r="O76" s="45">
        <f t="shared" ref="O76:P76" si="53">SUM(O73:O75)</f>
        <v>0</v>
      </c>
      <c r="P76" s="45">
        <f t="shared" si="53"/>
        <v>0</v>
      </c>
      <c r="Q76" s="35">
        <f>SUM(Q73:Q75)</f>
        <v>0</v>
      </c>
      <c r="R76" s="45">
        <f t="shared" ref="R76" si="54">SUM(R73:R75)</f>
        <v>0</v>
      </c>
      <c r="S76" s="45">
        <f t="shared" ref="S76:U76" si="55">SUM(S73:S75)</f>
        <v>0</v>
      </c>
      <c r="T76" s="45">
        <f t="shared" si="55"/>
        <v>0</v>
      </c>
      <c r="U76" s="35">
        <f t="shared" si="55"/>
        <v>0</v>
      </c>
      <c r="V76" s="35">
        <f>I76+M76+Q76+U76</f>
        <v>0</v>
      </c>
    </row>
    <row r="77" spans="1:22" ht="13.15">
      <c r="A77" s="31"/>
      <c r="B77" s="32"/>
      <c r="C77" s="31"/>
      <c r="D77" s="32" t="s">
        <v>11</v>
      </c>
      <c r="E77" s="9"/>
      <c r="F77" s="139">
        <f>F52+F53+F66+F71+F76</f>
        <v>12820000</v>
      </c>
      <c r="G77" s="139">
        <f>G52+G53+G66+G71+G76</f>
        <v>12890000</v>
      </c>
      <c r="H77" s="139">
        <f>H52+H53+H66+H71+H76</f>
        <v>12890000</v>
      </c>
      <c r="I77" s="139">
        <f>I76+I71+I66+I53+I52</f>
        <v>38600000</v>
      </c>
      <c r="J77" s="139">
        <f>J52+J53+J66+J71+J76</f>
        <v>12890000</v>
      </c>
      <c r="K77" s="139">
        <f>K52+K53+K66+K71+K76</f>
        <v>12890000</v>
      </c>
      <c r="L77" s="139">
        <f>L52+L53+L66+L71+L76</f>
        <v>12890000</v>
      </c>
      <c r="M77" s="139">
        <f>M76+M71+M66+M53+M52</f>
        <v>38670000</v>
      </c>
      <c r="N77" s="139">
        <f>N52+N53+N66+N71+N76</f>
        <v>12890000</v>
      </c>
      <c r="O77" s="139">
        <f>O52+O53+O66+O71+O76</f>
        <v>12890000</v>
      </c>
      <c r="P77" s="139">
        <f>P52+P53+P66+P71+P76</f>
        <v>12890000</v>
      </c>
      <c r="Q77" s="139">
        <f>Q76+Q71+Q66+Q53+Q52</f>
        <v>38670000</v>
      </c>
      <c r="R77" s="139">
        <f>R52+R53+R66+R71+R76</f>
        <v>12890000</v>
      </c>
      <c r="S77" s="139">
        <f>S52+S53+S66+S71+S76</f>
        <v>12890000</v>
      </c>
      <c r="T77" s="139">
        <f>T52+T53+T66+T71+T76</f>
        <v>12890000</v>
      </c>
      <c r="U77" s="35">
        <f>U76+U71+U66+U53+U52</f>
        <v>38670000</v>
      </c>
      <c r="V77" s="35">
        <f>I77+M77+Q77+U77</f>
        <v>154610000</v>
      </c>
    </row>
    <row r="78" spans="1:22" ht="13.15" outlineLevel="1">
      <c r="A78" s="32" t="s">
        <v>12</v>
      </c>
      <c r="B78" s="32"/>
      <c r="C78" s="33"/>
      <c r="D78" s="33"/>
      <c r="E78" s="9"/>
      <c r="F78" s="44"/>
      <c r="G78" s="44"/>
      <c r="H78" s="44"/>
      <c r="I78" s="35"/>
      <c r="J78" s="44"/>
      <c r="K78" s="44"/>
      <c r="L78" s="44"/>
      <c r="M78" s="35"/>
      <c r="N78" s="44"/>
      <c r="O78" s="44"/>
      <c r="P78" s="44"/>
      <c r="Q78" s="35"/>
      <c r="R78" s="44"/>
      <c r="S78" s="44"/>
      <c r="T78" s="44"/>
      <c r="U78" s="35"/>
      <c r="V78" s="35"/>
    </row>
    <row r="79" spans="1:22" ht="13.15" outlineLevel="2">
      <c r="A79" s="24"/>
      <c r="B79" s="26" t="s">
        <v>13</v>
      </c>
      <c r="C79" s="27"/>
      <c r="D79" s="27"/>
      <c r="E79" s="9"/>
      <c r="F79" s="129"/>
      <c r="G79" s="129"/>
      <c r="H79" s="129"/>
      <c r="I79" s="36"/>
      <c r="J79" s="129"/>
      <c r="K79" s="129"/>
      <c r="L79" s="129"/>
      <c r="M79" s="36"/>
      <c r="N79" s="129"/>
      <c r="O79" s="129"/>
      <c r="P79" s="129"/>
      <c r="Q79" s="36"/>
      <c r="R79" s="129"/>
      <c r="S79" s="129"/>
      <c r="T79" s="129"/>
      <c r="U79" s="36"/>
      <c r="V79" s="36"/>
    </row>
    <row r="80" spans="1:22" ht="13.15" outlineLevel="2">
      <c r="A80" s="24"/>
      <c r="B80" s="27"/>
      <c r="C80" s="28" t="s">
        <v>66</v>
      </c>
      <c r="D80" s="27"/>
      <c r="E80" s="9">
        <v>0</v>
      </c>
      <c r="F80" s="96">
        <v>0</v>
      </c>
      <c r="G80" s="96"/>
      <c r="H80" s="96"/>
      <c r="I80" s="34">
        <f t="shared" ref="I80:I87" si="56">SUM(F80:H80)</f>
        <v>0</v>
      </c>
      <c r="J80" s="96"/>
      <c r="K80" s="96"/>
      <c r="L80" s="96"/>
      <c r="M80" s="34">
        <f t="shared" ref="M80:M87" si="57">SUM(J80:L80)</f>
        <v>0</v>
      </c>
      <c r="N80" s="96"/>
      <c r="O80" s="96"/>
      <c r="P80" s="96"/>
      <c r="Q80" s="34">
        <f t="shared" ref="Q80:Q87" si="58">SUM(N80:P80)</f>
        <v>0</v>
      </c>
      <c r="R80" s="96"/>
      <c r="S80" s="96"/>
      <c r="T80" s="96"/>
      <c r="U80" s="34">
        <f t="shared" ref="U80:U87" si="59">SUM(R80:T80)</f>
        <v>0</v>
      </c>
      <c r="V80" s="34">
        <f t="shared" ref="V80:V97" si="60">I80+M80+Q80+U80</f>
        <v>0</v>
      </c>
    </row>
    <row r="81" spans="1:22" ht="13.15" outlineLevel="2">
      <c r="A81" s="24"/>
      <c r="B81" s="27"/>
      <c r="C81" s="28" t="s">
        <v>67</v>
      </c>
      <c r="D81" s="27"/>
      <c r="E81" s="9">
        <v>0</v>
      </c>
      <c r="F81" s="96"/>
      <c r="G81" s="96"/>
      <c r="H81" s="96"/>
      <c r="I81" s="34">
        <f t="shared" si="56"/>
        <v>0</v>
      </c>
      <c r="J81" s="96"/>
      <c r="K81" s="96"/>
      <c r="L81" s="96"/>
      <c r="M81" s="34">
        <f t="shared" si="57"/>
        <v>0</v>
      </c>
      <c r="N81" s="96"/>
      <c r="O81" s="96"/>
      <c r="P81" s="96"/>
      <c r="Q81" s="34">
        <f t="shared" si="58"/>
        <v>0</v>
      </c>
      <c r="R81" s="96"/>
      <c r="S81" s="96"/>
      <c r="T81" s="96"/>
      <c r="U81" s="34">
        <f t="shared" si="59"/>
        <v>0</v>
      </c>
      <c r="V81" s="34">
        <f t="shared" si="60"/>
        <v>0</v>
      </c>
    </row>
    <row r="82" spans="1:22" ht="13.15" outlineLevel="2">
      <c r="A82" s="24"/>
      <c r="B82" s="27"/>
      <c r="C82" s="28" t="s">
        <v>100</v>
      </c>
      <c r="D82" s="27"/>
      <c r="E82" s="9">
        <v>0</v>
      </c>
      <c r="F82" s="96"/>
      <c r="G82" s="96"/>
      <c r="H82" s="96"/>
      <c r="I82" s="34">
        <f t="shared" si="56"/>
        <v>0</v>
      </c>
      <c r="J82" s="96"/>
      <c r="K82" s="96"/>
      <c r="L82" s="96"/>
      <c r="M82" s="34">
        <f t="shared" si="57"/>
        <v>0</v>
      </c>
      <c r="N82" s="96"/>
      <c r="O82" s="96"/>
      <c r="P82" s="96"/>
      <c r="Q82" s="34">
        <f t="shared" si="58"/>
        <v>0</v>
      </c>
      <c r="R82" s="96"/>
      <c r="S82" s="96"/>
      <c r="T82" s="96"/>
      <c r="U82" s="34">
        <f t="shared" si="59"/>
        <v>0</v>
      </c>
      <c r="V82" s="34">
        <f t="shared" si="60"/>
        <v>0</v>
      </c>
    </row>
    <row r="83" spans="1:22" ht="13.15" outlineLevel="2">
      <c r="A83" s="24"/>
      <c r="B83" s="27"/>
      <c r="C83" s="28" t="s">
        <v>99</v>
      </c>
      <c r="D83" s="27"/>
      <c r="E83" s="9"/>
      <c r="F83" s="96"/>
      <c r="G83" s="96"/>
      <c r="H83" s="96"/>
      <c r="I83" s="34">
        <f t="shared" si="56"/>
        <v>0</v>
      </c>
      <c r="J83" s="96"/>
      <c r="K83" s="96"/>
      <c r="L83" s="96"/>
      <c r="M83" s="34">
        <f t="shared" si="57"/>
        <v>0</v>
      </c>
      <c r="N83" s="96"/>
      <c r="O83" s="96"/>
      <c r="P83" s="96"/>
      <c r="Q83" s="34">
        <f t="shared" si="58"/>
        <v>0</v>
      </c>
      <c r="R83" s="96"/>
      <c r="S83" s="96"/>
      <c r="T83" s="96"/>
      <c r="U83" s="34">
        <f t="shared" si="59"/>
        <v>0</v>
      </c>
      <c r="V83" s="34">
        <f t="shared" si="60"/>
        <v>0</v>
      </c>
    </row>
    <row r="84" spans="1:22" ht="13.15" outlineLevel="2">
      <c r="A84" s="24"/>
      <c r="B84" s="27"/>
      <c r="C84" s="28" t="s">
        <v>101</v>
      </c>
      <c r="D84" s="27"/>
      <c r="E84" s="9"/>
      <c r="F84" s="96"/>
      <c r="G84" s="96"/>
      <c r="H84" s="96"/>
      <c r="I84" s="34">
        <f t="shared" si="56"/>
        <v>0</v>
      </c>
      <c r="J84" s="96"/>
      <c r="K84" s="96"/>
      <c r="L84" s="96"/>
      <c r="M84" s="34">
        <f t="shared" si="57"/>
        <v>0</v>
      </c>
      <c r="N84" s="96"/>
      <c r="O84" s="96"/>
      <c r="P84" s="96"/>
      <c r="Q84" s="34">
        <f t="shared" si="58"/>
        <v>0</v>
      </c>
      <c r="R84" s="96"/>
      <c r="S84" s="96"/>
      <c r="T84" s="96"/>
      <c r="U84" s="34">
        <f t="shared" si="59"/>
        <v>0</v>
      </c>
      <c r="V84" s="34">
        <f t="shared" si="60"/>
        <v>0</v>
      </c>
    </row>
    <row r="85" spans="1:22" ht="13.15" outlineLevel="2">
      <c r="A85" s="24"/>
      <c r="B85" s="27"/>
      <c r="C85" s="28" t="s">
        <v>41</v>
      </c>
      <c r="D85" s="27"/>
      <c r="E85" s="9">
        <v>0</v>
      </c>
      <c r="F85" s="96"/>
      <c r="G85" s="96"/>
      <c r="H85" s="96"/>
      <c r="I85" s="34">
        <f t="shared" si="56"/>
        <v>0</v>
      </c>
      <c r="J85" s="96"/>
      <c r="K85" s="96"/>
      <c r="L85" s="96"/>
      <c r="M85" s="34">
        <f t="shared" si="57"/>
        <v>0</v>
      </c>
      <c r="N85" s="96"/>
      <c r="O85" s="96"/>
      <c r="P85" s="96"/>
      <c r="Q85" s="34">
        <f t="shared" si="58"/>
        <v>0</v>
      </c>
      <c r="R85" s="96"/>
      <c r="S85" s="96"/>
      <c r="T85" s="96"/>
      <c r="U85" s="34">
        <f t="shared" si="59"/>
        <v>0</v>
      </c>
      <c r="V85" s="34">
        <f t="shared" si="60"/>
        <v>0</v>
      </c>
    </row>
    <row r="86" spans="1:22" ht="13.15" outlineLevel="2">
      <c r="A86" s="24"/>
      <c r="B86" s="27"/>
      <c r="C86" s="28" t="s">
        <v>114</v>
      </c>
      <c r="D86" s="27"/>
      <c r="E86" s="9">
        <v>0</v>
      </c>
      <c r="F86" s="96"/>
      <c r="G86" s="96"/>
      <c r="H86" s="96"/>
      <c r="I86" s="34">
        <f t="shared" si="56"/>
        <v>0</v>
      </c>
      <c r="J86" s="96"/>
      <c r="K86" s="96"/>
      <c r="L86" s="96"/>
      <c r="M86" s="34">
        <f t="shared" si="57"/>
        <v>0</v>
      </c>
      <c r="N86" s="96"/>
      <c r="O86" s="96"/>
      <c r="P86" s="96"/>
      <c r="Q86" s="34">
        <f t="shared" si="58"/>
        <v>0</v>
      </c>
      <c r="R86" s="96"/>
      <c r="S86" s="96"/>
      <c r="T86" s="96"/>
      <c r="U86" s="34">
        <f t="shared" si="59"/>
        <v>0</v>
      </c>
      <c r="V86" s="34">
        <f t="shared" si="60"/>
        <v>0</v>
      </c>
    </row>
    <row r="87" spans="1:22" ht="13.15" outlineLevel="2">
      <c r="A87" s="24"/>
      <c r="B87" s="27"/>
      <c r="C87" s="28" t="s">
        <v>105</v>
      </c>
      <c r="D87" s="27"/>
      <c r="E87" s="9">
        <v>0</v>
      </c>
      <c r="F87" s="96"/>
      <c r="G87" s="96"/>
      <c r="H87" s="96"/>
      <c r="I87" s="34">
        <f t="shared" si="56"/>
        <v>0</v>
      </c>
      <c r="J87" s="96"/>
      <c r="K87" s="96"/>
      <c r="L87" s="96"/>
      <c r="M87" s="34">
        <f t="shared" si="57"/>
        <v>0</v>
      </c>
      <c r="N87" s="96"/>
      <c r="O87" s="96"/>
      <c r="P87" s="96"/>
      <c r="Q87" s="34">
        <f t="shared" si="58"/>
        <v>0</v>
      </c>
      <c r="R87" s="96"/>
      <c r="S87" s="96"/>
      <c r="T87" s="96"/>
      <c r="U87" s="34">
        <f t="shared" si="59"/>
        <v>0</v>
      </c>
      <c r="V87" s="34">
        <f t="shared" si="60"/>
        <v>0</v>
      </c>
    </row>
    <row r="88" spans="1:22" ht="13.15" outlineLevel="1">
      <c r="A88" s="24"/>
      <c r="B88" s="30" t="s">
        <v>14</v>
      </c>
      <c r="C88" s="30"/>
      <c r="D88" s="30"/>
      <c r="E88" s="10"/>
      <c r="F88" s="45">
        <f t="shared" ref="F88:U89" si="61">SUM(F80:F87)</f>
        <v>0</v>
      </c>
      <c r="G88" s="45">
        <f t="shared" si="61"/>
        <v>0</v>
      </c>
      <c r="H88" s="45">
        <f t="shared" si="61"/>
        <v>0</v>
      </c>
      <c r="I88" s="35">
        <f t="shared" si="61"/>
        <v>0</v>
      </c>
      <c r="J88" s="45">
        <f t="shared" si="61"/>
        <v>0</v>
      </c>
      <c r="K88" s="45">
        <f t="shared" si="61"/>
        <v>0</v>
      </c>
      <c r="L88" s="45">
        <f t="shared" si="61"/>
        <v>0</v>
      </c>
      <c r="M88" s="35">
        <f t="shared" si="61"/>
        <v>0</v>
      </c>
      <c r="N88" s="45">
        <f t="shared" si="61"/>
        <v>0</v>
      </c>
      <c r="O88" s="45">
        <f t="shared" si="61"/>
        <v>0</v>
      </c>
      <c r="P88" s="45">
        <f t="shared" si="61"/>
        <v>0</v>
      </c>
      <c r="Q88" s="35">
        <f t="shared" si="61"/>
        <v>0</v>
      </c>
      <c r="R88" s="45">
        <f t="shared" si="61"/>
        <v>0</v>
      </c>
      <c r="S88" s="45">
        <f t="shared" si="61"/>
        <v>0</v>
      </c>
      <c r="T88" s="45">
        <f t="shared" si="61"/>
        <v>0</v>
      </c>
      <c r="U88" s="35">
        <f t="shared" si="61"/>
        <v>0</v>
      </c>
      <c r="V88" s="35">
        <f t="shared" si="60"/>
        <v>0</v>
      </c>
    </row>
    <row r="89" spans="1:22" s="4" customFormat="1" ht="13.15" outlineLevel="1">
      <c r="A89" s="24"/>
      <c r="B89" s="24" t="s">
        <v>15</v>
      </c>
      <c r="C89" s="24"/>
      <c r="D89" s="24"/>
      <c r="E89" s="8">
        <v>0</v>
      </c>
      <c r="F89" s="44">
        <v>0</v>
      </c>
      <c r="G89" s="44">
        <v>0</v>
      </c>
      <c r="H89" s="44">
        <v>0</v>
      </c>
      <c r="I89" s="35">
        <f t="shared" si="61"/>
        <v>0</v>
      </c>
      <c r="J89" s="44">
        <v>0</v>
      </c>
      <c r="K89" s="44">
        <v>0</v>
      </c>
      <c r="L89" s="44">
        <v>0</v>
      </c>
      <c r="M89" s="35">
        <f t="shared" si="61"/>
        <v>0</v>
      </c>
      <c r="N89" s="44">
        <v>0</v>
      </c>
      <c r="O89" s="44">
        <v>0</v>
      </c>
      <c r="P89" s="44">
        <v>0</v>
      </c>
      <c r="Q89" s="35">
        <f t="shared" si="61"/>
        <v>0</v>
      </c>
      <c r="R89" s="44">
        <v>0</v>
      </c>
      <c r="S89" s="44">
        <v>0</v>
      </c>
      <c r="T89" s="44">
        <v>0</v>
      </c>
      <c r="U89" s="35">
        <v>0</v>
      </c>
      <c r="V89" s="35">
        <f t="shared" si="60"/>
        <v>0</v>
      </c>
    </row>
    <row r="90" spans="1:22" ht="13.15" outlineLevel="2">
      <c r="A90" s="24"/>
      <c r="B90" s="26" t="s">
        <v>16</v>
      </c>
      <c r="C90" s="27"/>
      <c r="D90" s="27"/>
      <c r="E90" s="9"/>
      <c r="F90" s="129"/>
      <c r="G90" s="129"/>
      <c r="H90" s="129"/>
      <c r="I90" s="34">
        <f t="shared" ref="I90:I96" si="62">SUM(F90:H90)</f>
        <v>0</v>
      </c>
      <c r="J90" s="129"/>
      <c r="K90" s="129"/>
      <c r="L90" s="129"/>
      <c r="M90" s="34">
        <f t="shared" ref="M90:M96" si="63">SUM(J90:L90)</f>
        <v>0</v>
      </c>
      <c r="N90" s="129"/>
      <c r="O90" s="129"/>
      <c r="P90" s="129"/>
      <c r="Q90" s="34">
        <f t="shared" ref="Q90:Q96" si="64">SUM(N90:P90)</f>
        <v>0</v>
      </c>
      <c r="R90" s="129"/>
      <c r="S90" s="129"/>
      <c r="T90" s="129"/>
      <c r="U90" s="34">
        <f t="shared" ref="U90:U96" si="65">SUM(R90:T90)</f>
        <v>0</v>
      </c>
      <c r="V90" s="34">
        <f t="shared" si="60"/>
        <v>0</v>
      </c>
    </row>
    <row r="91" spans="1:22" ht="13.15" outlineLevel="2">
      <c r="A91" s="24"/>
      <c r="B91" s="27"/>
      <c r="C91" s="28" t="s">
        <v>42</v>
      </c>
      <c r="D91" s="27"/>
      <c r="E91" s="9">
        <v>0</v>
      </c>
      <c r="F91" s="43"/>
      <c r="G91" s="43"/>
      <c r="H91" s="43"/>
      <c r="I91" s="34">
        <f t="shared" si="62"/>
        <v>0</v>
      </c>
      <c r="J91" s="43"/>
      <c r="K91" s="43"/>
      <c r="L91" s="43"/>
      <c r="M91" s="34">
        <f t="shared" si="63"/>
        <v>0</v>
      </c>
      <c r="N91" s="43"/>
      <c r="O91" s="43"/>
      <c r="P91" s="43"/>
      <c r="Q91" s="34">
        <f t="shared" si="64"/>
        <v>0</v>
      </c>
      <c r="R91" s="43"/>
      <c r="S91" s="43"/>
      <c r="T91" s="43"/>
      <c r="U91" s="34">
        <f t="shared" si="65"/>
        <v>0</v>
      </c>
      <c r="V91" s="34">
        <f t="shared" si="60"/>
        <v>0</v>
      </c>
    </row>
    <row r="92" spans="1:22" ht="13.15" outlineLevel="2">
      <c r="A92" s="24"/>
      <c r="B92" s="27"/>
      <c r="C92" s="28" t="s">
        <v>43</v>
      </c>
      <c r="D92" s="27"/>
      <c r="E92" s="9">
        <v>0</v>
      </c>
      <c r="F92" s="43">
        <v>23000</v>
      </c>
      <c r="G92" s="43"/>
      <c r="H92" s="43"/>
      <c r="I92" s="34">
        <f t="shared" si="62"/>
        <v>23000</v>
      </c>
      <c r="J92" s="43"/>
      <c r="K92" s="43"/>
      <c r="L92" s="43"/>
      <c r="M92" s="34">
        <f t="shared" si="63"/>
        <v>0</v>
      </c>
      <c r="N92" s="43"/>
      <c r="O92" s="43"/>
      <c r="P92" s="43"/>
      <c r="Q92" s="34">
        <f t="shared" si="64"/>
        <v>0</v>
      </c>
      <c r="R92" s="43"/>
      <c r="S92" s="43"/>
      <c r="T92" s="43"/>
      <c r="U92" s="34">
        <f t="shared" si="65"/>
        <v>0</v>
      </c>
      <c r="V92" s="34">
        <f t="shared" si="60"/>
        <v>23000</v>
      </c>
    </row>
    <row r="93" spans="1:22" ht="13.15" outlineLevel="2">
      <c r="A93" s="24"/>
      <c r="B93" s="27"/>
      <c r="C93" s="28" t="s">
        <v>53</v>
      </c>
      <c r="D93" s="27"/>
      <c r="E93" s="9">
        <v>0</v>
      </c>
      <c r="F93" s="43"/>
      <c r="G93" s="43"/>
      <c r="H93" s="43"/>
      <c r="I93" s="34">
        <f t="shared" si="62"/>
        <v>0</v>
      </c>
      <c r="J93" s="43"/>
      <c r="K93" s="43"/>
      <c r="L93" s="43"/>
      <c r="M93" s="34">
        <f t="shared" si="63"/>
        <v>0</v>
      </c>
      <c r="N93" s="43"/>
      <c r="O93" s="43"/>
      <c r="P93" s="43"/>
      <c r="Q93" s="34">
        <f t="shared" si="64"/>
        <v>0</v>
      </c>
      <c r="R93" s="43"/>
      <c r="S93" s="43"/>
      <c r="T93" s="43"/>
      <c r="U93" s="34">
        <f t="shared" si="65"/>
        <v>0</v>
      </c>
      <c r="V93" s="34">
        <f t="shared" si="60"/>
        <v>0</v>
      </c>
    </row>
    <row r="94" spans="1:22" ht="13.15" outlineLevel="2">
      <c r="A94" s="24"/>
      <c r="B94" s="27"/>
      <c r="C94" s="28" t="s">
        <v>44</v>
      </c>
      <c r="D94" s="27"/>
      <c r="E94" s="9">
        <v>0</v>
      </c>
      <c r="F94" s="43"/>
      <c r="G94" s="43"/>
      <c r="H94" s="43"/>
      <c r="I94" s="34">
        <f t="shared" si="62"/>
        <v>0</v>
      </c>
      <c r="J94" s="43"/>
      <c r="K94" s="43"/>
      <c r="L94" s="43"/>
      <c r="M94" s="34">
        <f t="shared" si="63"/>
        <v>0</v>
      </c>
      <c r="N94" s="43"/>
      <c r="O94" s="43"/>
      <c r="P94" s="43"/>
      <c r="Q94" s="34">
        <f t="shared" si="64"/>
        <v>0</v>
      </c>
      <c r="R94" s="43"/>
      <c r="S94" s="43"/>
      <c r="T94" s="43"/>
      <c r="U94" s="34">
        <f t="shared" si="65"/>
        <v>0</v>
      </c>
      <c r="V94" s="34">
        <f t="shared" si="60"/>
        <v>0</v>
      </c>
    </row>
    <row r="95" spans="1:22" ht="13.15" outlineLevel="2">
      <c r="A95" s="24"/>
      <c r="B95" s="27"/>
      <c r="C95" s="28" t="s">
        <v>51</v>
      </c>
      <c r="D95" s="27"/>
      <c r="E95" s="9">
        <v>0</v>
      </c>
      <c r="F95" s="43">
        <v>0</v>
      </c>
      <c r="G95" s="43"/>
      <c r="H95" s="43"/>
      <c r="I95" s="34">
        <f t="shared" si="62"/>
        <v>0</v>
      </c>
      <c r="J95" s="43"/>
      <c r="K95" s="43"/>
      <c r="L95" s="43"/>
      <c r="M95" s="34">
        <f t="shared" si="63"/>
        <v>0</v>
      </c>
      <c r="N95" s="43"/>
      <c r="O95" s="43"/>
      <c r="P95" s="43"/>
      <c r="Q95" s="34">
        <f t="shared" si="64"/>
        <v>0</v>
      </c>
      <c r="R95" s="43"/>
      <c r="S95" s="43"/>
      <c r="T95" s="43"/>
      <c r="U95" s="34">
        <f t="shared" si="65"/>
        <v>0</v>
      </c>
      <c r="V95" s="34">
        <f t="shared" si="60"/>
        <v>0</v>
      </c>
    </row>
    <row r="96" spans="1:22" ht="13.15" outlineLevel="2">
      <c r="A96" s="24"/>
      <c r="B96" s="27"/>
      <c r="C96" s="28" t="s">
        <v>50</v>
      </c>
      <c r="D96" s="27"/>
      <c r="E96" s="9">
        <v>0</v>
      </c>
      <c r="F96" s="43"/>
      <c r="G96" s="43"/>
      <c r="H96" s="43"/>
      <c r="I96" s="34">
        <f t="shared" si="62"/>
        <v>0</v>
      </c>
      <c r="J96" s="43"/>
      <c r="K96" s="43"/>
      <c r="L96" s="43"/>
      <c r="M96" s="34">
        <f t="shared" si="63"/>
        <v>0</v>
      </c>
      <c r="N96" s="43"/>
      <c r="O96" s="43"/>
      <c r="P96" s="43"/>
      <c r="Q96" s="34">
        <f t="shared" si="64"/>
        <v>0</v>
      </c>
      <c r="R96" s="43"/>
      <c r="S96" s="43"/>
      <c r="T96" s="43"/>
      <c r="U96" s="34">
        <f t="shared" si="65"/>
        <v>0</v>
      </c>
      <c r="V96" s="34">
        <f t="shared" si="60"/>
        <v>0</v>
      </c>
    </row>
    <row r="97" spans="1:22" ht="13.15" outlineLevel="1">
      <c r="A97" s="24"/>
      <c r="B97" s="24" t="s">
        <v>17</v>
      </c>
      <c r="C97" s="24"/>
      <c r="D97" s="24"/>
      <c r="E97" s="8"/>
      <c r="F97" s="44">
        <f t="shared" ref="F97:H97" si="66">SUM(F91:F96)</f>
        <v>23000</v>
      </c>
      <c r="G97" s="44">
        <f t="shared" si="66"/>
        <v>0</v>
      </c>
      <c r="H97" s="44">
        <f t="shared" si="66"/>
        <v>0</v>
      </c>
      <c r="I97" s="35">
        <f>SUM(I91:I96)</f>
        <v>23000</v>
      </c>
      <c r="J97" s="44">
        <f t="shared" ref="J97:L97" si="67">SUM(J91:J96)</f>
        <v>0</v>
      </c>
      <c r="K97" s="44">
        <f t="shared" si="67"/>
        <v>0</v>
      </c>
      <c r="L97" s="44">
        <f t="shared" si="67"/>
        <v>0</v>
      </c>
      <c r="M97" s="35">
        <f>SUM(M91:M96)</f>
        <v>0</v>
      </c>
      <c r="N97" s="44">
        <f t="shared" ref="N97:P97" si="68">SUM(N91:N96)</f>
        <v>0</v>
      </c>
      <c r="O97" s="44">
        <f t="shared" si="68"/>
        <v>0</v>
      </c>
      <c r="P97" s="44">
        <f t="shared" si="68"/>
        <v>0</v>
      </c>
      <c r="Q97" s="35">
        <f>SUM(Q91:Q96)</f>
        <v>0</v>
      </c>
      <c r="R97" s="44">
        <f t="shared" ref="R97:U97" si="69">SUM(R91:R96)</f>
        <v>0</v>
      </c>
      <c r="S97" s="44">
        <f t="shared" si="69"/>
        <v>0</v>
      </c>
      <c r="T97" s="44">
        <f t="shared" si="69"/>
        <v>0</v>
      </c>
      <c r="U97" s="35">
        <f t="shared" si="69"/>
        <v>0</v>
      </c>
      <c r="V97" s="35">
        <f t="shared" si="60"/>
        <v>23000</v>
      </c>
    </row>
    <row r="98" spans="1:22" ht="13.15" outlineLevel="2">
      <c r="A98" s="24"/>
      <c r="B98" s="26" t="s">
        <v>18</v>
      </c>
      <c r="C98" s="27"/>
      <c r="D98" s="27"/>
      <c r="E98" s="9"/>
      <c r="F98" s="129"/>
      <c r="G98" s="129"/>
      <c r="H98" s="129"/>
      <c r="I98" s="36"/>
      <c r="J98" s="129"/>
      <c r="K98" s="129"/>
      <c r="L98" s="129"/>
      <c r="M98" s="36"/>
      <c r="N98" s="129"/>
      <c r="O98" s="129"/>
      <c r="P98" s="129"/>
      <c r="Q98" s="36"/>
      <c r="R98" s="129"/>
      <c r="S98" s="129"/>
      <c r="T98" s="129"/>
      <c r="U98" s="36"/>
      <c r="V98" s="36"/>
    </row>
    <row r="99" spans="1:22" ht="13.15" outlineLevel="2">
      <c r="A99" s="24"/>
      <c r="B99" s="27"/>
      <c r="C99" s="28" t="s">
        <v>68</v>
      </c>
      <c r="D99" s="27"/>
      <c r="E99" s="9">
        <v>0</v>
      </c>
      <c r="F99" s="96"/>
      <c r="G99" s="96"/>
      <c r="H99" s="96"/>
      <c r="I99" s="34">
        <f t="shared" ref="I99:I105" si="70">SUM(F99:H99)</f>
        <v>0</v>
      </c>
      <c r="J99" s="96"/>
      <c r="K99" s="96"/>
      <c r="L99" s="96"/>
      <c r="M99" s="34">
        <f t="shared" ref="M99:M105" si="71">SUM(J99:L99)</f>
        <v>0</v>
      </c>
      <c r="N99" s="96"/>
      <c r="O99" s="96"/>
      <c r="P99" s="96"/>
      <c r="Q99" s="34">
        <f t="shared" ref="Q99:Q105" si="72">SUM(N99:P99)</f>
        <v>0</v>
      </c>
      <c r="R99" s="96"/>
      <c r="S99" s="96"/>
      <c r="T99" s="96"/>
      <c r="U99" s="34">
        <f t="shared" ref="U99:U105" si="73">SUM(R99:T99)</f>
        <v>0</v>
      </c>
      <c r="V99" s="34">
        <f t="shared" ref="V99:V106" si="74">I99+M99+Q99+U99</f>
        <v>0</v>
      </c>
    </row>
    <row r="100" spans="1:22" ht="13.15" outlineLevel="2">
      <c r="A100" s="24"/>
      <c r="B100" s="27"/>
      <c r="C100" s="28" t="s">
        <v>45</v>
      </c>
      <c r="D100" s="27"/>
      <c r="E100" s="9">
        <v>0</v>
      </c>
      <c r="F100" s="96"/>
      <c r="G100" s="96"/>
      <c r="H100" s="96"/>
      <c r="I100" s="34">
        <f t="shared" si="70"/>
        <v>0</v>
      </c>
      <c r="J100" s="96"/>
      <c r="K100" s="96"/>
      <c r="L100" s="96"/>
      <c r="M100" s="34">
        <f t="shared" si="71"/>
        <v>0</v>
      </c>
      <c r="N100" s="96"/>
      <c r="O100" s="96"/>
      <c r="P100" s="96"/>
      <c r="Q100" s="34">
        <f t="shared" si="72"/>
        <v>0</v>
      </c>
      <c r="R100" s="96"/>
      <c r="S100" s="96"/>
      <c r="T100" s="96"/>
      <c r="U100" s="34">
        <f t="shared" si="73"/>
        <v>0</v>
      </c>
      <c r="V100" s="34">
        <f t="shared" si="74"/>
        <v>0</v>
      </c>
    </row>
    <row r="101" spans="1:22" ht="13.15" outlineLevel="2">
      <c r="A101" s="24"/>
      <c r="B101" s="27"/>
      <c r="C101" s="28" t="s">
        <v>94</v>
      </c>
      <c r="D101" s="27"/>
      <c r="E101" s="9">
        <v>0</v>
      </c>
      <c r="F101" s="96">
        <v>0</v>
      </c>
      <c r="G101" s="96"/>
      <c r="H101" s="96"/>
      <c r="I101" s="34">
        <f t="shared" si="70"/>
        <v>0</v>
      </c>
      <c r="J101" s="96"/>
      <c r="K101" s="96"/>
      <c r="L101" s="96"/>
      <c r="M101" s="34">
        <f t="shared" si="71"/>
        <v>0</v>
      </c>
      <c r="N101" s="96"/>
      <c r="O101" s="96"/>
      <c r="P101" s="96"/>
      <c r="Q101" s="34">
        <f t="shared" si="72"/>
        <v>0</v>
      </c>
      <c r="R101" s="96"/>
      <c r="S101" s="96"/>
      <c r="T101" s="96"/>
      <c r="U101" s="34">
        <f t="shared" si="73"/>
        <v>0</v>
      </c>
      <c r="V101" s="34">
        <f t="shared" si="74"/>
        <v>0</v>
      </c>
    </row>
    <row r="102" spans="1:22" ht="13.15" outlineLevel="2">
      <c r="A102" s="24"/>
      <c r="B102" s="27"/>
      <c r="C102" s="28" t="s">
        <v>46</v>
      </c>
      <c r="D102" s="27"/>
      <c r="E102" s="9">
        <v>0</v>
      </c>
      <c r="F102" s="96"/>
      <c r="G102" s="96"/>
      <c r="H102" s="96"/>
      <c r="I102" s="34">
        <f t="shared" si="70"/>
        <v>0</v>
      </c>
      <c r="J102" s="96"/>
      <c r="K102" s="96"/>
      <c r="L102" s="96"/>
      <c r="M102" s="34">
        <f t="shared" si="71"/>
        <v>0</v>
      </c>
      <c r="N102" s="96"/>
      <c r="O102" s="96"/>
      <c r="P102" s="96"/>
      <c r="Q102" s="34">
        <f t="shared" si="72"/>
        <v>0</v>
      </c>
      <c r="R102" s="96"/>
      <c r="S102" s="96"/>
      <c r="T102" s="96"/>
      <c r="U102" s="34">
        <f t="shared" si="73"/>
        <v>0</v>
      </c>
      <c r="V102" s="34">
        <f t="shared" si="74"/>
        <v>0</v>
      </c>
    </row>
    <row r="103" spans="1:22" ht="13.15" outlineLevel="2">
      <c r="A103" s="24"/>
      <c r="B103" s="27"/>
      <c r="C103" s="28" t="s">
        <v>111</v>
      </c>
      <c r="D103" s="27"/>
      <c r="E103" s="9">
        <v>0</v>
      </c>
      <c r="F103" s="96"/>
      <c r="G103" s="96"/>
      <c r="H103" s="96"/>
      <c r="I103" s="34">
        <f t="shared" si="70"/>
        <v>0</v>
      </c>
      <c r="J103" s="96"/>
      <c r="K103" s="96"/>
      <c r="L103" s="96"/>
      <c r="M103" s="34">
        <f t="shared" si="71"/>
        <v>0</v>
      </c>
      <c r="N103" s="96"/>
      <c r="O103" s="96"/>
      <c r="P103" s="96"/>
      <c r="Q103" s="34">
        <f t="shared" si="72"/>
        <v>0</v>
      </c>
      <c r="R103" s="96"/>
      <c r="S103" s="96"/>
      <c r="T103" s="96"/>
      <c r="U103" s="34">
        <f t="shared" si="73"/>
        <v>0</v>
      </c>
      <c r="V103" s="34">
        <f t="shared" si="74"/>
        <v>0</v>
      </c>
    </row>
    <row r="104" spans="1:22" ht="13.15" outlineLevel="2">
      <c r="A104" s="24"/>
      <c r="B104" s="27"/>
      <c r="C104" s="28" t="s">
        <v>115</v>
      </c>
      <c r="D104" s="27"/>
      <c r="E104" s="9">
        <v>0</v>
      </c>
      <c r="F104" s="96"/>
      <c r="G104" s="96"/>
      <c r="H104" s="96"/>
      <c r="I104" s="34">
        <f t="shared" si="70"/>
        <v>0</v>
      </c>
      <c r="J104" s="96"/>
      <c r="K104" s="96"/>
      <c r="L104" s="96"/>
      <c r="M104" s="34">
        <f t="shared" si="71"/>
        <v>0</v>
      </c>
      <c r="N104" s="96"/>
      <c r="O104" s="96"/>
      <c r="P104" s="96"/>
      <c r="Q104" s="34">
        <f t="shared" si="72"/>
        <v>0</v>
      </c>
      <c r="R104" s="96"/>
      <c r="S104" s="96"/>
      <c r="T104" s="96"/>
      <c r="U104" s="34">
        <f t="shared" si="73"/>
        <v>0</v>
      </c>
      <c r="V104" s="34">
        <f t="shared" si="74"/>
        <v>0</v>
      </c>
    </row>
    <row r="105" spans="1:22" ht="13.15" outlineLevel="2">
      <c r="A105" s="24"/>
      <c r="B105" s="27"/>
      <c r="C105" s="28" t="s">
        <v>26</v>
      </c>
      <c r="D105" s="27"/>
      <c r="E105" s="9"/>
      <c r="F105" s="96"/>
      <c r="G105" s="96"/>
      <c r="H105" s="96"/>
      <c r="I105" s="34">
        <f t="shared" si="70"/>
        <v>0</v>
      </c>
      <c r="J105" s="96"/>
      <c r="K105" s="96"/>
      <c r="L105" s="96"/>
      <c r="M105" s="34">
        <f t="shared" si="71"/>
        <v>0</v>
      </c>
      <c r="N105" s="96"/>
      <c r="O105" s="96"/>
      <c r="P105" s="96"/>
      <c r="Q105" s="34">
        <f t="shared" si="72"/>
        <v>0</v>
      </c>
      <c r="R105" s="96"/>
      <c r="S105" s="96"/>
      <c r="T105" s="96"/>
      <c r="U105" s="34">
        <f t="shared" si="73"/>
        <v>0</v>
      </c>
      <c r="V105" s="34">
        <f t="shared" si="74"/>
        <v>0</v>
      </c>
    </row>
    <row r="106" spans="1:22" ht="13.15" outlineLevel="1">
      <c r="A106" s="24"/>
      <c r="B106" s="29" t="s">
        <v>19</v>
      </c>
      <c r="C106" s="30"/>
      <c r="D106" s="30"/>
      <c r="E106" s="10"/>
      <c r="F106" s="45">
        <f>SUM(F99:F105)</f>
        <v>0</v>
      </c>
      <c r="G106" s="45">
        <f>SUM(G99:G105)</f>
        <v>0</v>
      </c>
      <c r="H106" s="45">
        <f>SUM(H99:H105)</f>
        <v>0</v>
      </c>
      <c r="I106" s="35">
        <f t="shared" ref="I106" si="75">SUM(I99:I105)</f>
        <v>0</v>
      </c>
      <c r="J106" s="45">
        <f>SUM(J99:J105)</f>
        <v>0</v>
      </c>
      <c r="K106" s="45">
        <f>SUM(K99:K105)</f>
        <v>0</v>
      </c>
      <c r="L106" s="45">
        <f>SUM(L99:L105)</f>
        <v>0</v>
      </c>
      <c r="M106" s="35">
        <f t="shared" ref="M106" si="76">SUM(M99:M105)</f>
        <v>0</v>
      </c>
      <c r="N106" s="45">
        <f>SUM(N99:N105)</f>
        <v>0</v>
      </c>
      <c r="O106" s="45">
        <f>SUM(O99:O105)</f>
        <v>0</v>
      </c>
      <c r="P106" s="45">
        <f>SUM(P99:P105)</f>
        <v>0</v>
      </c>
      <c r="Q106" s="35">
        <f t="shared" ref="Q106" si="77">SUM(Q99:Q105)</f>
        <v>0</v>
      </c>
      <c r="R106" s="45">
        <f>SUM(R99:R105)</f>
        <v>0</v>
      </c>
      <c r="S106" s="45">
        <f>SUM(S99:S105)</f>
        <v>0</v>
      </c>
      <c r="T106" s="45">
        <f>SUM(T99:T105)</f>
        <v>0</v>
      </c>
      <c r="U106" s="35">
        <f t="shared" ref="U106" si="78">SUM(U99:U105)</f>
        <v>0</v>
      </c>
      <c r="V106" s="35">
        <f t="shared" si="74"/>
        <v>0</v>
      </c>
    </row>
    <row r="107" spans="1:22" ht="13.15" outlineLevel="2">
      <c r="A107" s="24"/>
      <c r="B107" s="26" t="s">
        <v>20</v>
      </c>
      <c r="C107" s="27"/>
      <c r="D107" s="27"/>
      <c r="E107" s="9"/>
      <c r="F107" s="129"/>
      <c r="G107" s="129"/>
      <c r="H107" s="129"/>
      <c r="I107" s="36"/>
      <c r="J107" s="129"/>
      <c r="K107" s="129"/>
      <c r="L107" s="129"/>
      <c r="M107" s="36"/>
      <c r="N107" s="129"/>
      <c r="O107" s="129"/>
      <c r="P107" s="129"/>
      <c r="Q107" s="36"/>
      <c r="R107" s="129"/>
      <c r="S107" s="129"/>
      <c r="T107" s="129"/>
      <c r="U107" s="36"/>
      <c r="V107" s="36"/>
    </row>
    <row r="108" spans="1:22" ht="13.15" outlineLevel="2">
      <c r="A108" s="24"/>
      <c r="B108" s="27"/>
      <c r="C108" s="28" t="s">
        <v>29</v>
      </c>
      <c r="D108" s="27"/>
      <c r="E108" s="9">
        <v>0</v>
      </c>
      <c r="F108" s="96"/>
      <c r="G108" s="96"/>
      <c r="H108" s="96"/>
      <c r="I108" s="34">
        <f t="shared" ref="I108:I112" si="79">SUM(F108:H108)</f>
        <v>0</v>
      </c>
      <c r="J108" s="96"/>
      <c r="K108" s="96"/>
      <c r="L108" s="96"/>
      <c r="M108" s="34">
        <f t="shared" ref="M108:M112" si="80">SUM(J108:L108)</f>
        <v>0</v>
      </c>
      <c r="N108" s="96"/>
      <c r="O108" s="96"/>
      <c r="P108" s="96"/>
      <c r="Q108" s="34">
        <f t="shared" ref="Q108:Q112" si="81">SUM(N108:P108)</f>
        <v>0</v>
      </c>
      <c r="R108" s="96"/>
      <c r="S108" s="96"/>
      <c r="T108" s="96"/>
      <c r="U108" s="34">
        <f t="shared" ref="U108:U112" si="82">SUM(R108:T108)</f>
        <v>0</v>
      </c>
      <c r="V108" s="34">
        <f t="shared" ref="V108:V115" si="83">I108+M108+Q108+U108</f>
        <v>0</v>
      </c>
    </row>
    <row r="109" spans="1:22" ht="13.15" outlineLevel="2">
      <c r="A109" s="24"/>
      <c r="B109" s="27"/>
      <c r="C109" s="28" t="s">
        <v>33</v>
      </c>
      <c r="D109" s="27"/>
      <c r="E109" s="9">
        <v>0</v>
      </c>
      <c r="F109" s="96"/>
      <c r="G109" s="96"/>
      <c r="H109" s="96"/>
      <c r="I109" s="34">
        <f t="shared" si="79"/>
        <v>0</v>
      </c>
      <c r="J109" s="96"/>
      <c r="K109" s="96"/>
      <c r="L109" s="96"/>
      <c r="M109" s="34">
        <f t="shared" si="80"/>
        <v>0</v>
      </c>
      <c r="N109" s="96"/>
      <c r="O109" s="96"/>
      <c r="P109" s="96"/>
      <c r="Q109" s="34">
        <f t="shared" si="81"/>
        <v>0</v>
      </c>
      <c r="R109" s="96"/>
      <c r="S109" s="96"/>
      <c r="T109" s="96"/>
      <c r="U109" s="34">
        <f t="shared" si="82"/>
        <v>0</v>
      </c>
      <c r="V109" s="34">
        <f t="shared" si="83"/>
        <v>0</v>
      </c>
    </row>
    <row r="110" spans="1:22" ht="13.15" outlineLevel="2">
      <c r="A110" s="24"/>
      <c r="B110" s="27"/>
      <c r="C110" s="28" t="s">
        <v>95</v>
      </c>
      <c r="D110" s="27"/>
      <c r="E110" s="9"/>
      <c r="F110" s="96"/>
      <c r="G110" s="96"/>
      <c r="H110" s="96"/>
      <c r="I110" s="34">
        <f t="shared" si="79"/>
        <v>0</v>
      </c>
      <c r="J110" s="96"/>
      <c r="K110" s="96"/>
      <c r="L110" s="96"/>
      <c r="M110" s="34">
        <f t="shared" si="80"/>
        <v>0</v>
      </c>
      <c r="N110" s="96"/>
      <c r="O110" s="96"/>
      <c r="P110" s="96"/>
      <c r="Q110" s="34">
        <f t="shared" si="81"/>
        <v>0</v>
      </c>
      <c r="R110" s="96"/>
      <c r="S110" s="96"/>
      <c r="T110" s="96"/>
      <c r="U110" s="34">
        <f t="shared" si="82"/>
        <v>0</v>
      </c>
      <c r="V110" s="34">
        <f t="shared" si="83"/>
        <v>0</v>
      </c>
    </row>
    <row r="111" spans="1:22" ht="13.15" outlineLevel="2">
      <c r="A111" s="24"/>
      <c r="B111" s="27"/>
      <c r="C111" s="28" t="s">
        <v>63</v>
      </c>
      <c r="D111" s="27"/>
      <c r="E111" s="9"/>
      <c r="F111" s="96"/>
      <c r="G111" s="96"/>
      <c r="H111" s="96"/>
      <c r="I111" s="34">
        <f t="shared" si="79"/>
        <v>0</v>
      </c>
      <c r="J111" s="96"/>
      <c r="K111" s="96"/>
      <c r="L111" s="96"/>
      <c r="M111" s="34">
        <f t="shared" si="80"/>
        <v>0</v>
      </c>
      <c r="N111" s="96"/>
      <c r="O111" s="96"/>
      <c r="P111" s="96"/>
      <c r="Q111" s="34">
        <f t="shared" si="81"/>
        <v>0</v>
      </c>
      <c r="R111" s="96"/>
      <c r="S111" s="96"/>
      <c r="T111" s="96"/>
      <c r="U111" s="34">
        <f t="shared" si="82"/>
        <v>0</v>
      </c>
      <c r="V111" s="34">
        <f t="shared" si="83"/>
        <v>0</v>
      </c>
    </row>
    <row r="112" spans="1:22" ht="13.15" outlineLevel="2">
      <c r="A112" s="24"/>
      <c r="B112" s="27"/>
      <c r="C112" s="28" t="s">
        <v>153</v>
      </c>
      <c r="D112" s="27"/>
      <c r="E112" s="9">
        <v>0</v>
      </c>
      <c r="F112" s="96"/>
      <c r="G112" s="96"/>
      <c r="H112" s="96"/>
      <c r="I112" s="34">
        <f t="shared" si="79"/>
        <v>0</v>
      </c>
      <c r="J112" s="96"/>
      <c r="K112" s="96"/>
      <c r="L112" s="96"/>
      <c r="M112" s="34">
        <f t="shared" si="80"/>
        <v>0</v>
      </c>
      <c r="N112" s="96"/>
      <c r="O112" s="96"/>
      <c r="P112" s="96"/>
      <c r="Q112" s="34">
        <f t="shared" si="81"/>
        <v>0</v>
      </c>
      <c r="R112" s="96"/>
      <c r="S112" s="96"/>
      <c r="T112" s="96"/>
      <c r="U112" s="34">
        <f t="shared" si="82"/>
        <v>0</v>
      </c>
      <c r="V112" s="34">
        <f t="shared" si="83"/>
        <v>0</v>
      </c>
    </row>
    <row r="113" spans="1:22" ht="13.15" outlineLevel="1">
      <c r="A113" s="24"/>
      <c r="B113" s="30" t="s">
        <v>21</v>
      </c>
      <c r="C113" s="30"/>
      <c r="D113" s="30"/>
      <c r="E113" s="10"/>
      <c r="F113" s="45">
        <f t="shared" ref="F113:U113" si="84">SUM(F108:F112)</f>
        <v>0</v>
      </c>
      <c r="G113" s="45">
        <f t="shared" si="84"/>
        <v>0</v>
      </c>
      <c r="H113" s="45">
        <f t="shared" si="84"/>
        <v>0</v>
      </c>
      <c r="I113" s="35">
        <f t="shared" si="84"/>
        <v>0</v>
      </c>
      <c r="J113" s="45">
        <f t="shared" si="84"/>
        <v>0</v>
      </c>
      <c r="K113" s="45">
        <f t="shared" si="84"/>
        <v>0</v>
      </c>
      <c r="L113" s="45">
        <f t="shared" si="84"/>
        <v>0</v>
      </c>
      <c r="M113" s="35">
        <f t="shared" si="84"/>
        <v>0</v>
      </c>
      <c r="N113" s="45">
        <f t="shared" si="84"/>
        <v>0</v>
      </c>
      <c r="O113" s="45">
        <f t="shared" si="84"/>
        <v>0</v>
      </c>
      <c r="P113" s="45">
        <f t="shared" si="84"/>
        <v>0</v>
      </c>
      <c r="Q113" s="35">
        <f t="shared" si="84"/>
        <v>0</v>
      </c>
      <c r="R113" s="45">
        <f t="shared" si="84"/>
        <v>0</v>
      </c>
      <c r="S113" s="45">
        <f t="shared" si="84"/>
        <v>0</v>
      </c>
      <c r="T113" s="45">
        <f t="shared" si="84"/>
        <v>0</v>
      </c>
      <c r="U113" s="35">
        <f t="shared" si="84"/>
        <v>0</v>
      </c>
      <c r="V113" s="35">
        <f t="shared" si="83"/>
        <v>0</v>
      </c>
    </row>
    <row r="114" spans="1:22" ht="13.15">
      <c r="A114" s="24"/>
      <c r="B114" s="24"/>
      <c r="C114" s="24"/>
      <c r="D114" s="24" t="s">
        <v>22</v>
      </c>
      <c r="E114" s="8"/>
      <c r="F114" s="44">
        <f>F88+F89+F97+F106+F113</f>
        <v>23000</v>
      </c>
      <c r="G114" s="44">
        <f>G88+G89+G97+G106+G113</f>
        <v>0</v>
      </c>
      <c r="H114" s="44">
        <f>H88+H89+H97+H106+H113</f>
        <v>0</v>
      </c>
      <c r="I114" s="35">
        <f>I113+I106+I97+I89+I88</f>
        <v>23000</v>
      </c>
      <c r="J114" s="44">
        <f>J88+J89+J97+J106+J113</f>
        <v>0</v>
      </c>
      <c r="K114" s="44">
        <f>K88+K89+K97+K106+K113</f>
        <v>0</v>
      </c>
      <c r="L114" s="44">
        <f>L88+L89+L97+L106+L113</f>
        <v>0</v>
      </c>
      <c r="M114" s="35">
        <f>M113+M106+M97+M89+M88</f>
        <v>0</v>
      </c>
      <c r="N114" s="44">
        <f>N88+N89+N97+N106+N113</f>
        <v>0</v>
      </c>
      <c r="O114" s="44">
        <f>O88+O89+O97+O106+O113</f>
        <v>0</v>
      </c>
      <c r="P114" s="44">
        <f>P88+P89+P97+P106+P113</f>
        <v>0</v>
      </c>
      <c r="Q114" s="35">
        <f>Q113+Q106+Q97+Q89+Q88</f>
        <v>0</v>
      </c>
      <c r="R114" s="44">
        <f>R88+R89+R97+R106+R113</f>
        <v>0</v>
      </c>
      <c r="S114" s="44">
        <f>S88+S89+S97+S106+S113</f>
        <v>0</v>
      </c>
      <c r="T114" s="44">
        <f>T88+T89+T97+T106+T113</f>
        <v>0</v>
      </c>
      <c r="U114" s="35">
        <f>U113+U106+U97+U89+U88</f>
        <v>0</v>
      </c>
      <c r="V114" s="35">
        <f t="shared" si="83"/>
        <v>23000</v>
      </c>
    </row>
    <row r="115" spans="1:22" ht="13.9">
      <c r="A115" s="11" t="s">
        <v>23</v>
      </c>
      <c r="B115" s="11"/>
      <c r="C115" s="11"/>
      <c r="D115" s="11"/>
      <c r="E115" s="12"/>
      <c r="F115" s="46">
        <f t="shared" ref="F115:U115" si="85">F114+F77</f>
        <v>12843000</v>
      </c>
      <c r="G115" s="46">
        <f t="shared" si="85"/>
        <v>12890000</v>
      </c>
      <c r="H115" s="46">
        <f t="shared" si="85"/>
        <v>12890000</v>
      </c>
      <c r="I115" s="109">
        <f t="shared" si="85"/>
        <v>38623000</v>
      </c>
      <c r="J115" s="46">
        <f t="shared" si="85"/>
        <v>12890000</v>
      </c>
      <c r="K115" s="46">
        <f t="shared" si="85"/>
        <v>12890000</v>
      </c>
      <c r="L115" s="46">
        <f t="shared" si="85"/>
        <v>12890000</v>
      </c>
      <c r="M115" s="109">
        <f t="shared" si="85"/>
        <v>38670000</v>
      </c>
      <c r="N115" s="46">
        <f t="shared" si="85"/>
        <v>12890000</v>
      </c>
      <c r="O115" s="46">
        <f t="shared" si="85"/>
        <v>12890000</v>
      </c>
      <c r="P115" s="46">
        <f t="shared" si="85"/>
        <v>12890000</v>
      </c>
      <c r="Q115" s="109">
        <f t="shared" si="85"/>
        <v>38670000</v>
      </c>
      <c r="R115" s="46">
        <f t="shared" si="85"/>
        <v>12890000</v>
      </c>
      <c r="S115" s="46">
        <f t="shared" si="85"/>
        <v>12890000</v>
      </c>
      <c r="T115" s="46">
        <f t="shared" si="85"/>
        <v>12890000</v>
      </c>
      <c r="U115" s="109">
        <f t="shared" si="85"/>
        <v>38670000</v>
      </c>
      <c r="V115" s="40">
        <f t="shared" si="83"/>
        <v>154633000</v>
      </c>
    </row>
    <row r="116" spans="1:22" s="111" customFormat="1" ht="12.75" customHeight="1">
      <c r="A116" s="462" t="s">
        <v>181</v>
      </c>
      <c r="B116" s="463"/>
      <c r="C116" s="463"/>
      <c r="D116" s="464"/>
      <c r="E116" s="8"/>
      <c r="F116" s="43"/>
      <c r="G116" s="43"/>
      <c r="H116" s="43"/>
      <c r="I116" s="34"/>
      <c r="J116" s="43"/>
      <c r="K116" s="43"/>
      <c r="L116" s="43"/>
      <c r="M116" s="34"/>
      <c r="N116" s="43"/>
      <c r="O116" s="43"/>
      <c r="P116" s="43"/>
      <c r="Q116" s="34"/>
      <c r="R116" s="43"/>
      <c r="S116" s="43"/>
      <c r="T116" s="43"/>
      <c r="U116" s="34"/>
      <c r="V116" s="34"/>
    </row>
    <row r="117" spans="1:22" s="111" customFormat="1" ht="12.75" customHeight="1">
      <c r="A117" s="125"/>
      <c r="B117" s="4"/>
      <c r="C117" s="455" t="s">
        <v>182</v>
      </c>
      <c r="D117" s="456"/>
      <c r="E117" s="8"/>
      <c r="F117" s="138">
        <f>F29-F77-F102-F104</f>
        <v>-12820000</v>
      </c>
      <c r="G117" s="138">
        <f>G29-G77-G102-G104</f>
        <v>-12890000</v>
      </c>
      <c r="H117" s="138">
        <f>H29-H77-H102-H104</f>
        <v>-12890000</v>
      </c>
      <c r="I117" s="35">
        <f>SUM(F117:H117)</f>
        <v>-38600000</v>
      </c>
      <c r="J117" s="138">
        <f>J29-J77-J102-J104</f>
        <v>-12890000</v>
      </c>
      <c r="K117" s="138">
        <f>K29-K77-K102-K104</f>
        <v>-12890000</v>
      </c>
      <c r="L117" s="138">
        <f>L29-L77-L102-L104</f>
        <v>-12890000</v>
      </c>
      <c r="M117" s="35">
        <f>SUM(J117:L117)</f>
        <v>-38670000</v>
      </c>
      <c r="N117" s="138">
        <f>N29-N77-N102-N104</f>
        <v>-12890000</v>
      </c>
      <c r="O117" s="138">
        <f>O29-O77-O102-O104</f>
        <v>-12890000</v>
      </c>
      <c r="P117" s="138">
        <f>P29-P77-P102-P104</f>
        <v>-12890000</v>
      </c>
      <c r="Q117" s="35">
        <f>SUM(N117:P117)</f>
        <v>-38670000</v>
      </c>
      <c r="R117" s="138">
        <f>R29-R77-R102-R104</f>
        <v>-12890000</v>
      </c>
      <c r="S117" s="138">
        <f>S29-S77-S102-S104</f>
        <v>-12890000</v>
      </c>
      <c r="T117" s="138">
        <f>T29-T77-T102-T104</f>
        <v>-12890000</v>
      </c>
      <c r="U117" s="35">
        <f>SUM(R117:T117)</f>
        <v>-38670000</v>
      </c>
      <c r="V117" s="35">
        <f t="shared" ref="V117" si="86">I117+M117+Q117+U117</f>
        <v>-154610000</v>
      </c>
    </row>
    <row r="118" spans="1:22" ht="13.15" thickBot="1">
      <c r="A118" s="14"/>
      <c r="B118" s="14"/>
      <c r="C118" s="14"/>
      <c r="D118" s="14"/>
      <c r="E118" s="15"/>
      <c r="F118" s="47"/>
      <c r="G118" s="47"/>
      <c r="H118" s="47"/>
      <c r="I118" s="37"/>
      <c r="J118" s="47"/>
      <c r="K118" s="47"/>
      <c r="L118" s="47"/>
      <c r="M118" s="37"/>
      <c r="N118" s="47"/>
      <c r="O118" s="47"/>
      <c r="P118" s="47"/>
      <c r="Q118" s="37"/>
      <c r="R118" s="47"/>
      <c r="S118" s="47"/>
      <c r="T118" s="47"/>
      <c r="U118" s="37"/>
      <c r="V118" s="37"/>
    </row>
    <row r="119" spans="1:22">
      <c r="A119" s="7"/>
      <c r="B119" s="7"/>
      <c r="C119" s="7"/>
      <c r="D119" s="7"/>
      <c r="F119" s="13"/>
      <c r="G119" s="13"/>
      <c r="H119" s="13"/>
      <c r="J119" s="13"/>
      <c r="K119" s="13"/>
      <c r="L119" s="13"/>
      <c r="N119" s="13" t="s">
        <v>86</v>
      </c>
      <c r="O119" s="13"/>
      <c r="P119" s="13"/>
      <c r="R119" s="13"/>
      <c r="S119" s="13"/>
      <c r="T119" s="13"/>
    </row>
    <row r="120" spans="1:22" ht="13.15">
      <c r="D120" s="104" t="s">
        <v>263</v>
      </c>
      <c r="F120" s="39">
        <f>F77</f>
        <v>12820000</v>
      </c>
      <c r="G120" s="39">
        <f>G77</f>
        <v>12890000</v>
      </c>
      <c r="H120" s="39">
        <f>H77</f>
        <v>12890000</v>
      </c>
      <c r="J120" s="39">
        <f>J77</f>
        <v>12890000</v>
      </c>
      <c r="K120" s="39">
        <f>K77</f>
        <v>12890000</v>
      </c>
      <c r="L120" s="39">
        <f>L77</f>
        <v>12890000</v>
      </c>
      <c r="N120" s="39">
        <f>N77</f>
        <v>12890000</v>
      </c>
      <c r="O120" s="39">
        <f>O77</f>
        <v>12890000</v>
      </c>
      <c r="P120" s="39">
        <f>P77</f>
        <v>12890000</v>
      </c>
      <c r="R120" s="39">
        <f>R77</f>
        <v>12890000</v>
      </c>
      <c r="S120" s="39">
        <f>S77</f>
        <v>12890000</v>
      </c>
      <c r="T120" s="39">
        <f>T77</f>
        <v>12890000</v>
      </c>
    </row>
    <row r="121" spans="1:22">
      <c r="D121" s="106" t="s">
        <v>232</v>
      </c>
      <c r="F121" s="199"/>
      <c r="G121" s="200"/>
      <c r="H121" s="200"/>
      <c r="J121" s="163"/>
      <c r="O121" s="163"/>
      <c r="P121" s="163"/>
      <c r="R121" s="163"/>
      <c r="S121" s="163"/>
    </row>
    <row r="122" spans="1:22">
      <c r="D122" s="106" t="s">
        <v>233</v>
      </c>
      <c r="F122" s="189"/>
      <c r="G122" s="189"/>
      <c r="H122" s="189"/>
      <c r="J122" s="189"/>
      <c r="K122" s="189"/>
      <c r="L122" s="189"/>
      <c r="N122" s="189"/>
      <c r="O122" s="189"/>
      <c r="P122" s="189"/>
      <c r="R122" s="189"/>
      <c r="S122" s="189"/>
      <c r="T122" s="189"/>
    </row>
  </sheetData>
  <mergeCells count="17">
    <mergeCell ref="C117:D117"/>
    <mergeCell ref="C24:D24"/>
    <mergeCell ref="C25:D25"/>
    <mergeCell ref="A26:D26"/>
    <mergeCell ref="A28:D28"/>
    <mergeCell ref="C29:D29"/>
    <mergeCell ref="A116:D116"/>
    <mergeCell ref="A15:A25"/>
    <mergeCell ref="C15:D15"/>
    <mergeCell ref="C21:D21"/>
    <mergeCell ref="C22:D22"/>
    <mergeCell ref="C23:D23"/>
    <mergeCell ref="A3:D3"/>
    <mergeCell ref="A4:A11"/>
    <mergeCell ref="B5:B10"/>
    <mergeCell ref="A12:D12"/>
    <mergeCell ref="A14:D14"/>
  </mergeCells>
  <phoneticPr fontId="8" type="noConversion"/>
  <pageMargins left="0.59055118110236227" right="0.39370078740157483" top="0.78740157480314965" bottom="0.39370078740157483" header="0.31496062992125984" footer="0.51181102362204722"/>
  <pageSetup scale="10" fitToHeight="2" orientation="portrait" r:id="rId1"/>
  <headerFooter alignWithMargins="0">
    <oddHeader>&amp;L&amp;Z&amp;F&amp;A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U122"/>
  <sheetViews>
    <sheetView workbookViewId="0">
      <pane xSplit="4" ySplit="2" topLeftCell="E54" activePane="bottomRight" state="frozen"/>
      <selection activeCell="G36" sqref="G36"/>
      <selection pane="topRight" activeCell="G36" sqref="G36"/>
      <selection pane="bottomLeft" activeCell="G36" sqref="G36"/>
      <selection pane="bottomRight" activeCell="T71" sqref="T71"/>
    </sheetView>
  </sheetViews>
  <sheetFormatPr defaultColWidth="8.87890625" defaultRowHeight="12.75" outlineLevelRow="2" outlineLevelCol="1"/>
  <cols>
    <col min="1" max="3" width="1.3515625" style="3" customWidth="1"/>
    <col min="4" max="4" width="21.1171875" style="3" customWidth="1"/>
    <col min="5" max="5" width="1.64453125" style="7" customWidth="1"/>
    <col min="6" max="6" width="10.234375" style="3" customWidth="1" outlineLevel="1"/>
    <col min="7" max="8" width="10.87890625" style="3" customWidth="1" outlineLevel="1"/>
    <col min="9" max="9" width="10.87890625" style="3" bestFit="1" customWidth="1"/>
    <col min="10" max="10" width="10.234375" style="3" customWidth="1" outlineLevel="1"/>
    <col min="11" max="12" width="10.87890625" style="3" customWidth="1" outlineLevel="1"/>
    <col min="13" max="13" width="10.87890625" style="3" bestFit="1" customWidth="1"/>
    <col min="14" max="14" width="10.234375" style="3" customWidth="1" outlineLevel="1"/>
    <col min="15" max="16" width="10.87890625" style="3" customWidth="1" outlineLevel="1"/>
    <col min="17" max="17" width="10.87890625" style="3" bestFit="1" customWidth="1"/>
    <col min="18" max="20" width="10.234375" style="3" customWidth="1" outlineLevel="1"/>
    <col min="21" max="22" width="10.87890625" style="3" bestFit="1" customWidth="1"/>
    <col min="23" max="16384" width="8.87890625" style="3"/>
  </cols>
  <sheetData>
    <row r="1" spans="1:47" ht="13.9" thickBot="1">
      <c r="A1" s="1"/>
      <c r="B1" s="1"/>
      <c r="C1" s="1"/>
      <c r="D1" s="38"/>
      <c r="E1" s="2"/>
      <c r="F1" s="18" t="s">
        <v>69</v>
      </c>
      <c r="G1" s="18" t="s">
        <v>70</v>
      </c>
      <c r="H1" s="18" t="s">
        <v>71</v>
      </c>
      <c r="I1" s="18" t="s">
        <v>72</v>
      </c>
      <c r="J1" s="18" t="s">
        <v>74</v>
      </c>
      <c r="K1" s="18" t="s">
        <v>75</v>
      </c>
      <c r="L1" s="18" t="s">
        <v>76</v>
      </c>
      <c r="M1" s="18" t="s">
        <v>77</v>
      </c>
      <c r="N1" s="18" t="s">
        <v>80</v>
      </c>
      <c r="O1" s="18" t="s">
        <v>81</v>
      </c>
      <c r="P1" s="18" t="s">
        <v>82</v>
      </c>
      <c r="Q1" s="18" t="s">
        <v>83</v>
      </c>
      <c r="R1" s="18" t="s">
        <v>88</v>
      </c>
      <c r="S1" s="18" t="s">
        <v>91</v>
      </c>
      <c r="T1" s="18" t="s">
        <v>92</v>
      </c>
      <c r="U1" s="18" t="s">
        <v>89</v>
      </c>
      <c r="V1" s="18">
        <v>2026</v>
      </c>
      <c r="AU1" s="4"/>
    </row>
    <row r="2" spans="1:47" ht="13.5" thickBot="1">
      <c r="A2" s="5"/>
      <c r="B2" s="5"/>
      <c r="C2" s="5"/>
      <c r="D2" s="6"/>
      <c r="E2" s="2"/>
      <c r="F2" s="110" t="s">
        <v>24</v>
      </c>
      <c r="G2" s="110" t="s">
        <v>24</v>
      </c>
      <c r="H2" s="110" t="s">
        <v>24</v>
      </c>
      <c r="I2" s="137" t="s">
        <v>25</v>
      </c>
      <c r="J2" s="110" t="s">
        <v>24</v>
      </c>
      <c r="K2" s="110" t="s">
        <v>24</v>
      </c>
      <c r="L2" s="110" t="s">
        <v>24</v>
      </c>
      <c r="M2" s="137" t="s">
        <v>25</v>
      </c>
      <c r="N2" s="110" t="s">
        <v>24</v>
      </c>
      <c r="O2" s="110" t="s">
        <v>24</v>
      </c>
      <c r="P2" s="110" t="s">
        <v>24</v>
      </c>
      <c r="Q2" s="137" t="s">
        <v>25</v>
      </c>
      <c r="R2" s="110" t="s">
        <v>24</v>
      </c>
      <c r="S2" s="110" t="s">
        <v>24</v>
      </c>
      <c r="T2" s="110" t="s">
        <v>24</v>
      </c>
      <c r="U2" s="137" t="s">
        <v>25</v>
      </c>
      <c r="V2" s="137" t="s">
        <v>25</v>
      </c>
    </row>
    <row r="3" spans="1:47" s="111" customFormat="1" ht="12.75" customHeight="1">
      <c r="A3" s="447" t="s">
        <v>159</v>
      </c>
      <c r="B3" s="448"/>
      <c r="C3" s="448"/>
      <c r="D3" s="449"/>
      <c r="E3" s="2"/>
      <c r="F3" s="133"/>
      <c r="G3" s="133"/>
      <c r="H3" s="133"/>
      <c r="I3" s="34"/>
      <c r="J3" s="133"/>
      <c r="K3" s="133"/>
      <c r="L3" s="133"/>
      <c r="M3" s="34"/>
      <c r="N3" s="133"/>
      <c r="O3" s="133"/>
      <c r="P3" s="133"/>
      <c r="Q3" s="34"/>
      <c r="R3" s="133"/>
      <c r="S3" s="133"/>
      <c r="T3" s="133"/>
      <c r="U3" s="34"/>
      <c r="V3" s="134"/>
    </row>
    <row r="4" spans="1:47" s="111" customFormat="1" ht="12.75" customHeight="1">
      <c r="A4" s="450"/>
      <c r="B4" s="112" t="s">
        <v>160</v>
      </c>
      <c r="C4" s="112"/>
      <c r="D4" s="113"/>
      <c r="E4" s="2"/>
      <c r="F4" s="43"/>
      <c r="G4" s="43"/>
      <c r="H4" s="43"/>
      <c r="I4" s="34"/>
      <c r="J4" s="43"/>
      <c r="K4" s="43"/>
      <c r="L4" s="43"/>
      <c r="M4" s="34"/>
      <c r="N4" s="43"/>
      <c r="O4" s="43"/>
      <c r="P4" s="43"/>
      <c r="Q4" s="34"/>
      <c r="R4" s="43"/>
      <c r="S4" s="43"/>
      <c r="T4" s="43"/>
      <c r="U4" s="34"/>
      <c r="V4" s="34"/>
    </row>
    <row r="5" spans="1:47" s="111" customFormat="1" ht="12.75" customHeight="1" outlineLevel="1">
      <c r="A5" s="450"/>
      <c r="B5" s="451"/>
      <c r="C5" s="114"/>
      <c r="D5" s="115" t="s">
        <v>161</v>
      </c>
      <c r="E5" s="7">
        <v>1</v>
      </c>
      <c r="F5" s="43"/>
      <c r="G5" s="43"/>
      <c r="H5" s="43"/>
      <c r="I5" s="34">
        <f t="shared" ref="I5:I10" si="0">H5+G5+F5</f>
        <v>0</v>
      </c>
      <c r="J5" s="43"/>
      <c r="K5" s="43"/>
      <c r="L5" s="43"/>
      <c r="M5" s="34">
        <f t="shared" ref="M5:M10" si="1">L5+K5+J5</f>
        <v>0</v>
      </c>
      <c r="N5" s="43"/>
      <c r="O5" s="43"/>
      <c r="P5" s="43"/>
      <c r="Q5" s="34">
        <f t="shared" ref="Q5:Q10" si="2">P5+O5+N5</f>
        <v>0</v>
      </c>
      <c r="R5" s="43"/>
      <c r="S5" s="43"/>
      <c r="T5" s="43"/>
      <c r="U5" s="34">
        <f t="shared" ref="U5:U10" si="3">T5+S5+R5</f>
        <v>0</v>
      </c>
      <c r="V5" s="34">
        <f t="shared" ref="V5:V10" si="4">U5+Q5+M5+I5</f>
        <v>0</v>
      </c>
    </row>
    <row r="6" spans="1:47" s="111" customFormat="1" ht="12.75" customHeight="1" outlineLevel="1">
      <c r="A6" s="450"/>
      <c r="B6" s="451"/>
      <c r="C6" s="116"/>
      <c r="D6" s="117" t="s">
        <v>162</v>
      </c>
      <c r="E6" s="7">
        <v>1</v>
      </c>
      <c r="F6" s="43"/>
      <c r="G6" s="43"/>
      <c r="H6" s="43"/>
      <c r="I6" s="34">
        <f t="shared" si="0"/>
        <v>0</v>
      </c>
      <c r="J6" s="43"/>
      <c r="K6" s="43"/>
      <c r="L6" s="43"/>
      <c r="M6" s="34">
        <f t="shared" si="1"/>
        <v>0</v>
      </c>
      <c r="N6" s="43"/>
      <c r="O6" s="43"/>
      <c r="P6" s="43"/>
      <c r="Q6" s="34">
        <f t="shared" si="2"/>
        <v>0</v>
      </c>
      <c r="R6" s="43"/>
      <c r="S6" s="43"/>
      <c r="T6" s="43"/>
      <c r="U6" s="34">
        <f t="shared" si="3"/>
        <v>0</v>
      </c>
      <c r="V6" s="34">
        <f t="shared" si="4"/>
        <v>0</v>
      </c>
    </row>
    <row r="7" spans="1:47" s="111" customFormat="1" ht="12.75" customHeight="1" outlineLevel="1">
      <c r="A7" s="450"/>
      <c r="B7" s="451"/>
      <c r="C7" s="116"/>
      <c r="D7" s="117" t="s">
        <v>163</v>
      </c>
      <c r="E7" s="7">
        <v>1</v>
      </c>
      <c r="F7" s="43"/>
      <c r="G7" s="43"/>
      <c r="H7" s="43"/>
      <c r="I7" s="34">
        <f t="shared" si="0"/>
        <v>0</v>
      </c>
      <c r="J7" s="43"/>
      <c r="K7" s="43"/>
      <c r="L7" s="43"/>
      <c r="M7" s="34">
        <f t="shared" si="1"/>
        <v>0</v>
      </c>
      <c r="N7" s="43"/>
      <c r="O7" s="43"/>
      <c r="P7" s="43"/>
      <c r="Q7" s="34">
        <f t="shared" si="2"/>
        <v>0</v>
      </c>
      <c r="R7" s="43"/>
      <c r="S7" s="43"/>
      <c r="T7" s="43"/>
      <c r="U7" s="34">
        <f t="shared" si="3"/>
        <v>0</v>
      </c>
      <c r="V7" s="34">
        <f t="shared" si="4"/>
        <v>0</v>
      </c>
    </row>
    <row r="8" spans="1:47" s="111" customFormat="1" ht="12.75" customHeight="1" outlineLevel="1">
      <c r="A8" s="450"/>
      <c r="B8" s="451"/>
      <c r="C8" s="116"/>
      <c r="D8" s="118" t="s">
        <v>164</v>
      </c>
      <c r="E8" s="7"/>
      <c r="F8" s="43"/>
      <c r="G8" s="43"/>
      <c r="H8" s="43"/>
      <c r="I8" s="34">
        <f t="shared" si="0"/>
        <v>0</v>
      </c>
      <c r="J8" s="43"/>
      <c r="K8" s="43"/>
      <c r="L8" s="43"/>
      <c r="M8" s="34">
        <f t="shared" si="1"/>
        <v>0</v>
      </c>
      <c r="N8" s="43"/>
      <c r="O8" s="43"/>
      <c r="P8" s="43"/>
      <c r="Q8" s="34">
        <f t="shared" si="2"/>
        <v>0</v>
      </c>
      <c r="R8" s="43"/>
      <c r="S8" s="43"/>
      <c r="T8" s="43"/>
      <c r="U8" s="34">
        <f t="shared" si="3"/>
        <v>0</v>
      </c>
      <c r="V8" s="34">
        <f t="shared" si="4"/>
        <v>0</v>
      </c>
    </row>
    <row r="9" spans="1:47" s="111" customFormat="1" ht="12.75" customHeight="1" outlineLevel="1">
      <c r="A9" s="450"/>
      <c r="B9" s="451"/>
      <c r="C9" s="116"/>
      <c r="D9" s="117" t="s">
        <v>166</v>
      </c>
      <c r="E9" s="7"/>
      <c r="F9" s="43"/>
      <c r="G9" s="43"/>
      <c r="H9" s="43"/>
      <c r="I9" s="34">
        <f t="shared" si="0"/>
        <v>0</v>
      </c>
      <c r="J9" s="43"/>
      <c r="K9" s="43"/>
      <c r="L9" s="43"/>
      <c r="M9" s="34">
        <f t="shared" si="1"/>
        <v>0</v>
      </c>
      <c r="N9" s="43"/>
      <c r="O9" s="43"/>
      <c r="P9" s="43"/>
      <c r="Q9" s="34">
        <f t="shared" si="2"/>
        <v>0</v>
      </c>
      <c r="R9" s="43"/>
      <c r="S9" s="43"/>
      <c r="T9" s="43"/>
      <c r="U9" s="34">
        <f t="shared" si="3"/>
        <v>0</v>
      </c>
      <c r="V9" s="34">
        <f t="shared" si="4"/>
        <v>0</v>
      </c>
    </row>
    <row r="10" spans="1:47" s="111" customFormat="1" ht="12.75" customHeight="1" outlineLevel="1">
      <c r="A10" s="450"/>
      <c r="B10" s="451"/>
      <c r="C10" s="116"/>
      <c r="D10" s="117" t="s">
        <v>165</v>
      </c>
      <c r="E10" s="7"/>
      <c r="F10" s="43"/>
      <c r="G10" s="43"/>
      <c r="H10" s="43"/>
      <c r="I10" s="34">
        <f t="shared" si="0"/>
        <v>0</v>
      </c>
      <c r="J10" s="43"/>
      <c r="K10" s="43"/>
      <c r="L10" s="43"/>
      <c r="M10" s="34">
        <f t="shared" si="1"/>
        <v>0</v>
      </c>
      <c r="N10" s="43"/>
      <c r="O10" s="43"/>
      <c r="P10" s="43"/>
      <c r="Q10" s="34">
        <f t="shared" si="2"/>
        <v>0</v>
      </c>
      <c r="R10" s="43"/>
      <c r="S10" s="43"/>
      <c r="T10" s="43"/>
      <c r="U10" s="34">
        <f t="shared" si="3"/>
        <v>0</v>
      </c>
      <c r="V10" s="34">
        <f t="shared" si="4"/>
        <v>0</v>
      </c>
    </row>
    <row r="11" spans="1:47" s="111" customFormat="1" ht="6.75" customHeight="1">
      <c r="A11" s="450"/>
      <c r="B11" s="4"/>
      <c r="C11" s="4"/>
      <c r="D11" s="119"/>
      <c r="E11" s="120"/>
      <c r="F11" s="43"/>
      <c r="G11" s="43"/>
      <c r="H11" s="43"/>
      <c r="I11" s="34"/>
      <c r="J11" s="43"/>
      <c r="K11" s="43"/>
      <c r="L11" s="43"/>
      <c r="M11" s="34"/>
      <c r="N11" s="43"/>
      <c r="O11" s="43"/>
      <c r="P11" s="43"/>
      <c r="Q11" s="34"/>
      <c r="R11" s="43"/>
      <c r="S11" s="43"/>
      <c r="T11" s="43"/>
      <c r="U11" s="34"/>
      <c r="V11" s="34"/>
    </row>
    <row r="12" spans="1:47" s="111" customFormat="1" ht="12.75" customHeight="1">
      <c r="A12" s="447" t="s">
        <v>167</v>
      </c>
      <c r="B12" s="448"/>
      <c r="C12" s="448"/>
      <c r="D12" s="449"/>
      <c r="E12" s="8"/>
      <c r="F12" s="44">
        <f t="shared" ref="F12:V12" si="5">SUM(F5:F10)</f>
        <v>0</v>
      </c>
      <c r="G12" s="44">
        <f t="shared" si="5"/>
        <v>0</v>
      </c>
      <c r="H12" s="44">
        <f t="shared" si="5"/>
        <v>0</v>
      </c>
      <c r="I12" s="35">
        <f t="shared" si="5"/>
        <v>0</v>
      </c>
      <c r="J12" s="44">
        <f t="shared" si="5"/>
        <v>0</v>
      </c>
      <c r="K12" s="44">
        <f t="shared" si="5"/>
        <v>0</v>
      </c>
      <c r="L12" s="44">
        <f t="shared" si="5"/>
        <v>0</v>
      </c>
      <c r="M12" s="35">
        <f t="shared" si="5"/>
        <v>0</v>
      </c>
      <c r="N12" s="44">
        <f t="shared" si="5"/>
        <v>0</v>
      </c>
      <c r="O12" s="44">
        <f t="shared" si="5"/>
        <v>0</v>
      </c>
      <c r="P12" s="44">
        <f t="shared" si="5"/>
        <v>0</v>
      </c>
      <c r="Q12" s="35">
        <f t="shared" si="5"/>
        <v>0</v>
      </c>
      <c r="R12" s="44">
        <f t="shared" si="5"/>
        <v>0</v>
      </c>
      <c r="S12" s="44">
        <f t="shared" si="5"/>
        <v>0</v>
      </c>
      <c r="T12" s="44">
        <f t="shared" si="5"/>
        <v>0</v>
      </c>
      <c r="U12" s="35">
        <f t="shared" si="5"/>
        <v>0</v>
      </c>
      <c r="V12" s="35">
        <f t="shared" si="5"/>
        <v>0</v>
      </c>
    </row>
    <row r="13" spans="1:47" s="111" customFormat="1" ht="5.25" customHeight="1">
      <c r="A13" s="121"/>
      <c r="B13" s="3"/>
      <c r="C13" s="3"/>
      <c r="D13" s="119"/>
      <c r="E13" s="4"/>
      <c r="F13" s="43"/>
      <c r="G13" s="43"/>
      <c r="H13" s="43"/>
      <c r="I13" s="34"/>
      <c r="J13" s="43"/>
      <c r="K13" s="43"/>
      <c r="L13" s="43"/>
      <c r="M13" s="34"/>
      <c r="N13" s="43"/>
      <c r="O13" s="43"/>
      <c r="P13" s="43"/>
      <c r="Q13" s="34"/>
      <c r="R13" s="43"/>
      <c r="S13" s="43"/>
      <c r="T13" s="43"/>
      <c r="U13" s="34"/>
      <c r="V13" s="34"/>
    </row>
    <row r="14" spans="1:47" s="111" customFormat="1" ht="12.75" customHeight="1">
      <c r="A14" s="452" t="s">
        <v>168</v>
      </c>
      <c r="B14" s="453"/>
      <c r="C14" s="453"/>
      <c r="D14" s="454"/>
      <c r="E14" s="7"/>
      <c r="F14" s="43"/>
      <c r="G14" s="43"/>
      <c r="H14" s="43"/>
      <c r="I14" s="34"/>
      <c r="J14" s="43"/>
      <c r="K14" s="43"/>
      <c r="L14" s="43"/>
      <c r="M14" s="34"/>
      <c r="N14" s="43"/>
      <c r="O14" s="43"/>
      <c r="P14" s="43"/>
      <c r="Q14" s="34"/>
      <c r="R14" s="43"/>
      <c r="S14" s="43"/>
      <c r="T14" s="43"/>
      <c r="U14" s="34"/>
      <c r="V14" s="34"/>
    </row>
    <row r="15" spans="1:47" s="111" customFormat="1" ht="12.75" customHeight="1" outlineLevel="1">
      <c r="A15" s="465"/>
      <c r="B15" s="3"/>
      <c r="C15" s="466" t="s">
        <v>169</v>
      </c>
      <c r="D15" s="467"/>
      <c r="E15" s="7"/>
      <c r="F15" s="43"/>
      <c r="G15" s="43"/>
      <c r="H15" s="43"/>
      <c r="I15" s="34"/>
      <c r="J15" s="43"/>
      <c r="K15" s="43"/>
      <c r="L15" s="43"/>
      <c r="M15" s="34"/>
      <c r="N15" s="43"/>
      <c r="O15" s="43"/>
      <c r="P15" s="43"/>
      <c r="Q15" s="34"/>
      <c r="R15" s="43"/>
      <c r="S15" s="43"/>
      <c r="T15" s="43"/>
      <c r="U15" s="34"/>
      <c r="V15" s="34"/>
    </row>
    <row r="16" spans="1:47" s="111" customFormat="1" ht="12.75" customHeight="1" outlineLevel="1">
      <c r="A16" s="465"/>
      <c r="B16" s="3"/>
      <c r="C16" s="116"/>
      <c r="D16" s="117" t="s">
        <v>170</v>
      </c>
      <c r="E16" s="7">
        <v>0</v>
      </c>
      <c r="F16" s="43"/>
      <c r="G16" s="43"/>
      <c r="H16" s="43"/>
      <c r="I16" s="34">
        <f t="shared" ref="I16:I22" si="6">H16+G16+F16</f>
        <v>0</v>
      </c>
      <c r="J16" s="43"/>
      <c r="K16" s="43"/>
      <c r="L16" s="43"/>
      <c r="M16" s="34">
        <f t="shared" ref="M16:M22" si="7">L16+K16+J16</f>
        <v>0</v>
      </c>
      <c r="N16" s="43"/>
      <c r="O16" s="43"/>
      <c r="P16" s="43"/>
      <c r="Q16" s="34">
        <f t="shared" ref="Q16:Q22" si="8">P16+O16+N16</f>
        <v>0</v>
      </c>
      <c r="R16" s="43"/>
      <c r="S16" s="43"/>
      <c r="T16" s="43"/>
      <c r="U16" s="34">
        <f t="shared" ref="U16:U25" si="9">T16+S16+R16</f>
        <v>0</v>
      </c>
      <c r="V16" s="34">
        <f t="shared" ref="V16:V25" si="10">U16+Q16+M16+I16</f>
        <v>0</v>
      </c>
    </row>
    <row r="17" spans="1:22" s="111" customFormat="1" ht="12.75" customHeight="1" outlineLevel="1">
      <c r="A17" s="465"/>
      <c r="B17" s="3"/>
      <c r="C17" s="116"/>
      <c r="D17" s="117" t="s">
        <v>172</v>
      </c>
      <c r="E17" s="7"/>
      <c r="F17" s="43"/>
      <c r="G17" s="43"/>
      <c r="H17" s="43"/>
      <c r="I17" s="34">
        <f t="shared" si="6"/>
        <v>0</v>
      </c>
      <c r="J17" s="43"/>
      <c r="K17" s="43"/>
      <c r="L17" s="43"/>
      <c r="M17" s="34">
        <f t="shared" si="7"/>
        <v>0</v>
      </c>
      <c r="N17" s="43"/>
      <c r="O17" s="43"/>
      <c r="P17" s="43"/>
      <c r="Q17" s="34">
        <f t="shared" si="8"/>
        <v>0</v>
      </c>
      <c r="R17" s="43"/>
      <c r="S17" s="43"/>
      <c r="T17" s="43"/>
      <c r="U17" s="34">
        <f t="shared" si="9"/>
        <v>0</v>
      </c>
      <c r="V17" s="34">
        <f t="shared" si="10"/>
        <v>0</v>
      </c>
    </row>
    <row r="18" spans="1:22" s="111" customFormat="1" ht="12.75" customHeight="1" outlineLevel="1">
      <c r="A18" s="465"/>
      <c r="B18" s="3"/>
      <c r="C18" s="116"/>
      <c r="D18" s="117" t="s">
        <v>294</v>
      </c>
      <c r="E18" s="7"/>
      <c r="F18" s="43"/>
      <c r="G18" s="43"/>
      <c r="H18" s="43"/>
      <c r="I18" s="34">
        <f t="shared" si="6"/>
        <v>0</v>
      </c>
      <c r="J18" s="43"/>
      <c r="K18" s="43"/>
      <c r="L18" s="43"/>
      <c r="M18" s="34">
        <f t="shared" si="7"/>
        <v>0</v>
      </c>
      <c r="N18" s="43"/>
      <c r="O18" s="43"/>
      <c r="P18" s="43"/>
      <c r="Q18" s="34">
        <f t="shared" si="8"/>
        <v>0</v>
      </c>
      <c r="R18" s="43"/>
      <c r="S18" s="43"/>
      <c r="T18" s="43"/>
      <c r="U18" s="34">
        <f t="shared" si="9"/>
        <v>0</v>
      </c>
      <c r="V18" s="34">
        <f t="shared" si="10"/>
        <v>0</v>
      </c>
    </row>
    <row r="19" spans="1:22" s="111" customFormat="1" ht="12.75" customHeight="1" outlineLevel="1">
      <c r="A19" s="465"/>
      <c r="B19" s="3"/>
      <c r="C19" s="116"/>
      <c r="D19" s="117" t="s">
        <v>173</v>
      </c>
      <c r="E19" s="7"/>
      <c r="F19" s="43"/>
      <c r="G19" s="43"/>
      <c r="H19" s="43"/>
      <c r="I19" s="34">
        <f t="shared" si="6"/>
        <v>0</v>
      </c>
      <c r="J19" s="43"/>
      <c r="K19" s="43"/>
      <c r="L19" s="43"/>
      <c r="M19" s="34">
        <f t="shared" si="7"/>
        <v>0</v>
      </c>
      <c r="N19" s="43"/>
      <c r="O19" s="43"/>
      <c r="P19" s="43"/>
      <c r="Q19" s="34">
        <f t="shared" si="8"/>
        <v>0</v>
      </c>
      <c r="R19" s="43"/>
      <c r="S19" s="43"/>
      <c r="T19" s="43"/>
      <c r="U19" s="34">
        <f t="shared" si="9"/>
        <v>0</v>
      </c>
      <c r="V19" s="34">
        <f t="shared" si="10"/>
        <v>0</v>
      </c>
    </row>
    <row r="20" spans="1:22" s="111" customFormat="1" ht="12.75" customHeight="1" outlineLevel="1">
      <c r="A20" s="465"/>
      <c r="B20" s="3"/>
      <c r="C20" s="116"/>
      <c r="D20" s="118" t="s">
        <v>174</v>
      </c>
      <c r="E20" s="7">
        <v>0</v>
      </c>
      <c r="F20" s="43"/>
      <c r="G20" s="43"/>
      <c r="H20" s="43"/>
      <c r="I20" s="34">
        <f t="shared" si="6"/>
        <v>0</v>
      </c>
      <c r="J20" s="43"/>
      <c r="K20" s="43"/>
      <c r="L20" s="43"/>
      <c r="M20" s="34">
        <f t="shared" si="7"/>
        <v>0</v>
      </c>
      <c r="N20" s="43"/>
      <c r="O20" s="43"/>
      <c r="P20" s="43"/>
      <c r="Q20" s="34">
        <f t="shared" si="8"/>
        <v>0</v>
      </c>
      <c r="R20" s="43"/>
      <c r="S20" s="43"/>
      <c r="T20" s="43"/>
      <c r="U20" s="34">
        <f t="shared" si="9"/>
        <v>0</v>
      </c>
      <c r="V20" s="34">
        <f t="shared" si="10"/>
        <v>0</v>
      </c>
    </row>
    <row r="21" spans="1:22" s="111" customFormat="1" ht="12.75" customHeight="1" outlineLevel="1">
      <c r="A21" s="465"/>
      <c r="B21" s="3"/>
      <c r="C21" s="468" t="s">
        <v>175</v>
      </c>
      <c r="D21" s="469"/>
      <c r="E21" s="7"/>
      <c r="F21" s="43"/>
      <c r="G21" s="43"/>
      <c r="H21" s="43"/>
      <c r="I21" s="34">
        <f t="shared" si="6"/>
        <v>0</v>
      </c>
      <c r="J21" s="43"/>
      <c r="K21" s="43"/>
      <c r="L21" s="43"/>
      <c r="M21" s="34">
        <f t="shared" si="7"/>
        <v>0</v>
      </c>
      <c r="N21" s="43"/>
      <c r="O21" s="43"/>
      <c r="P21" s="43"/>
      <c r="Q21" s="34">
        <f t="shared" si="8"/>
        <v>0</v>
      </c>
      <c r="R21" s="43"/>
      <c r="S21" s="43"/>
      <c r="T21" s="43"/>
      <c r="U21" s="34">
        <f t="shared" si="9"/>
        <v>0</v>
      </c>
      <c r="V21" s="34">
        <f t="shared" si="10"/>
        <v>0</v>
      </c>
    </row>
    <row r="22" spans="1:22" s="111" customFormat="1" ht="12.75" customHeight="1" outlineLevel="1">
      <c r="A22" s="465"/>
      <c r="B22" s="3"/>
      <c r="C22" s="468" t="s">
        <v>176</v>
      </c>
      <c r="D22" s="469"/>
      <c r="E22" s="7"/>
      <c r="F22" s="43"/>
      <c r="G22" s="43"/>
      <c r="H22" s="43"/>
      <c r="I22" s="34">
        <f t="shared" si="6"/>
        <v>0</v>
      </c>
      <c r="J22" s="43"/>
      <c r="K22" s="43"/>
      <c r="L22" s="43"/>
      <c r="M22" s="34">
        <f t="shared" si="7"/>
        <v>0</v>
      </c>
      <c r="N22" s="43"/>
      <c r="O22" s="43"/>
      <c r="P22" s="43"/>
      <c r="Q22" s="34">
        <f t="shared" si="8"/>
        <v>0</v>
      </c>
      <c r="R22" s="43"/>
      <c r="S22" s="43"/>
      <c r="T22" s="43"/>
      <c r="U22" s="34">
        <f t="shared" si="9"/>
        <v>0</v>
      </c>
      <c r="V22" s="34">
        <f t="shared" si="10"/>
        <v>0</v>
      </c>
    </row>
    <row r="23" spans="1:22" s="111" customFormat="1" ht="12.75" customHeight="1" outlineLevel="1">
      <c r="A23" s="465"/>
      <c r="B23" s="3"/>
      <c r="C23" s="457" t="s">
        <v>203</v>
      </c>
      <c r="D23" s="470"/>
      <c r="E23" s="7"/>
      <c r="F23" s="96"/>
      <c r="G23" s="96"/>
      <c r="H23" s="96"/>
      <c r="I23" s="34">
        <f>H23+G23+F23</f>
        <v>0</v>
      </c>
      <c r="J23" s="96"/>
      <c r="K23" s="96"/>
      <c r="L23" s="96"/>
      <c r="M23" s="34">
        <f>L23+K23+J23</f>
        <v>0</v>
      </c>
      <c r="N23" s="96"/>
      <c r="O23" s="96"/>
      <c r="P23" s="96"/>
      <c r="Q23" s="34">
        <f>P23+O23+N23</f>
        <v>0</v>
      </c>
      <c r="R23" s="96"/>
      <c r="S23" s="96"/>
      <c r="T23" s="96"/>
      <c r="U23" s="34">
        <f t="shared" si="9"/>
        <v>0</v>
      </c>
      <c r="V23" s="34">
        <f t="shared" si="10"/>
        <v>0</v>
      </c>
    </row>
    <row r="24" spans="1:22" s="111" customFormat="1" ht="12.75" customHeight="1" outlineLevel="1">
      <c r="A24" s="465"/>
      <c r="B24" s="3"/>
      <c r="C24" s="457" t="s">
        <v>184</v>
      </c>
      <c r="D24" s="458"/>
      <c r="E24" s="7"/>
      <c r="F24" s="96"/>
      <c r="G24" s="96"/>
      <c r="H24" s="96"/>
      <c r="I24" s="34">
        <f t="shared" ref="I24:I25" si="11">H24+G24+F24</f>
        <v>0</v>
      </c>
      <c r="J24" s="96"/>
      <c r="K24" s="96"/>
      <c r="L24" s="96"/>
      <c r="M24" s="34">
        <f t="shared" ref="M24:M25" si="12">L24+K24+J24</f>
        <v>0</v>
      </c>
      <c r="N24" s="96"/>
      <c r="O24" s="96"/>
      <c r="P24" s="96"/>
      <c r="Q24" s="34">
        <f t="shared" ref="Q24:Q25" si="13">P24+O24+N24</f>
        <v>0</v>
      </c>
      <c r="R24" s="96"/>
      <c r="S24" s="96"/>
      <c r="T24" s="96"/>
      <c r="U24" s="34">
        <f t="shared" si="9"/>
        <v>0</v>
      </c>
      <c r="V24" s="34">
        <f t="shared" si="10"/>
        <v>0</v>
      </c>
    </row>
    <row r="25" spans="1:22" s="111" customFormat="1" ht="12.75" customHeight="1" outlineLevel="1">
      <c r="A25" s="465"/>
      <c r="B25" s="3"/>
      <c r="C25" s="457" t="s">
        <v>183</v>
      </c>
      <c r="D25" s="458"/>
      <c r="E25" s="7">
        <v>0</v>
      </c>
      <c r="F25" s="43"/>
      <c r="G25" s="43"/>
      <c r="H25" s="96"/>
      <c r="I25" s="34">
        <f t="shared" si="11"/>
        <v>0</v>
      </c>
      <c r="J25" s="43"/>
      <c r="K25" s="43"/>
      <c r="L25" s="96"/>
      <c r="M25" s="34">
        <f t="shared" si="12"/>
        <v>0</v>
      </c>
      <c r="N25" s="43"/>
      <c r="O25" s="43"/>
      <c r="P25" s="96"/>
      <c r="Q25" s="34">
        <f t="shared" si="13"/>
        <v>0</v>
      </c>
      <c r="R25" s="43"/>
      <c r="S25" s="43"/>
      <c r="T25" s="96"/>
      <c r="U25" s="34">
        <f t="shared" si="9"/>
        <v>0</v>
      </c>
      <c r="V25" s="34">
        <f t="shared" si="10"/>
        <v>0</v>
      </c>
    </row>
    <row r="26" spans="1:22" s="111" customFormat="1" ht="12.75" customHeight="1">
      <c r="A26" s="459" t="s">
        <v>177</v>
      </c>
      <c r="B26" s="460"/>
      <c r="C26" s="460"/>
      <c r="D26" s="461"/>
      <c r="E26" s="8"/>
      <c r="F26" s="44">
        <f t="shared" ref="F26:V26" si="14">SUM(F16:F25)</f>
        <v>0</v>
      </c>
      <c r="G26" s="44">
        <f t="shared" si="14"/>
        <v>0</v>
      </c>
      <c r="H26" s="44">
        <f t="shared" si="14"/>
        <v>0</v>
      </c>
      <c r="I26" s="35">
        <f t="shared" si="14"/>
        <v>0</v>
      </c>
      <c r="J26" s="44">
        <f t="shared" si="14"/>
        <v>0</v>
      </c>
      <c r="K26" s="44">
        <f t="shared" si="14"/>
        <v>0</v>
      </c>
      <c r="L26" s="44">
        <f t="shared" si="14"/>
        <v>0</v>
      </c>
      <c r="M26" s="35">
        <f t="shared" si="14"/>
        <v>0</v>
      </c>
      <c r="N26" s="44">
        <f t="shared" si="14"/>
        <v>0</v>
      </c>
      <c r="O26" s="44">
        <f t="shared" si="14"/>
        <v>0</v>
      </c>
      <c r="P26" s="44">
        <f t="shared" si="14"/>
        <v>0</v>
      </c>
      <c r="Q26" s="35">
        <f t="shared" si="14"/>
        <v>0</v>
      </c>
      <c r="R26" s="44">
        <f t="shared" si="14"/>
        <v>0</v>
      </c>
      <c r="S26" s="44">
        <f t="shared" si="14"/>
        <v>0</v>
      </c>
      <c r="T26" s="44">
        <f t="shared" si="14"/>
        <v>0</v>
      </c>
      <c r="U26" s="35">
        <f t="shared" si="14"/>
        <v>0</v>
      </c>
      <c r="V26" s="35">
        <f t="shared" si="14"/>
        <v>0</v>
      </c>
    </row>
    <row r="27" spans="1:22" s="111" customFormat="1" ht="8.25" customHeight="1">
      <c r="A27" s="122"/>
      <c r="B27" s="123"/>
      <c r="C27" s="123"/>
      <c r="D27" s="124"/>
      <c r="E27" s="8"/>
      <c r="F27" s="43"/>
      <c r="G27" s="43"/>
      <c r="H27" s="43"/>
      <c r="I27" s="34"/>
      <c r="J27" s="43"/>
      <c r="K27" s="43"/>
      <c r="L27" s="43"/>
      <c r="M27" s="34"/>
      <c r="N27" s="43"/>
      <c r="O27" s="43"/>
      <c r="P27" s="43"/>
      <c r="Q27" s="34"/>
      <c r="R27" s="43"/>
      <c r="S27" s="43"/>
      <c r="T27" s="43"/>
      <c r="U27" s="34"/>
      <c r="V27" s="34"/>
    </row>
    <row r="28" spans="1:22" s="111" customFormat="1" ht="12.75" customHeight="1">
      <c r="A28" s="462" t="s">
        <v>178</v>
      </c>
      <c r="B28" s="463"/>
      <c r="C28" s="463"/>
      <c r="D28" s="464"/>
      <c r="E28" s="8"/>
      <c r="F28" s="43"/>
      <c r="G28" s="43"/>
      <c r="H28" s="43"/>
      <c r="I28" s="34"/>
      <c r="J28" s="43"/>
      <c r="K28" s="43"/>
      <c r="L28" s="43"/>
      <c r="M28" s="34"/>
      <c r="N28" s="43"/>
      <c r="O28" s="43"/>
      <c r="P28" s="43"/>
      <c r="Q28" s="34"/>
      <c r="R28" s="43"/>
      <c r="S28" s="43"/>
      <c r="T28" s="43"/>
      <c r="U28" s="34"/>
      <c r="V28" s="34"/>
    </row>
    <row r="29" spans="1:22" s="111" customFormat="1" ht="12.75" customHeight="1">
      <c r="A29" s="125"/>
      <c r="B29" s="4"/>
      <c r="C29" s="455" t="s">
        <v>179</v>
      </c>
      <c r="D29" s="456"/>
      <c r="E29" s="8"/>
      <c r="F29" s="44">
        <f t="shared" ref="F29:V29" si="15">F12-F26</f>
        <v>0</v>
      </c>
      <c r="G29" s="44">
        <f t="shared" si="15"/>
        <v>0</v>
      </c>
      <c r="H29" s="44">
        <f t="shared" si="15"/>
        <v>0</v>
      </c>
      <c r="I29" s="35">
        <f t="shared" si="15"/>
        <v>0</v>
      </c>
      <c r="J29" s="44">
        <f t="shared" si="15"/>
        <v>0</v>
      </c>
      <c r="K29" s="44">
        <f t="shared" si="15"/>
        <v>0</v>
      </c>
      <c r="L29" s="44">
        <f t="shared" si="15"/>
        <v>0</v>
      </c>
      <c r="M29" s="35">
        <f t="shared" si="15"/>
        <v>0</v>
      </c>
      <c r="N29" s="44">
        <f t="shared" si="15"/>
        <v>0</v>
      </c>
      <c r="O29" s="44">
        <f t="shared" si="15"/>
        <v>0</v>
      </c>
      <c r="P29" s="44">
        <f t="shared" si="15"/>
        <v>0</v>
      </c>
      <c r="Q29" s="35">
        <f t="shared" si="15"/>
        <v>0</v>
      </c>
      <c r="R29" s="44">
        <f t="shared" si="15"/>
        <v>0</v>
      </c>
      <c r="S29" s="44">
        <f t="shared" si="15"/>
        <v>0</v>
      </c>
      <c r="T29" s="44">
        <f t="shared" si="15"/>
        <v>0</v>
      </c>
      <c r="U29" s="35">
        <f t="shared" si="15"/>
        <v>0</v>
      </c>
      <c r="V29" s="35">
        <f t="shared" si="15"/>
        <v>0</v>
      </c>
    </row>
    <row r="30" spans="1:22" s="111" customFormat="1" ht="12.75" customHeight="1">
      <c r="A30" s="121"/>
      <c r="B30" s="3"/>
      <c r="C30" s="3"/>
      <c r="D30" s="118" t="s">
        <v>180</v>
      </c>
      <c r="E30" s="7"/>
      <c r="F30" s="126">
        <f t="shared" ref="F30:V30" si="16">IF(F12=0,0,F29/F12)</f>
        <v>0</v>
      </c>
      <c r="G30" s="126">
        <f t="shared" si="16"/>
        <v>0</v>
      </c>
      <c r="H30" s="126">
        <f t="shared" si="16"/>
        <v>0</v>
      </c>
      <c r="I30" s="127">
        <f t="shared" si="16"/>
        <v>0</v>
      </c>
      <c r="J30" s="126">
        <f t="shared" si="16"/>
        <v>0</v>
      </c>
      <c r="K30" s="126">
        <f t="shared" si="16"/>
        <v>0</v>
      </c>
      <c r="L30" s="126">
        <f t="shared" si="16"/>
        <v>0</v>
      </c>
      <c r="M30" s="127">
        <f t="shared" si="16"/>
        <v>0</v>
      </c>
      <c r="N30" s="126">
        <f t="shared" si="16"/>
        <v>0</v>
      </c>
      <c r="O30" s="126">
        <f t="shared" si="16"/>
        <v>0</v>
      </c>
      <c r="P30" s="126">
        <f t="shared" si="16"/>
        <v>0</v>
      </c>
      <c r="Q30" s="127">
        <f t="shared" si="16"/>
        <v>0</v>
      </c>
      <c r="R30" s="126">
        <f t="shared" si="16"/>
        <v>0</v>
      </c>
      <c r="S30" s="126">
        <f t="shared" si="16"/>
        <v>0</v>
      </c>
      <c r="T30" s="126">
        <f t="shared" si="16"/>
        <v>0</v>
      </c>
      <c r="U30" s="127">
        <f t="shared" si="16"/>
        <v>0</v>
      </c>
      <c r="V30" s="127">
        <f t="shared" si="16"/>
        <v>0</v>
      </c>
    </row>
    <row r="31" spans="1:22" ht="13.15" outlineLevel="1">
      <c r="A31" s="21" t="s">
        <v>49</v>
      </c>
      <c r="B31" s="22"/>
      <c r="C31" s="22"/>
      <c r="D31" s="22"/>
      <c r="F31" s="43"/>
      <c r="G31" s="43"/>
      <c r="H31" s="43"/>
      <c r="I31" s="34"/>
      <c r="J31" s="43"/>
      <c r="K31" s="43"/>
      <c r="L31" s="43"/>
      <c r="M31" s="34"/>
      <c r="N31" s="43"/>
      <c r="O31" s="43"/>
      <c r="P31" s="43"/>
      <c r="Q31" s="34"/>
      <c r="R31" s="43"/>
      <c r="S31" s="43"/>
      <c r="T31" s="43"/>
      <c r="U31" s="34"/>
      <c r="V31" s="34"/>
    </row>
    <row r="32" spans="1:22" ht="13.5" outlineLevel="2">
      <c r="A32" s="22"/>
      <c r="B32" s="22"/>
      <c r="C32" s="23" t="s">
        <v>37</v>
      </c>
      <c r="D32" s="24"/>
      <c r="E32" s="8"/>
      <c r="F32" s="43"/>
      <c r="G32" s="43"/>
      <c r="H32" s="43"/>
      <c r="I32" s="34"/>
      <c r="J32" s="43"/>
      <c r="K32" s="43"/>
      <c r="L32" s="43"/>
      <c r="M32" s="34"/>
      <c r="N32" s="43"/>
      <c r="O32" s="43"/>
      <c r="P32" s="43"/>
      <c r="Q32" s="34"/>
      <c r="R32" s="43"/>
      <c r="S32" s="43"/>
      <c r="T32" s="43"/>
      <c r="U32" s="34"/>
      <c r="V32" s="34"/>
    </row>
    <row r="33" spans="1:22" ht="13.15" outlineLevel="2">
      <c r="A33" s="22"/>
      <c r="B33" s="22"/>
      <c r="C33" s="22"/>
      <c r="D33" s="25" t="s">
        <v>27</v>
      </c>
      <c r="E33" s="7">
        <v>0</v>
      </c>
      <c r="F33" s="43">
        <v>10000000</v>
      </c>
      <c r="G33" s="43">
        <v>10000000</v>
      </c>
      <c r="H33" s="43">
        <v>10000000</v>
      </c>
      <c r="I33" s="34">
        <f>SUM(F33:H33)</f>
        <v>30000000</v>
      </c>
      <c r="J33" s="43">
        <v>10000000</v>
      </c>
      <c r="K33" s="43">
        <v>10000000</v>
      </c>
      <c r="L33" s="43">
        <v>10000000</v>
      </c>
      <c r="M33" s="34">
        <f>SUM(J33:L33)</f>
        <v>30000000</v>
      </c>
      <c r="N33" s="43">
        <v>10000000</v>
      </c>
      <c r="O33" s="43">
        <v>10000000</v>
      </c>
      <c r="P33" s="43">
        <v>10000000</v>
      </c>
      <c r="Q33" s="34">
        <f>SUM(N33:P33)</f>
        <v>30000000</v>
      </c>
      <c r="R33" s="43">
        <v>10000000</v>
      </c>
      <c r="S33" s="43">
        <v>10000000</v>
      </c>
      <c r="T33" s="43">
        <v>10000000</v>
      </c>
      <c r="U33" s="34">
        <f>SUM(R33:T33)</f>
        <v>30000000</v>
      </c>
      <c r="V33" s="34">
        <f t="shared" ref="V33:V37" si="17">I33+M33+Q33+U33</f>
        <v>120000000</v>
      </c>
    </row>
    <row r="34" spans="1:22" ht="13.15" outlineLevel="2">
      <c r="A34" s="22"/>
      <c r="B34" s="22"/>
      <c r="C34" s="22"/>
      <c r="D34" s="25" t="s">
        <v>73</v>
      </c>
      <c r="F34" s="43">
        <v>0</v>
      </c>
      <c r="G34" s="43">
        <v>0</v>
      </c>
      <c r="H34" s="43">
        <v>0</v>
      </c>
      <c r="I34" s="34">
        <f>SUM(F34:H34)</f>
        <v>0</v>
      </c>
      <c r="J34" s="43">
        <v>0</v>
      </c>
      <c r="K34" s="43">
        <v>0</v>
      </c>
      <c r="L34" s="43">
        <v>0</v>
      </c>
      <c r="M34" s="34">
        <f>SUM(J34:L34)</f>
        <v>0</v>
      </c>
      <c r="N34" s="43">
        <v>0</v>
      </c>
      <c r="O34" s="43">
        <v>0</v>
      </c>
      <c r="P34" s="43">
        <v>0</v>
      </c>
      <c r="Q34" s="34">
        <f>SUM(N34:P34)</f>
        <v>0</v>
      </c>
      <c r="R34" s="43">
        <v>0</v>
      </c>
      <c r="S34" s="43">
        <v>0</v>
      </c>
      <c r="T34" s="43">
        <v>0</v>
      </c>
      <c r="U34" s="34">
        <f>SUM(R34:T34)</f>
        <v>0</v>
      </c>
      <c r="V34" s="34">
        <f t="shared" si="17"/>
        <v>0</v>
      </c>
    </row>
    <row r="35" spans="1:22" ht="13.15" outlineLevel="2">
      <c r="A35" s="22"/>
      <c r="B35" s="22"/>
      <c r="C35" s="22"/>
      <c r="D35" s="25" t="s">
        <v>55</v>
      </c>
      <c r="E35" s="7">
        <v>0</v>
      </c>
      <c r="F35" s="43"/>
      <c r="G35" s="43"/>
      <c r="H35" s="43"/>
      <c r="I35" s="34">
        <f>SUM(F35:H35)</f>
        <v>0</v>
      </c>
      <c r="J35" s="43"/>
      <c r="K35" s="43"/>
      <c r="L35" s="43"/>
      <c r="M35" s="34">
        <f>SUM(J35:L35)</f>
        <v>0</v>
      </c>
      <c r="N35" s="43"/>
      <c r="O35" s="43"/>
      <c r="P35" s="43"/>
      <c r="Q35" s="34">
        <f>SUM(N35:P35)</f>
        <v>0</v>
      </c>
      <c r="R35" s="43"/>
      <c r="S35" s="43"/>
      <c r="T35" s="43"/>
      <c r="U35" s="34">
        <f>SUM(R35:T35)</f>
        <v>0</v>
      </c>
      <c r="V35" s="34">
        <f t="shared" si="17"/>
        <v>0</v>
      </c>
    </row>
    <row r="36" spans="1:22" ht="13.15" outlineLevel="2">
      <c r="A36" s="22"/>
      <c r="B36" s="22"/>
      <c r="C36" s="22"/>
      <c r="D36" s="25" t="s">
        <v>96</v>
      </c>
      <c r="E36" s="7">
        <v>0</v>
      </c>
      <c r="F36" s="43">
        <v>1000000</v>
      </c>
      <c r="G36" s="43">
        <v>1000000</v>
      </c>
      <c r="H36" s="43">
        <v>1000000</v>
      </c>
      <c r="I36" s="34">
        <f>SUM(F36:H36)</f>
        <v>3000000</v>
      </c>
      <c r="J36" s="43">
        <v>1000000</v>
      </c>
      <c r="K36" s="43">
        <v>1000000</v>
      </c>
      <c r="L36" s="43">
        <v>1000000</v>
      </c>
      <c r="M36" s="34">
        <f>SUM(J36:L36)</f>
        <v>3000000</v>
      </c>
      <c r="N36" s="43">
        <v>1000000</v>
      </c>
      <c r="O36" s="43">
        <v>1000000</v>
      </c>
      <c r="P36" s="43">
        <v>1000000</v>
      </c>
      <c r="Q36" s="34">
        <f>SUM(N36:P36)</f>
        <v>3000000</v>
      </c>
      <c r="R36" s="43">
        <v>1000000</v>
      </c>
      <c r="S36" s="43">
        <v>1000000</v>
      </c>
      <c r="T36" s="43">
        <v>1000000</v>
      </c>
      <c r="U36" s="34">
        <f>SUM(R36:T36)</f>
        <v>3000000</v>
      </c>
      <c r="V36" s="34">
        <f t="shared" si="17"/>
        <v>12000000</v>
      </c>
    </row>
    <row r="37" spans="1:22" ht="13.15" outlineLevel="1">
      <c r="A37" s="24"/>
      <c r="B37" s="24" t="s">
        <v>0</v>
      </c>
      <c r="C37" s="24"/>
      <c r="D37" s="24"/>
      <c r="E37" s="8"/>
      <c r="F37" s="44">
        <f t="shared" ref="F37:H37" si="18">SUM(F33:F36)</f>
        <v>11000000</v>
      </c>
      <c r="G37" s="44">
        <f t="shared" si="18"/>
        <v>11000000</v>
      </c>
      <c r="H37" s="44">
        <f t="shared" si="18"/>
        <v>11000000</v>
      </c>
      <c r="I37" s="35">
        <f>SUM(I33:I36)</f>
        <v>33000000</v>
      </c>
      <c r="J37" s="44">
        <f t="shared" ref="J37:L37" si="19">SUM(J33:J36)</f>
        <v>11000000</v>
      </c>
      <c r="K37" s="44">
        <f t="shared" si="19"/>
        <v>11000000</v>
      </c>
      <c r="L37" s="44">
        <f t="shared" si="19"/>
        <v>11000000</v>
      </c>
      <c r="M37" s="35">
        <f>SUM(M33:M36)</f>
        <v>33000000</v>
      </c>
      <c r="N37" s="44">
        <f t="shared" ref="N37:P37" si="20">SUM(N33:N36)</f>
        <v>11000000</v>
      </c>
      <c r="O37" s="44">
        <f t="shared" si="20"/>
        <v>11000000</v>
      </c>
      <c r="P37" s="44">
        <f t="shared" si="20"/>
        <v>11000000</v>
      </c>
      <c r="Q37" s="35">
        <f>SUM(Q33:Q36)</f>
        <v>33000000</v>
      </c>
      <c r="R37" s="44">
        <f t="shared" ref="R37:T37" si="21">SUM(R33:R36)</f>
        <v>11000000</v>
      </c>
      <c r="S37" s="44">
        <f t="shared" si="21"/>
        <v>11000000</v>
      </c>
      <c r="T37" s="44">
        <f t="shared" si="21"/>
        <v>11000000</v>
      </c>
      <c r="U37" s="35">
        <f t="shared" ref="U37" si="22">SUM(U33:U36)</f>
        <v>33000000</v>
      </c>
      <c r="V37" s="35">
        <f t="shared" si="17"/>
        <v>132000000</v>
      </c>
    </row>
    <row r="38" spans="1:22" ht="13.15" outlineLevel="2">
      <c r="A38" s="22"/>
      <c r="B38" s="22"/>
      <c r="C38" s="23" t="s">
        <v>38</v>
      </c>
      <c r="D38" s="22"/>
      <c r="F38" s="43"/>
      <c r="G38" s="43"/>
      <c r="H38" s="43"/>
      <c r="I38" s="34"/>
      <c r="J38" s="43"/>
      <c r="K38" s="43"/>
      <c r="L38" s="43"/>
      <c r="M38" s="34"/>
      <c r="N38" s="43"/>
      <c r="O38" s="43"/>
      <c r="P38" s="43"/>
      <c r="Q38" s="34"/>
      <c r="R38" s="43"/>
      <c r="S38" s="43"/>
      <c r="T38" s="43"/>
      <c r="U38" s="34"/>
      <c r="V38" s="34"/>
    </row>
    <row r="39" spans="1:22" ht="13.15" outlineLevel="2">
      <c r="A39" s="22"/>
      <c r="B39" s="22"/>
      <c r="C39" s="22"/>
      <c r="D39" s="25" t="s">
        <v>30</v>
      </c>
      <c r="E39" s="7">
        <v>0</v>
      </c>
      <c r="F39" s="43">
        <v>300000</v>
      </c>
      <c r="G39" s="43">
        <v>300000</v>
      </c>
      <c r="H39" s="43">
        <v>300000</v>
      </c>
      <c r="I39" s="34">
        <f t="shared" ref="I39:I50" si="23">SUM(F39:H39)</f>
        <v>900000</v>
      </c>
      <c r="J39" s="43">
        <v>300000</v>
      </c>
      <c r="K39" s="43">
        <v>300000</v>
      </c>
      <c r="L39" s="43">
        <v>300000</v>
      </c>
      <c r="M39" s="34">
        <f t="shared" ref="M39:M50" si="24">SUM(J39:L39)</f>
        <v>900000</v>
      </c>
      <c r="N39" s="43">
        <v>300000</v>
      </c>
      <c r="O39" s="43">
        <v>300000</v>
      </c>
      <c r="P39" s="43">
        <v>300000</v>
      </c>
      <c r="Q39" s="34">
        <f t="shared" ref="Q39:Q50" si="25">SUM(N39:P39)</f>
        <v>900000</v>
      </c>
      <c r="R39" s="43">
        <v>300000</v>
      </c>
      <c r="S39" s="43">
        <v>300000</v>
      </c>
      <c r="T39" s="43">
        <v>300000</v>
      </c>
      <c r="U39" s="34">
        <f t="shared" ref="U39:U50" si="26">SUM(R39:T39)</f>
        <v>900000</v>
      </c>
      <c r="V39" s="34">
        <f t="shared" ref="V39:V53" si="27">I39+M39+Q39+U39</f>
        <v>3600000</v>
      </c>
    </row>
    <row r="40" spans="1:22" ht="13.15" outlineLevel="2">
      <c r="A40" s="22"/>
      <c r="B40" s="22"/>
      <c r="C40" s="22"/>
      <c r="D40" s="25" t="s">
        <v>31</v>
      </c>
      <c r="E40" s="7">
        <v>0</v>
      </c>
      <c r="F40" s="43">
        <v>300000</v>
      </c>
      <c r="G40" s="43">
        <v>300000</v>
      </c>
      <c r="H40" s="43">
        <v>300000</v>
      </c>
      <c r="I40" s="34">
        <f t="shared" si="23"/>
        <v>900000</v>
      </c>
      <c r="J40" s="43">
        <v>300000</v>
      </c>
      <c r="K40" s="43">
        <v>300000</v>
      </c>
      <c r="L40" s="43">
        <v>300000</v>
      </c>
      <c r="M40" s="34">
        <f t="shared" si="24"/>
        <v>900000</v>
      </c>
      <c r="N40" s="43">
        <v>300000</v>
      </c>
      <c r="O40" s="43">
        <v>300000</v>
      </c>
      <c r="P40" s="43">
        <v>300000</v>
      </c>
      <c r="Q40" s="34">
        <f t="shared" si="25"/>
        <v>900000</v>
      </c>
      <c r="R40" s="43">
        <v>300000</v>
      </c>
      <c r="S40" s="43">
        <v>300000</v>
      </c>
      <c r="T40" s="43">
        <v>300000</v>
      </c>
      <c r="U40" s="34">
        <f t="shared" si="26"/>
        <v>900000</v>
      </c>
      <c r="V40" s="34">
        <f t="shared" si="27"/>
        <v>3600000</v>
      </c>
    </row>
    <row r="41" spans="1:22" ht="13.15" outlineLevel="2">
      <c r="A41" s="22"/>
      <c r="B41" s="22"/>
      <c r="C41" s="22"/>
      <c r="D41" s="25" t="s">
        <v>32</v>
      </c>
      <c r="E41" s="7">
        <v>0</v>
      </c>
      <c r="F41" s="43">
        <v>100000</v>
      </c>
      <c r="G41" s="43">
        <v>100000</v>
      </c>
      <c r="H41" s="43">
        <v>100000</v>
      </c>
      <c r="I41" s="34">
        <f t="shared" si="23"/>
        <v>300000</v>
      </c>
      <c r="J41" s="43">
        <v>100000</v>
      </c>
      <c r="K41" s="43">
        <v>100000</v>
      </c>
      <c r="L41" s="43">
        <v>100000</v>
      </c>
      <c r="M41" s="34">
        <f t="shared" si="24"/>
        <v>300000</v>
      </c>
      <c r="N41" s="43">
        <v>100000</v>
      </c>
      <c r="O41" s="43">
        <v>100000</v>
      </c>
      <c r="P41" s="43">
        <v>100000</v>
      </c>
      <c r="Q41" s="34">
        <f t="shared" si="25"/>
        <v>300000</v>
      </c>
      <c r="R41" s="43">
        <v>100000</v>
      </c>
      <c r="S41" s="43">
        <v>100000</v>
      </c>
      <c r="T41" s="43">
        <v>100000</v>
      </c>
      <c r="U41" s="34">
        <f t="shared" si="26"/>
        <v>300000</v>
      </c>
      <c r="V41" s="34">
        <f t="shared" si="27"/>
        <v>1200000</v>
      </c>
    </row>
    <row r="42" spans="1:22" ht="13.15" outlineLevel="2">
      <c r="A42" s="22"/>
      <c r="B42" s="22"/>
      <c r="C42" s="22"/>
      <c r="D42" s="25" t="s">
        <v>98</v>
      </c>
      <c r="E42" s="7">
        <v>0</v>
      </c>
      <c r="F42" s="43">
        <v>54000</v>
      </c>
      <c r="G42" s="43">
        <v>54000</v>
      </c>
      <c r="H42" s="43">
        <v>54000</v>
      </c>
      <c r="I42" s="34">
        <f t="shared" si="23"/>
        <v>162000</v>
      </c>
      <c r="J42" s="43">
        <v>54000</v>
      </c>
      <c r="K42" s="43">
        <v>54000</v>
      </c>
      <c r="L42" s="43">
        <v>54000</v>
      </c>
      <c r="M42" s="34">
        <f t="shared" si="24"/>
        <v>162000</v>
      </c>
      <c r="N42" s="43">
        <v>54000</v>
      </c>
      <c r="O42" s="43">
        <v>54000</v>
      </c>
      <c r="P42" s="43">
        <v>54000</v>
      </c>
      <c r="Q42" s="34">
        <f t="shared" si="25"/>
        <v>162000</v>
      </c>
      <c r="R42" s="43">
        <v>54000</v>
      </c>
      <c r="S42" s="43">
        <v>54000</v>
      </c>
      <c r="T42" s="43">
        <v>54000</v>
      </c>
      <c r="U42" s="34">
        <f t="shared" si="26"/>
        <v>162000</v>
      </c>
      <c r="V42" s="34">
        <f t="shared" si="27"/>
        <v>648000</v>
      </c>
    </row>
    <row r="43" spans="1:22" ht="13.15" outlineLevel="2">
      <c r="A43" s="22"/>
      <c r="B43" s="22"/>
      <c r="C43" s="22"/>
      <c r="D43" s="25" t="s">
        <v>56</v>
      </c>
      <c r="E43" s="7">
        <v>0</v>
      </c>
      <c r="F43" s="43">
        <v>15000</v>
      </c>
      <c r="G43" s="43">
        <v>15000</v>
      </c>
      <c r="H43" s="43">
        <v>15000</v>
      </c>
      <c r="I43" s="34">
        <f t="shared" si="23"/>
        <v>45000</v>
      </c>
      <c r="J43" s="43">
        <v>15000</v>
      </c>
      <c r="K43" s="43">
        <v>15000</v>
      </c>
      <c r="L43" s="43">
        <v>15000</v>
      </c>
      <c r="M43" s="34">
        <f t="shared" si="24"/>
        <v>45000</v>
      </c>
      <c r="N43" s="43">
        <v>15000</v>
      </c>
      <c r="O43" s="43">
        <v>15000</v>
      </c>
      <c r="P43" s="43">
        <v>15000</v>
      </c>
      <c r="Q43" s="34">
        <f t="shared" si="25"/>
        <v>45000</v>
      </c>
      <c r="R43" s="43">
        <v>15000</v>
      </c>
      <c r="S43" s="43">
        <v>15000</v>
      </c>
      <c r="T43" s="43">
        <v>15000</v>
      </c>
      <c r="U43" s="34">
        <f t="shared" si="26"/>
        <v>45000</v>
      </c>
      <c r="V43" s="34">
        <f t="shared" si="27"/>
        <v>180000</v>
      </c>
    </row>
    <row r="44" spans="1:22" ht="13.15" outlineLevel="2">
      <c r="A44" s="22"/>
      <c r="B44" s="22"/>
      <c r="C44" s="22"/>
      <c r="D44" s="25" t="s">
        <v>57</v>
      </c>
      <c r="F44" s="43">
        <v>40000</v>
      </c>
      <c r="G44" s="43">
        <v>150000</v>
      </c>
      <c r="H44" s="43">
        <v>150000</v>
      </c>
      <c r="I44" s="34">
        <f t="shared" si="23"/>
        <v>340000</v>
      </c>
      <c r="J44" s="43">
        <v>150000</v>
      </c>
      <c r="K44" s="43">
        <v>150000</v>
      </c>
      <c r="L44" s="43">
        <v>150000</v>
      </c>
      <c r="M44" s="34">
        <f t="shared" si="24"/>
        <v>450000</v>
      </c>
      <c r="N44" s="43">
        <v>150000</v>
      </c>
      <c r="O44" s="43">
        <v>150000</v>
      </c>
      <c r="P44" s="43">
        <v>150000</v>
      </c>
      <c r="Q44" s="34">
        <f t="shared" si="25"/>
        <v>450000</v>
      </c>
      <c r="R44" s="43">
        <v>150000</v>
      </c>
      <c r="S44" s="43">
        <v>150000</v>
      </c>
      <c r="T44" s="43">
        <v>150000</v>
      </c>
      <c r="U44" s="34">
        <f t="shared" si="26"/>
        <v>450000</v>
      </c>
      <c r="V44" s="34">
        <f t="shared" si="27"/>
        <v>1690000</v>
      </c>
    </row>
    <row r="45" spans="1:22" ht="13.15" outlineLevel="2">
      <c r="A45" s="22"/>
      <c r="B45" s="22"/>
      <c r="C45" s="22"/>
      <c r="D45" s="25" t="s">
        <v>54</v>
      </c>
      <c r="E45" s="7">
        <v>0</v>
      </c>
      <c r="F45" s="43"/>
      <c r="G45" s="43"/>
      <c r="H45" s="43"/>
      <c r="I45" s="34">
        <f t="shared" si="23"/>
        <v>0</v>
      </c>
      <c r="J45" s="43"/>
      <c r="K45" s="43"/>
      <c r="L45" s="43"/>
      <c r="M45" s="34">
        <f t="shared" si="24"/>
        <v>0</v>
      </c>
      <c r="N45" s="43"/>
      <c r="O45" s="43"/>
      <c r="P45" s="43"/>
      <c r="Q45" s="34">
        <f t="shared" si="25"/>
        <v>0</v>
      </c>
      <c r="R45" s="43"/>
      <c r="S45" s="43"/>
      <c r="T45" s="43"/>
      <c r="U45" s="34">
        <f t="shared" si="26"/>
        <v>0</v>
      </c>
      <c r="V45" s="34">
        <f t="shared" si="27"/>
        <v>0</v>
      </c>
    </row>
    <row r="46" spans="1:22" ht="13.15" outlineLevel="2">
      <c r="A46" s="22"/>
      <c r="B46" s="22"/>
      <c r="C46" s="22"/>
      <c r="D46" s="25" t="s">
        <v>34</v>
      </c>
      <c r="E46" s="7">
        <v>0</v>
      </c>
      <c r="F46" s="43"/>
      <c r="G46" s="43"/>
      <c r="H46" s="43"/>
      <c r="I46" s="34">
        <f t="shared" si="23"/>
        <v>0</v>
      </c>
      <c r="J46" s="43"/>
      <c r="K46" s="43"/>
      <c r="L46" s="43"/>
      <c r="M46" s="34">
        <f t="shared" si="24"/>
        <v>0</v>
      </c>
      <c r="N46" s="43"/>
      <c r="O46" s="43"/>
      <c r="P46" s="43"/>
      <c r="Q46" s="34">
        <f t="shared" si="25"/>
        <v>0</v>
      </c>
      <c r="R46" s="43"/>
      <c r="S46" s="43"/>
      <c r="T46" s="43"/>
      <c r="U46" s="34">
        <f t="shared" si="26"/>
        <v>0</v>
      </c>
      <c r="V46" s="34">
        <f t="shared" si="27"/>
        <v>0</v>
      </c>
    </row>
    <row r="47" spans="1:22" ht="13.15" outlineLevel="2">
      <c r="A47" s="22"/>
      <c r="B47" s="22"/>
      <c r="C47" s="22"/>
      <c r="D47" s="25" t="s">
        <v>65</v>
      </c>
      <c r="E47" s="7">
        <v>0</v>
      </c>
      <c r="F47" s="43"/>
      <c r="G47" s="43"/>
      <c r="H47" s="43"/>
      <c r="I47" s="34">
        <f t="shared" si="23"/>
        <v>0</v>
      </c>
      <c r="J47" s="43"/>
      <c r="K47" s="43"/>
      <c r="L47" s="43"/>
      <c r="M47" s="34">
        <f t="shared" si="24"/>
        <v>0</v>
      </c>
      <c r="N47" s="43"/>
      <c r="O47" s="43"/>
      <c r="P47" s="43"/>
      <c r="Q47" s="34">
        <f t="shared" si="25"/>
        <v>0</v>
      </c>
      <c r="R47" s="43"/>
      <c r="S47" s="43"/>
      <c r="T47" s="43"/>
      <c r="U47" s="34">
        <f t="shared" si="26"/>
        <v>0</v>
      </c>
      <c r="V47" s="34">
        <f t="shared" si="27"/>
        <v>0</v>
      </c>
    </row>
    <row r="48" spans="1:22" ht="13.15" outlineLevel="2">
      <c r="A48" s="22"/>
      <c r="B48" s="22"/>
      <c r="C48" s="22"/>
      <c r="D48" s="25" t="s">
        <v>64</v>
      </c>
      <c r="E48" s="7">
        <v>0</v>
      </c>
      <c r="F48" s="43"/>
      <c r="G48" s="43"/>
      <c r="H48" s="43"/>
      <c r="I48" s="34">
        <f t="shared" si="23"/>
        <v>0</v>
      </c>
      <c r="J48" s="43"/>
      <c r="K48" s="43"/>
      <c r="L48" s="43"/>
      <c r="M48" s="34">
        <f t="shared" si="24"/>
        <v>0</v>
      </c>
      <c r="N48" s="43"/>
      <c r="O48" s="43"/>
      <c r="P48" s="43"/>
      <c r="Q48" s="34">
        <f t="shared" si="25"/>
        <v>0</v>
      </c>
      <c r="R48" s="43"/>
      <c r="S48" s="43"/>
      <c r="T48" s="43"/>
      <c r="U48" s="34">
        <f t="shared" si="26"/>
        <v>0</v>
      </c>
      <c r="V48" s="34">
        <f t="shared" si="27"/>
        <v>0</v>
      </c>
    </row>
    <row r="49" spans="1:22" ht="13.15" outlineLevel="2">
      <c r="A49" s="22"/>
      <c r="B49" s="22"/>
      <c r="C49" s="22"/>
      <c r="D49" s="25" t="s">
        <v>112</v>
      </c>
      <c r="F49" s="43">
        <v>65000</v>
      </c>
      <c r="G49" s="43">
        <v>65000</v>
      </c>
      <c r="H49" s="43">
        <v>65000</v>
      </c>
      <c r="I49" s="34">
        <f t="shared" si="23"/>
        <v>195000</v>
      </c>
      <c r="J49" s="43">
        <v>65000</v>
      </c>
      <c r="K49" s="43">
        <v>65000</v>
      </c>
      <c r="L49" s="43">
        <v>65000</v>
      </c>
      <c r="M49" s="34">
        <f t="shared" si="24"/>
        <v>195000</v>
      </c>
      <c r="N49" s="43">
        <v>65000</v>
      </c>
      <c r="O49" s="43">
        <v>65000</v>
      </c>
      <c r="P49" s="43">
        <v>65000</v>
      </c>
      <c r="Q49" s="34">
        <f t="shared" si="25"/>
        <v>195000</v>
      </c>
      <c r="R49" s="43">
        <v>65000</v>
      </c>
      <c r="S49" s="43">
        <v>65000</v>
      </c>
      <c r="T49" s="43">
        <v>65000</v>
      </c>
      <c r="U49" s="34">
        <f t="shared" si="26"/>
        <v>195000</v>
      </c>
      <c r="V49" s="34">
        <f t="shared" si="27"/>
        <v>780000</v>
      </c>
    </row>
    <row r="50" spans="1:22" ht="13.15" outlineLevel="2">
      <c r="A50" s="22"/>
      <c r="B50" s="22"/>
      <c r="C50" s="22"/>
      <c r="D50" s="25" t="s">
        <v>119</v>
      </c>
      <c r="F50" s="43"/>
      <c r="G50" s="43"/>
      <c r="H50" s="43"/>
      <c r="I50" s="34">
        <f t="shared" si="23"/>
        <v>0</v>
      </c>
      <c r="J50" s="43"/>
      <c r="K50" s="43"/>
      <c r="L50" s="43"/>
      <c r="M50" s="34">
        <f t="shared" si="24"/>
        <v>0</v>
      </c>
      <c r="N50" s="43"/>
      <c r="O50" s="43"/>
      <c r="P50" s="43"/>
      <c r="Q50" s="34">
        <f t="shared" si="25"/>
        <v>0</v>
      </c>
      <c r="R50" s="43"/>
      <c r="S50" s="43"/>
      <c r="T50" s="43"/>
      <c r="U50" s="34">
        <f t="shared" si="26"/>
        <v>0</v>
      </c>
      <c r="V50" s="34">
        <f t="shared" si="27"/>
        <v>0</v>
      </c>
    </row>
    <row r="51" spans="1:22" ht="13.15" outlineLevel="1">
      <c r="A51" s="24"/>
      <c r="B51" s="24" t="s">
        <v>1</v>
      </c>
      <c r="C51" s="24"/>
      <c r="D51" s="24"/>
      <c r="E51" s="8"/>
      <c r="F51" s="44">
        <f t="shared" ref="F51:G51" si="28">SUM(F39:F50)</f>
        <v>874000</v>
      </c>
      <c r="G51" s="44">
        <f t="shared" si="28"/>
        <v>984000</v>
      </c>
      <c r="H51" s="44">
        <f t="shared" ref="H51" si="29">SUM(H39:H50)</f>
        <v>984000</v>
      </c>
      <c r="I51" s="35">
        <f>SUM(I39:I50)</f>
        <v>2842000</v>
      </c>
      <c r="J51" s="44">
        <f t="shared" ref="J51:L51" si="30">SUM(J39:J50)</f>
        <v>984000</v>
      </c>
      <c r="K51" s="44">
        <f t="shared" si="30"/>
        <v>984000</v>
      </c>
      <c r="L51" s="44">
        <f t="shared" si="30"/>
        <v>984000</v>
      </c>
      <c r="M51" s="35">
        <f>SUM(M39:M50)</f>
        <v>2952000</v>
      </c>
      <c r="N51" s="44">
        <f t="shared" ref="N51:P51" si="31">SUM(N39:N50)</f>
        <v>984000</v>
      </c>
      <c r="O51" s="44">
        <f t="shared" si="31"/>
        <v>984000</v>
      </c>
      <c r="P51" s="44">
        <f t="shared" si="31"/>
        <v>984000</v>
      </c>
      <c r="Q51" s="35">
        <f>SUM(Q39:Q50)</f>
        <v>2952000</v>
      </c>
      <c r="R51" s="44">
        <f t="shared" ref="R51:T51" si="32">SUM(R39:R50)</f>
        <v>984000</v>
      </c>
      <c r="S51" s="44">
        <f t="shared" si="32"/>
        <v>984000</v>
      </c>
      <c r="T51" s="44">
        <f t="shared" si="32"/>
        <v>984000</v>
      </c>
      <c r="U51" s="35">
        <f t="shared" ref="U51" si="33">SUM(U39:U50)</f>
        <v>2952000</v>
      </c>
      <c r="V51" s="35">
        <f t="shared" si="27"/>
        <v>11698000</v>
      </c>
    </row>
    <row r="52" spans="1:22" ht="13.15" outlineLevel="1">
      <c r="A52" s="24"/>
      <c r="B52" s="24" t="s">
        <v>2</v>
      </c>
      <c r="C52" s="24"/>
      <c r="D52" s="24"/>
      <c r="E52" s="8"/>
      <c r="F52" s="44">
        <f>F37+F51</f>
        <v>11874000</v>
      </c>
      <c r="G52" s="44">
        <f>G37+G51</f>
        <v>11984000</v>
      </c>
      <c r="H52" s="44">
        <f>H37+H51</f>
        <v>11984000</v>
      </c>
      <c r="I52" s="35">
        <f>I51+I37</f>
        <v>35842000</v>
      </c>
      <c r="J52" s="44">
        <f>J37+J51</f>
        <v>11984000</v>
      </c>
      <c r="K52" s="44">
        <f>K37+K51</f>
        <v>11984000</v>
      </c>
      <c r="L52" s="44">
        <f>L37+L51</f>
        <v>11984000</v>
      </c>
      <c r="M52" s="35">
        <f>M51+M37</f>
        <v>35952000</v>
      </c>
      <c r="N52" s="44">
        <f>N37+N51</f>
        <v>11984000</v>
      </c>
      <c r="O52" s="44">
        <f>O37+O51</f>
        <v>11984000</v>
      </c>
      <c r="P52" s="44">
        <f>P37+P51</f>
        <v>11984000</v>
      </c>
      <c r="Q52" s="35">
        <f>Q51+Q37</f>
        <v>35952000</v>
      </c>
      <c r="R52" s="44">
        <f>R37+R51</f>
        <v>11984000</v>
      </c>
      <c r="S52" s="44">
        <f>S37+S51</f>
        <v>11984000</v>
      </c>
      <c r="T52" s="44">
        <f>T37+T51</f>
        <v>11984000</v>
      </c>
      <c r="U52" s="35">
        <f>U51+U37</f>
        <v>35952000</v>
      </c>
      <c r="V52" s="35">
        <f t="shared" si="27"/>
        <v>143698000</v>
      </c>
    </row>
    <row r="53" spans="1:22" s="4" customFormat="1" ht="13.15" outlineLevel="1">
      <c r="A53" s="24"/>
      <c r="B53" s="24" t="s">
        <v>3</v>
      </c>
      <c r="C53" s="24"/>
      <c r="D53" s="24"/>
      <c r="E53" s="8">
        <v>0</v>
      </c>
      <c r="F53" s="44">
        <v>0</v>
      </c>
      <c r="G53" s="44">
        <v>0</v>
      </c>
      <c r="H53" s="44">
        <v>0</v>
      </c>
      <c r="I53" s="35">
        <v>0</v>
      </c>
      <c r="J53" s="44">
        <v>0</v>
      </c>
      <c r="K53" s="44">
        <v>0</v>
      </c>
      <c r="L53" s="44">
        <v>0</v>
      </c>
      <c r="M53" s="35">
        <v>0</v>
      </c>
      <c r="N53" s="44">
        <v>0</v>
      </c>
      <c r="O53" s="44">
        <v>0</v>
      </c>
      <c r="P53" s="44">
        <v>0</v>
      </c>
      <c r="Q53" s="35">
        <v>0</v>
      </c>
      <c r="R53" s="44">
        <v>0</v>
      </c>
      <c r="S53" s="44">
        <v>0</v>
      </c>
      <c r="T53" s="44">
        <v>0</v>
      </c>
      <c r="U53" s="35">
        <v>0</v>
      </c>
      <c r="V53" s="35">
        <f t="shared" si="27"/>
        <v>0</v>
      </c>
    </row>
    <row r="54" spans="1:22" ht="13.15" outlineLevel="2">
      <c r="A54" s="22"/>
      <c r="B54" s="23" t="s">
        <v>39</v>
      </c>
      <c r="C54" s="22"/>
      <c r="D54" s="22"/>
      <c r="F54" s="43"/>
      <c r="G54" s="43"/>
      <c r="H54" s="43"/>
      <c r="I54" s="34"/>
      <c r="J54" s="43"/>
      <c r="K54" s="43"/>
      <c r="L54" s="43"/>
      <c r="M54" s="34"/>
      <c r="N54" s="43"/>
      <c r="O54" s="43"/>
      <c r="P54" s="43"/>
      <c r="Q54" s="34"/>
      <c r="R54" s="43"/>
      <c r="S54" s="43"/>
      <c r="T54" s="43"/>
      <c r="U54" s="34"/>
      <c r="V54" s="34"/>
    </row>
    <row r="55" spans="1:22" ht="13.15" outlineLevel="2">
      <c r="A55" s="22"/>
      <c r="B55" s="22"/>
      <c r="C55" s="25" t="s">
        <v>58</v>
      </c>
      <c r="D55" s="22"/>
      <c r="E55" s="7">
        <v>0</v>
      </c>
      <c r="F55" s="43"/>
      <c r="G55" s="43"/>
      <c r="H55" s="43"/>
      <c r="I55" s="34">
        <f t="shared" ref="I55:I65" si="34">SUM(F55:H55)</f>
        <v>0</v>
      </c>
      <c r="J55" s="43"/>
      <c r="K55" s="43"/>
      <c r="L55" s="43"/>
      <c r="M55" s="34">
        <f t="shared" ref="M55:M65" si="35">SUM(J55:L55)</f>
        <v>0</v>
      </c>
      <c r="N55" s="43"/>
      <c r="O55" s="43"/>
      <c r="P55" s="43"/>
      <c r="Q55" s="34">
        <f t="shared" ref="Q55:Q65" si="36">SUM(N55:P55)</f>
        <v>0</v>
      </c>
      <c r="R55" s="43"/>
      <c r="S55" s="43"/>
      <c r="T55" s="43"/>
      <c r="U55" s="34">
        <f t="shared" ref="U55:U65" si="37">SUM(R55:T55)</f>
        <v>0</v>
      </c>
      <c r="V55" s="34">
        <f t="shared" ref="V55:V66" si="38">I55+M55+Q55+U55</f>
        <v>0</v>
      </c>
    </row>
    <row r="56" spans="1:22" ht="13.15" outlineLevel="2">
      <c r="A56" s="22"/>
      <c r="B56" s="22"/>
      <c r="C56" s="25" t="s">
        <v>59</v>
      </c>
      <c r="D56" s="22"/>
      <c r="F56" s="43">
        <v>96000</v>
      </c>
      <c r="G56" s="43">
        <v>96000</v>
      </c>
      <c r="H56" s="43">
        <v>96000</v>
      </c>
      <c r="I56" s="34">
        <f t="shared" si="34"/>
        <v>288000</v>
      </c>
      <c r="J56" s="43">
        <v>96000</v>
      </c>
      <c r="K56" s="43">
        <v>96000</v>
      </c>
      <c r="L56" s="43">
        <v>96000</v>
      </c>
      <c r="M56" s="34">
        <f t="shared" si="35"/>
        <v>288000</v>
      </c>
      <c r="N56" s="43">
        <v>96000</v>
      </c>
      <c r="O56" s="43">
        <v>96000</v>
      </c>
      <c r="P56" s="43">
        <v>96000</v>
      </c>
      <c r="Q56" s="34">
        <f t="shared" si="36"/>
        <v>288000</v>
      </c>
      <c r="R56" s="43">
        <v>96000</v>
      </c>
      <c r="S56" s="43">
        <v>96000</v>
      </c>
      <c r="T56" s="43">
        <v>96000</v>
      </c>
      <c r="U56" s="34">
        <f t="shared" si="37"/>
        <v>288000</v>
      </c>
      <c r="V56" s="34">
        <f t="shared" si="38"/>
        <v>1152000</v>
      </c>
    </row>
    <row r="57" spans="1:22" ht="13.15" outlineLevel="2">
      <c r="A57" s="22"/>
      <c r="B57" s="22"/>
      <c r="C57" s="25" t="s">
        <v>60</v>
      </c>
      <c r="D57" s="22"/>
      <c r="F57" s="43">
        <v>54000</v>
      </c>
      <c r="G57" s="43">
        <v>54000</v>
      </c>
      <c r="H57" s="43">
        <v>54000</v>
      </c>
      <c r="I57" s="34">
        <f t="shared" si="34"/>
        <v>162000</v>
      </c>
      <c r="J57" s="43">
        <v>54000</v>
      </c>
      <c r="K57" s="43">
        <v>54000</v>
      </c>
      <c r="L57" s="43">
        <v>54000</v>
      </c>
      <c r="M57" s="34">
        <f t="shared" si="35"/>
        <v>162000</v>
      </c>
      <c r="N57" s="43">
        <v>54000</v>
      </c>
      <c r="O57" s="43">
        <v>54000</v>
      </c>
      <c r="P57" s="43">
        <v>54000</v>
      </c>
      <c r="Q57" s="34">
        <f t="shared" si="36"/>
        <v>162000</v>
      </c>
      <c r="R57" s="43">
        <v>54000</v>
      </c>
      <c r="S57" s="43">
        <v>54000</v>
      </c>
      <c r="T57" s="43">
        <v>54000</v>
      </c>
      <c r="U57" s="34">
        <f t="shared" si="37"/>
        <v>162000</v>
      </c>
      <c r="V57" s="34">
        <f t="shared" si="38"/>
        <v>648000</v>
      </c>
    </row>
    <row r="58" spans="1:22" ht="13.15" outlineLevel="2">
      <c r="A58" s="22"/>
      <c r="B58" s="22"/>
      <c r="C58" s="25" t="s">
        <v>61</v>
      </c>
      <c r="D58" s="22"/>
      <c r="F58" s="43">
        <v>233000</v>
      </c>
      <c r="G58" s="43">
        <v>233000</v>
      </c>
      <c r="H58" s="43">
        <v>233000</v>
      </c>
      <c r="I58" s="34">
        <f t="shared" si="34"/>
        <v>699000</v>
      </c>
      <c r="J58" s="43">
        <v>233000</v>
      </c>
      <c r="K58" s="43">
        <v>233000</v>
      </c>
      <c r="L58" s="43">
        <v>233000</v>
      </c>
      <c r="M58" s="34">
        <f t="shared" si="35"/>
        <v>699000</v>
      </c>
      <c r="N58" s="43">
        <v>233000</v>
      </c>
      <c r="O58" s="43">
        <v>233000</v>
      </c>
      <c r="P58" s="43">
        <v>233000</v>
      </c>
      <c r="Q58" s="34">
        <f t="shared" si="36"/>
        <v>699000</v>
      </c>
      <c r="R58" s="43">
        <v>233000</v>
      </c>
      <c r="S58" s="43">
        <v>233000</v>
      </c>
      <c r="T58" s="43">
        <v>233000</v>
      </c>
      <c r="U58" s="34">
        <f t="shared" si="37"/>
        <v>699000</v>
      </c>
      <c r="V58" s="34">
        <f t="shared" si="38"/>
        <v>2796000</v>
      </c>
    </row>
    <row r="59" spans="1:22" ht="13.15" outlineLevel="2">
      <c r="A59" s="22"/>
      <c r="B59" s="22"/>
      <c r="C59" s="25" t="s">
        <v>62</v>
      </c>
      <c r="D59" s="22"/>
      <c r="F59" s="43">
        <v>71000</v>
      </c>
      <c r="G59" s="43">
        <v>71000</v>
      </c>
      <c r="H59" s="43">
        <v>71000</v>
      </c>
      <c r="I59" s="34">
        <f t="shared" si="34"/>
        <v>213000</v>
      </c>
      <c r="J59" s="43">
        <v>71000</v>
      </c>
      <c r="K59" s="43">
        <v>71000</v>
      </c>
      <c r="L59" s="43">
        <v>71000</v>
      </c>
      <c r="M59" s="34">
        <f t="shared" si="35"/>
        <v>213000</v>
      </c>
      <c r="N59" s="43">
        <v>71000</v>
      </c>
      <c r="O59" s="43">
        <v>71000</v>
      </c>
      <c r="P59" s="43">
        <v>71000</v>
      </c>
      <c r="Q59" s="34">
        <f t="shared" si="36"/>
        <v>213000</v>
      </c>
      <c r="R59" s="43">
        <v>71000</v>
      </c>
      <c r="S59" s="43">
        <v>71000</v>
      </c>
      <c r="T59" s="43">
        <v>71000</v>
      </c>
      <c r="U59" s="34">
        <f t="shared" si="37"/>
        <v>213000</v>
      </c>
      <c r="V59" s="34">
        <f t="shared" si="38"/>
        <v>852000</v>
      </c>
    </row>
    <row r="60" spans="1:22" ht="13.15" outlineLevel="2">
      <c r="A60" s="22"/>
      <c r="B60" s="22"/>
      <c r="C60" s="25" t="s">
        <v>118</v>
      </c>
      <c r="D60" s="22"/>
      <c r="F60" s="43"/>
      <c r="G60" s="43"/>
      <c r="H60" s="43"/>
      <c r="I60" s="34">
        <f t="shared" si="34"/>
        <v>0</v>
      </c>
      <c r="J60" s="43"/>
      <c r="K60" s="43"/>
      <c r="L60" s="43"/>
      <c r="M60" s="34">
        <f t="shared" si="35"/>
        <v>0</v>
      </c>
      <c r="N60" s="43"/>
      <c r="O60" s="43"/>
      <c r="P60" s="43"/>
      <c r="Q60" s="34">
        <f t="shared" si="36"/>
        <v>0</v>
      </c>
      <c r="R60" s="43"/>
      <c r="S60" s="43"/>
      <c r="T60" s="43"/>
      <c r="U60" s="34">
        <f t="shared" si="37"/>
        <v>0</v>
      </c>
      <c r="V60" s="34">
        <f t="shared" si="38"/>
        <v>0</v>
      </c>
    </row>
    <row r="61" spans="1:22" ht="13.15" outlineLevel="2">
      <c r="A61" s="22"/>
      <c r="B61" s="22"/>
      <c r="C61" s="25" t="s">
        <v>157</v>
      </c>
      <c r="D61" s="22"/>
      <c r="F61" s="43"/>
      <c r="G61" s="43"/>
      <c r="H61" s="43"/>
      <c r="I61" s="34">
        <f t="shared" si="34"/>
        <v>0</v>
      </c>
      <c r="J61" s="43"/>
      <c r="K61" s="43"/>
      <c r="L61" s="43"/>
      <c r="M61" s="34">
        <f t="shared" si="35"/>
        <v>0</v>
      </c>
      <c r="N61" s="43"/>
      <c r="O61" s="43"/>
      <c r="P61" s="43"/>
      <c r="Q61" s="34">
        <f t="shared" si="36"/>
        <v>0</v>
      </c>
      <c r="R61" s="43"/>
      <c r="S61" s="43"/>
      <c r="T61" s="43"/>
      <c r="U61" s="34">
        <f t="shared" si="37"/>
        <v>0</v>
      </c>
      <c r="V61" s="34">
        <f t="shared" si="38"/>
        <v>0</v>
      </c>
    </row>
    <row r="62" spans="1:22" ht="13.15" outlineLevel="2">
      <c r="A62" s="22"/>
      <c r="B62" s="22"/>
      <c r="C62" s="25" t="s">
        <v>28</v>
      </c>
      <c r="D62" s="22"/>
      <c r="E62" s="7">
        <v>0</v>
      </c>
      <c r="F62" s="43"/>
      <c r="G62" s="43"/>
      <c r="H62" s="43"/>
      <c r="I62" s="34">
        <f t="shared" si="34"/>
        <v>0</v>
      </c>
      <c r="J62" s="43"/>
      <c r="K62" s="43"/>
      <c r="L62" s="43"/>
      <c r="M62" s="34">
        <f t="shared" si="35"/>
        <v>0</v>
      </c>
      <c r="N62" s="43"/>
      <c r="O62" s="43"/>
      <c r="P62" s="43"/>
      <c r="Q62" s="34">
        <f t="shared" si="36"/>
        <v>0</v>
      </c>
      <c r="R62" s="43"/>
      <c r="S62" s="43"/>
      <c r="T62" s="43"/>
      <c r="U62" s="34">
        <f t="shared" si="37"/>
        <v>0</v>
      </c>
      <c r="V62" s="34">
        <f t="shared" si="38"/>
        <v>0</v>
      </c>
    </row>
    <row r="63" spans="1:22" ht="13.15" outlineLevel="2">
      <c r="A63" s="22"/>
      <c r="B63" s="22"/>
      <c r="C63" s="25" t="s">
        <v>35</v>
      </c>
      <c r="D63" s="22"/>
      <c r="E63" s="7">
        <v>0</v>
      </c>
      <c r="F63" s="43"/>
      <c r="G63" s="43"/>
      <c r="H63" s="43"/>
      <c r="I63" s="34">
        <f t="shared" si="34"/>
        <v>0</v>
      </c>
      <c r="J63" s="43"/>
      <c r="K63" s="43"/>
      <c r="L63" s="43"/>
      <c r="M63" s="34">
        <f t="shared" si="35"/>
        <v>0</v>
      </c>
      <c r="N63" s="43"/>
      <c r="O63" s="43"/>
      <c r="P63" s="43"/>
      <c r="Q63" s="34">
        <f t="shared" si="36"/>
        <v>0</v>
      </c>
      <c r="R63" s="43"/>
      <c r="S63" s="43"/>
      <c r="T63" s="43"/>
      <c r="U63" s="34">
        <f t="shared" si="37"/>
        <v>0</v>
      </c>
      <c r="V63" s="34">
        <f t="shared" si="38"/>
        <v>0</v>
      </c>
    </row>
    <row r="64" spans="1:22" ht="13.15" outlineLevel="2">
      <c r="A64" s="22"/>
      <c r="B64" s="22"/>
      <c r="C64" s="25" t="s">
        <v>52</v>
      </c>
      <c r="D64" s="22"/>
      <c r="E64" s="7">
        <v>0</v>
      </c>
      <c r="F64" s="43">
        <v>47000</v>
      </c>
      <c r="G64" s="43">
        <v>50000</v>
      </c>
      <c r="H64" s="43">
        <v>50000</v>
      </c>
      <c r="I64" s="34">
        <f t="shared" si="34"/>
        <v>147000</v>
      </c>
      <c r="J64" s="43">
        <v>50000</v>
      </c>
      <c r="K64" s="43">
        <v>50000</v>
      </c>
      <c r="L64" s="43">
        <v>50000</v>
      </c>
      <c r="M64" s="34">
        <f t="shared" si="35"/>
        <v>150000</v>
      </c>
      <c r="N64" s="43">
        <v>50000</v>
      </c>
      <c r="O64" s="43">
        <v>50000</v>
      </c>
      <c r="P64" s="43">
        <v>50000</v>
      </c>
      <c r="Q64" s="34">
        <f t="shared" si="36"/>
        <v>150000</v>
      </c>
      <c r="R64" s="43">
        <v>50000</v>
      </c>
      <c r="S64" s="43">
        <v>50000</v>
      </c>
      <c r="T64" s="43">
        <v>50000</v>
      </c>
      <c r="U64" s="34">
        <f t="shared" si="37"/>
        <v>150000</v>
      </c>
      <c r="V64" s="34">
        <f t="shared" si="38"/>
        <v>597000</v>
      </c>
    </row>
    <row r="65" spans="1:22" ht="13.15" outlineLevel="2">
      <c r="A65" s="22"/>
      <c r="B65" s="22"/>
      <c r="C65" s="25" t="s">
        <v>36</v>
      </c>
      <c r="D65" s="22"/>
      <c r="E65" s="7">
        <v>0</v>
      </c>
      <c r="F65" s="43">
        <v>253000</v>
      </c>
      <c r="G65" s="43">
        <v>200000</v>
      </c>
      <c r="H65" s="43">
        <v>200000</v>
      </c>
      <c r="I65" s="34">
        <f t="shared" si="34"/>
        <v>653000</v>
      </c>
      <c r="J65" s="43">
        <v>200000</v>
      </c>
      <c r="K65" s="43">
        <v>200000</v>
      </c>
      <c r="L65" s="43">
        <v>200000</v>
      </c>
      <c r="M65" s="34">
        <f t="shared" si="35"/>
        <v>600000</v>
      </c>
      <c r="N65" s="43">
        <v>200000</v>
      </c>
      <c r="O65" s="43">
        <v>200000</v>
      </c>
      <c r="P65" s="43">
        <v>200000</v>
      </c>
      <c r="Q65" s="34">
        <f t="shared" si="36"/>
        <v>600000</v>
      </c>
      <c r="R65" s="43">
        <v>200000</v>
      </c>
      <c r="S65" s="43">
        <v>200000</v>
      </c>
      <c r="T65" s="43">
        <v>200000</v>
      </c>
      <c r="U65" s="34">
        <f t="shared" si="37"/>
        <v>600000</v>
      </c>
      <c r="V65" s="34">
        <f t="shared" si="38"/>
        <v>2453000</v>
      </c>
    </row>
    <row r="66" spans="1:22" ht="13.15" outlineLevel="1">
      <c r="A66" s="24"/>
      <c r="B66" s="24" t="s">
        <v>4</v>
      </c>
      <c r="C66" s="24"/>
      <c r="D66" s="24"/>
      <c r="E66" s="8"/>
      <c r="F66" s="44">
        <f t="shared" ref="F66:G66" si="39">SUM(F55:F65)</f>
        <v>754000</v>
      </c>
      <c r="G66" s="44">
        <f t="shared" si="39"/>
        <v>704000</v>
      </c>
      <c r="H66" s="44">
        <f t="shared" ref="H66" si="40">SUM(H55:H65)</f>
        <v>704000</v>
      </c>
      <c r="I66" s="35">
        <f>SUM(I55:I65)</f>
        <v>2162000</v>
      </c>
      <c r="J66" s="44">
        <f t="shared" ref="J66:L66" si="41">SUM(J55:J65)</f>
        <v>704000</v>
      </c>
      <c r="K66" s="44">
        <f t="shared" si="41"/>
        <v>704000</v>
      </c>
      <c r="L66" s="44">
        <f t="shared" si="41"/>
        <v>704000</v>
      </c>
      <c r="M66" s="35">
        <f>SUM(M55:M65)</f>
        <v>2112000</v>
      </c>
      <c r="N66" s="44">
        <f t="shared" ref="N66:P66" si="42">SUM(N55:N65)</f>
        <v>704000</v>
      </c>
      <c r="O66" s="44">
        <f t="shared" si="42"/>
        <v>704000</v>
      </c>
      <c r="P66" s="44">
        <f t="shared" si="42"/>
        <v>704000</v>
      </c>
      <c r="Q66" s="35">
        <f>SUM(Q55:Q65)</f>
        <v>2112000</v>
      </c>
      <c r="R66" s="44">
        <f t="shared" ref="R66:T66" si="43">SUM(R55:R65)</f>
        <v>704000</v>
      </c>
      <c r="S66" s="44">
        <f t="shared" si="43"/>
        <v>704000</v>
      </c>
      <c r="T66" s="44">
        <f t="shared" si="43"/>
        <v>704000</v>
      </c>
      <c r="U66" s="35">
        <f t="shared" ref="U66" si="44">SUM(U55:U65)</f>
        <v>2112000</v>
      </c>
      <c r="V66" s="35">
        <f t="shared" si="38"/>
        <v>8498000</v>
      </c>
    </row>
    <row r="67" spans="1:22" ht="13.15" outlineLevel="2">
      <c r="A67" s="24"/>
      <c r="B67" s="26" t="s">
        <v>5</v>
      </c>
      <c r="C67" s="27"/>
      <c r="D67" s="27"/>
      <c r="E67" s="9"/>
      <c r="F67" s="129"/>
      <c r="G67" s="129"/>
      <c r="H67" s="129"/>
      <c r="I67" s="36"/>
      <c r="J67" s="129"/>
      <c r="K67" s="129"/>
      <c r="L67" s="129"/>
      <c r="M67" s="36"/>
      <c r="N67" s="129"/>
      <c r="O67" s="129"/>
      <c r="P67" s="129"/>
      <c r="Q67" s="36"/>
      <c r="R67" s="129"/>
      <c r="S67" s="129"/>
      <c r="T67" s="129"/>
      <c r="U67" s="36"/>
      <c r="V67" s="35" t="s">
        <v>86</v>
      </c>
    </row>
    <row r="68" spans="1:22" ht="13.15" outlineLevel="2">
      <c r="A68" s="24"/>
      <c r="B68" s="27"/>
      <c r="C68" s="28" t="s">
        <v>47</v>
      </c>
      <c r="D68" s="27"/>
      <c r="E68" s="9">
        <v>0</v>
      </c>
      <c r="F68" s="43"/>
      <c r="G68" s="43"/>
      <c r="H68" s="43"/>
      <c r="I68" s="34">
        <f>SUM(F68:H68)</f>
        <v>0</v>
      </c>
      <c r="J68" s="43"/>
      <c r="K68" s="43"/>
      <c r="L68" s="43"/>
      <c r="M68" s="34">
        <f>SUM(J68:L68)</f>
        <v>0</v>
      </c>
      <c r="N68" s="43"/>
      <c r="O68" s="43"/>
      <c r="P68" s="43"/>
      <c r="Q68" s="34">
        <f>SUM(N68:P68)</f>
        <v>0</v>
      </c>
      <c r="R68" s="43"/>
      <c r="S68" s="43"/>
      <c r="T68" s="43"/>
      <c r="U68" s="34">
        <f>SUM(R68:T68)</f>
        <v>0</v>
      </c>
      <c r="V68" s="34">
        <f>I68+M68+Q68+U68</f>
        <v>0</v>
      </c>
    </row>
    <row r="69" spans="1:22" ht="13.15" outlineLevel="2">
      <c r="A69" s="24"/>
      <c r="B69" s="27"/>
      <c r="C69" s="28" t="s">
        <v>48</v>
      </c>
      <c r="D69" s="27"/>
      <c r="E69" s="9">
        <v>0</v>
      </c>
      <c r="F69" s="43"/>
      <c r="G69" s="43"/>
      <c r="H69" s="43"/>
      <c r="I69" s="34">
        <f>SUM(F69:H69)</f>
        <v>0</v>
      </c>
      <c r="J69" s="43"/>
      <c r="K69" s="43"/>
      <c r="L69" s="43"/>
      <c r="M69" s="34">
        <f>SUM(J69:L69)</f>
        <v>0</v>
      </c>
      <c r="N69" s="43"/>
      <c r="O69" s="43"/>
      <c r="P69" s="43"/>
      <c r="Q69" s="34">
        <f>SUM(N69:P69)</f>
        <v>0</v>
      </c>
      <c r="R69" s="43"/>
      <c r="S69" s="43"/>
      <c r="T69" s="43"/>
      <c r="U69" s="34">
        <f>SUM(R69:T69)</f>
        <v>0</v>
      </c>
      <c r="V69" s="34">
        <f>I69+M69+Q69+U69</f>
        <v>0</v>
      </c>
    </row>
    <row r="70" spans="1:22" ht="13.15" outlineLevel="2">
      <c r="A70" s="24"/>
      <c r="B70" s="27"/>
      <c r="C70" s="28" t="s">
        <v>26</v>
      </c>
      <c r="D70" s="27"/>
      <c r="E70" s="9">
        <v>0</v>
      </c>
      <c r="F70" s="43"/>
      <c r="G70" s="43"/>
      <c r="H70" s="43"/>
      <c r="I70" s="34">
        <f>SUM(F70:H70)</f>
        <v>0</v>
      </c>
      <c r="J70" s="43"/>
      <c r="K70" s="43"/>
      <c r="L70" s="43"/>
      <c r="M70" s="34">
        <f>SUM(J70:L70)</f>
        <v>0</v>
      </c>
      <c r="N70" s="43"/>
      <c r="O70" s="43"/>
      <c r="P70" s="43"/>
      <c r="Q70" s="34">
        <f>SUM(N70:P70)</f>
        <v>0</v>
      </c>
      <c r="R70" s="43"/>
      <c r="S70" s="43"/>
      <c r="T70" s="43"/>
      <c r="U70" s="34">
        <f>SUM(R70:T70)</f>
        <v>0</v>
      </c>
      <c r="V70" s="34">
        <f>I70+M70+Q70+U70</f>
        <v>0</v>
      </c>
    </row>
    <row r="71" spans="1:22" ht="13.15" outlineLevel="1">
      <c r="A71" s="24"/>
      <c r="B71" s="29" t="s">
        <v>6</v>
      </c>
      <c r="C71" s="30"/>
      <c r="D71" s="30"/>
      <c r="E71" s="10"/>
      <c r="F71" s="45">
        <f>SUM(F68:F70)</f>
        <v>0</v>
      </c>
      <c r="G71" s="45">
        <f>SUM(G68:G70)</f>
        <v>0</v>
      </c>
      <c r="H71" s="45">
        <f>SUM(H68:H70)</f>
        <v>0</v>
      </c>
      <c r="I71" s="35">
        <f t="shared" ref="I71:Q71" si="45">SUM(I68:I70)</f>
        <v>0</v>
      </c>
      <c r="J71" s="45">
        <f>SUM(J68:J70)</f>
        <v>0</v>
      </c>
      <c r="K71" s="45">
        <f>SUM(K68:K70)</f>
        <v>0</v>
      </c>
      <c r="L71" s="45">
        <f>SUM(L68:L70)</f>
        <v>0</v>
      </c>
      <c r="M71" s="35">
        <f t="shared" si="45"/>
        <v>0</v>
      </c>
      <c r="N71" s="45">
        <f>SUM(N68:N70)</f>
        <v>0</v>
      </c>
      <c r="O71" s="45">
        <f>SUM(O68:O70)</f>
        <v>0</v>
      </c>
      <c r="P71" s="45">
        <f>SUM(P68:P70)</f>
        <v>0</v>
      </c>
      <c r="Q71" s="35">
        <f t="shared" si="45"/>
        <v>0</v>
      </c>
      <c r="R71" s="45">
        <f>SUM(R68:R70)</f>
        <v>0</v>
      </c>
      <c r="S71" s="45">
        <f>SUM(S68:S70)</f>
        <v>0</v>
      </c>
      <c r="T71" s="45">
        <f>SUM(T68:T70)</f>
        <v>0</v>
      </c>
      <c r="U71" s="35">
        <f t="shared" ref="U71" si="46">SUM(U68:U70)</f>
        <v>0</v>
      </c>
      <c r="V71" s="35">
        <f>I71+M71+Q71+U71</f>
        <v>0</v>
      </c>
    </row>
    <row r="72" spans="1:22" ht="13.15" outlineLevel="2">
      <c r="A72" s="24"/>
      <c r="B72" s="26" t="s">
        <v>7</v>
      </c>
      <c r="C72" s="27"/>
      <c r="D72" s="27"/>
      <c r="E72" s="9"/>
      <c r="F72" s="129"/>
      <c r="G72" s="129"/>
      <c r="H72" s="129"/>
      <c r="I72" s="36"/>
      <c r="J72" s="129"/>
      <c r="K72" s="129"/>
      <c r="L72" s="129"/>
      <c r="M72" s="36"/>
      <c r="N72" s="129"/>
      <c r="O72" s="129"/>
      <c r="P72" s="129"/>
      <c r="Q72" s="36"/>
      <c r="R72" s="129"/>
      <c r="S72" s="129"/>
      <c r="T72" s="129"/>
      <c r="U72" s="36"/>
      <c r="V72" s="36"/>
    </row>
    <row r="73" spans="1:22" ht="13.15" outlineLevel="2">
      <c r="A73" s="24"/>
      <c r="B73" s="27"/>
      <c r="C73" s="28" t="s">
        <v>40</v>
      </c>
      <c r="D73" s="27"/>
      <c r="E73" s="9">
        <v>0</v>
      </c>
      <c r="F73" s="43"/>
      <c r="G73" s="43"/>
      <c r="H73" s="43"/>
      <c r="I73" s="34">
        <f>SUM(F73:H73)</f>
        <v>0</v>
      </c>
      <c r="J73" s="43"/>
      <c r="K73" s="43"/>
      <c r="L73" s="43"/>
      <c r="M73" s="34">
        <f>SUM(J73:L73)</f>
        <v>0</v>
      </c>
      <c r="N73" s="43"/>
      <c r="O73" s="43"/>
      <c r="P73" s="43"/>
      <c r="Q73" s="34">
        <f>SUM(N73:P73)</f>
        <v>0</v>
      </c>
      <c r="R73" s="43"/>
      <c r="S73" s="43"/>
      <c r="T73" s="43"/>
      <c r="U73" s="34">
        <f>SUM(R73:T73)</f>
        <v>0</v>
      </c>
      <c r="V73" s="34">
        <f>I73+M73+Q73+U73</f>
        <v>0</v>
      </c>
    </row>
    <row r="74" spans="1:22" ht="13.15" outlineLevel="2">
      <c r="A74" s="24"/>
      <c r="B74" s="27"/>
      <c r="C74" s="27" t="s">
        <v>8</v>
      </c>
      <c r="D74" s="27"/>
      <c r="E74" s="9">
        <v>0</v>
      </c>
      <c r="F74" s="43"/>
      <c r="G74" s="43"/>
      <c r="H74" s="43"/>
      <c r="I74" s="34">
        <f>SUM(F74:H74)</f>
        <v>0</v>
      </c>
      <c r="J74" s="43"/>
      <c r="K74" s="43"/>
      <c r="L74" s="43"/>
      <c r="M74" s="34">
        <f>SUM(J74:L74)</f>
        <v>0</v>
      </c>
      <c r="N74" s="43"/>
      <c r="O74" s="43"/>
      <c r="P74" s="43"/>
      <c r="Q74" s="34">
        <f>SUM(N74:P74)</f>
        <v>0</v>
      </c>
      <c r="R74" s="43"/>
      <c r="S74" s="43"/>
      <c r="T74" s="43"/>
      <c r="U74" s="34">
        <f>SUM(R74:T74)</f>
        <v>0</v>
      </c>
      <c r="V74" s="34">
        <f>I74+M74+Q74+U74</f>
        <v>0</v>
      </c>
    </row>
    <row r="75" spans="1:22" ht="13.15" outlineLevel="2">
      <c r="A75" s="24"/>
      <c r="B75" s="27"/>
      <c r="C75" s="27" t="s">
        <v>9</v>
      </c>
      <c r="D75" s="27"/>
      <c r="E75" s="9">
        <v>0</v>
      </c>
      <c r="F75" s="43"/>
      <c r="G75" s="43"/>
      <c r="H75" s="43"/>
      <c r="I75" s="34">
        <f>SUM(F75:H75)</f>
        <v>0</v>
      </c>
      <c r="J75" s="43"/>
      <c r="K75" s="43"/>
      <c r="L75" s="43"/>
      <c r="M75" s="34">
        <f>SUM(J75:L75)</f>
        <v>0</v>
      </c>
      <c r="N75" s="43"/>
      <c r="O75" s="43"/>
      <c r="P75" s="43"/>
      <c r="Q75" s="34">
        <f>SUM(N75:P75)</f>
        <v>0</v>
      </c>
      <c r="R75" s="43"/>
      <c r="S75" s="43"/>
      <c r="T75" s="43"/>
      <c r="U75" s="34">
        <f>SUM(R75:T75)</f>
        <v>0</v>
      </c>
      <c r="V75" s="34">
        <f>I75+M75+Q75+U75</f>
        <v>0</v>
      </c>
    </row>
    <row r="76" spans="1:22" ht="13.15" outlineLevel="1">
      <c r="A76" s="24"/>
      <c r="B76" s="29" t="s">
        <v>10</v>
      </c>
      <c r="C76" s="30"/>
      <c r="D76" s="30"/>
      <c r="E76" s="10"/>
      <c r="F76" s="45">
        <f t="shared" ref="F76" si="47">SUM(F73:F75)</f>
        <v>0</v>
      </c>
      <c r="G76" s="45">
        <f t="shared" ref="G76" si="48">SUM(G73:G75)</f>
        <v>0</v>
      </c>
      <c r="H76" s="45">
        <f t="shared" ref="H76" si="49">SUM(H73:H75)</f>
        <v>0</v>
      </c>
      <c r="I76" s="35">
        <f>SUM(I73:I75)</f>
        <v>0</v>
      </c>
      <c r="J76" s="45">
        <f t="shared" ref="J76:L76" si="50">SUM(J73:J75)</f>
        <v>0</v>
      </c>
      <c r="K76" s="45">
        <f t="shared" si="50"/>
        <v>0</v>
      </c>
      <c r="L76" s="45">
        <f t="shared" si="50"/>
        <v>0</v>
      </c>
      <c r="M76" s="35">
        <f>SUM(M73:M75)</f>
        <v>0</v>
      </c>
      <c r="N76" s="45">
        <f t="shared" ref="N76:P76" si="51">SUM(N73:N75)</f>
        <v>0</v>
      </c>
      <c r="O76" s="45">
        <f t="shared" si="51"/>
        <v>0</v>
      </c>
      <c r="P76" s="45">
        <f t="shared" si="51"/>
        <v>0</v>
      </c>
      <c r="Q76" s="35">
        <f>SUM(Q73:Q75)</f>
        <v>0</v>
      </c>
      <c r="R76" s="45">
        <f t="shared" ref="R76:T76" si="52">SUM(R73:R75)</f>
        <v>0</v>
      </c>
      <c r="S76" s="45">
        <f t="shared" si="52"/>
        <v>0</v>
      </c>
      <c r="T76" s="45">
        <f t="shared" si="52"/>
        <v>0</v>
      </c>
      <c r="U76" s="35">
        <f t="shared" ref="U76" si="53">SUM(U73:U75)</f>
        <v>0</v>
      </c>
      <c r="V76" s="35">
        <f>I76+M76+Q76+U76</f>
        <v>0</v>
      </c>
    </row>
    <row r="77" spans="1:22" ht="13.15">
      <c r="A77" s="31"/>
      <c r="B77" s="32"/>
      <c r="C77" s="31"/>
      <c r="D77" s="32" t="s">
        <v>11</v>
      </c>
      <c r="E77" s="9"/>
      <c r="F77" s="139">
        <f>F52+F53+F66+F71+F76</f>
        <v>12628000</v>
      </c>
      <c r="G77" s="139">
        <f>G52+G53+G66+G71+G76</f>
        <v>12688000</v>
      </c>
      <c r="H77" s="139">
        <f>H52+H53+H66+H71+H76</f>
        <v>12688000</v>
      </c>
      <c r="I77" s="139">
        <f>I76+I71+I66+I53+I52</f>
        <v>38004000</v>
      </c>
      <c r="J77" s="139">
        <f>J52+J53+J66+J71+J76</f>
        <v>12688000</v>
      </c>
      <c r="K77" s="139">
        <f>K52+K53+K66+K71+K76</f>
        <v>12688000</v>
      </c>
      <c r="L77" s="139">
        <f>L52+L53+L66+L71+L76</f>
        <v>12688000</v>
      </c>
      <c r="M77" s="139">
        <f>M76+M71+M66+M53+M52</f>
        <v>38064000</v>
      </c>
      <c r="N77" s="139">
        <f>N52+N53+N66+N71+N76</f>
        <v>12688000</v>
      </c>
      <c r="O77" s="139">
        <f>O52+O53+O66+O71+O76</f>
        <v>12688000</v>
      </c>
      <c r="P77" s="139">
        <f>P52+P53+P66+P71+P76</f>
        <v>12688000</v>
      </c>
      <c r="Q77" s="139">
        <f>Q76+Q71+Q66+Q53+Q52</f>
        <v>38064000</v>
      </c>
      <c r="R77" s="139">
        <f>R52+R53+R66+R71+R76</f>
        <v>12688000</v>
      </c>
      <c r="S77" s="139">
        <f>S52+S53+S66+S71+S76</f>
        <v>12688000</v>
      </c>
      <c r="T77" s="139">
        <f>T52+T53+T66+T71+T76</f>
        <v>12688000</v>
      </c>
      <c r="U77" s="35">
        <f>U76+U71+U66+U53+U52</f>
        <v>38064000</v>
      </c>
      <c r="V77" s="35">
        <f>I77+M77+Q77+U77</f>
        <v>152196000</v>
      </c>
    </row>
    <row r="78" spans="1:22" ht="13.15" outlineLevel="1">
      <c r="A78" s="32" t="s">
        <v>12</v>
      </c>
      <c r="B78" s="32"/>
      <c r="C78" s="33"/>
      <c r="D78" s="33"/>
      <c r="E78" s="9"/>
      <c r="F78" s="44"/>
      <c r="G78" s="44"/>
      <c r="H78" s="44"/>
      <c r="I78" s="35"/>
      <c r="J78" s="44"/>
      <c r="K78" s="44"/>
      <c r="L78" s="44"/>
      <c r="M78" s="35"/>
      <c r="N78" s="44"/>
      <c r="O78" s="44"/>
      <c r="P78" s="44"/>
      <c r="Q78" s="35"/>
      <c r="R78" s="44"/>
      <c r="S78" s="44"/>
      <c r="T78" s="44"/>
      <c r="U78" s="35"/>
      <c r="V78" s="35"/>
    </row>
    <row r="79" spans="1:22" ht="13.15" outlineLevel="2">
      <c r="A79" s="24"/>
      <c r="B79" s="26" t="s">
        <v>13</v>
      </c>
      <c r="C79" s="27"/>
      <c r="D79" s="27"/>
      <c r="E79" s="9"/>
      <c r="F79" s="129"/>
      <c r="G79" s="129"/>
      <c r="H79" s="129"/>
      <c r="I79" s="36"/>
      <c r="J79" s="129"/>
      <c r="K79" s="129"/>
      <c r="L79" s="129"/>
      <c r="M79" s="36"/>
      <c r="N79" s="129"/>
      <c r="O79" s="129"/>
      <c r="P79" s="129"/>
      <c r="Q79" s="36"/>
      <c r="R79" s="129"/>
      <c r="S79" s="129"/>
      <c r="T79" s="129"/>
      <c r="U79" s="36"/>
      <c r="V79" s="36"/>
    </row>
    <row r="80" spans="1:22" ht="13.15" outlineLevel="2">
      <c r="A80" s="24"/>
      <c r="B80" s="27"/>
      <c r="C80" s="28" t="s">
        <v>66</v>
      </c>
      <c r="D80" s="27"/>
      <c r="E80" s="9">
        <v>0</v>
      </c>
      <c r="F80" s="96">
        <v>0</v>
      </c>
      <c r="G80" s="96"/>
      <c r="H80" s="96"/>
      <c r="I80" s="34">
        <f t="shared" ref="I80:I87" si="54">SUM(F80:H80)</f>
        <v>0</v>
      </c>
      <c r="J80" s="96"/>
      <c r="K80" s="96"/>
      <c r="L80" s="96"/>
      <c r="M80" s="34">
        <f t="shared" ref="M80:M87" si="55">SUM(J80:L80)</f>
        <v>0</v>
      </c>
      <c r="N80" s="96"/>
      <c r="O80" s="96"/>
      <c r="P80" s="96"/>
      <c r="Q80" s="34">
        <f t="shared" ref="Q80:Q87" si="56">SUM(N80:P80)</f>
        <v>0</v>
      </c>
      <c r="R80" s="96"/>
      <c r="S80" s="96"/>
      <c r="T80" s="96"/>
      <c r="U80" s="34">
        <f t="shared" ref="U80:U87" si="57">SUM(R80:T80)</f>
        <v>0</v>
      </c>
      <c r="V80" s="34">
        <f t="shared" ref="V80:V97" si="58">I80+M80+Q80+U80</f>
        <v>0</v>
      </c>
    </row>
    <row r="81" spans="1:22" ht="13.15" outlineLevel="2">
      <c r="A81" s="24"/>
      <c r="B81" s="27"/>
      <c r="C81" s="28" t="s">
        <v>67</v>
      </c>
      <c r="D81" s="27"/>
      <c r="E81" s="9">
        <v>0</v>
      </c>
      <c r="F81" s="96"/>
      <c r="G81" s="96"/>
      <c r="H81" s="96"/>
      <c r="I81" s="34">
        <f t="shared" si="54"/>
        <v>0</v>
      </c>
      <c r="J81" s="96"/>
      <c r="K81" s="96"/>
      <c r="L81" s="96"/>
      <c r="M81" s="34">
        <f t="shared" si="55"/>
        <v>0</v>
      </c>
      <c r="N81" s="96"/>
      <c r="O81" s="96"/>
      <c r="P81" s="96"/>
      <c r="Q81" s="34">
        <f t="shared" si="56"/>
        <v>0</v>
      </c>
      <c r="R81" s="96"/>
      <c r="S81" s="96"/>
      <c r="T81" s="96"/>
      <c r="U81" s="34">
        <f t="shared" si="57"/>
        <v>0</v>
      </c>
      <c r="V81" s="34">
        <f t="shared" si="58"/>
        <v>0</v>
      </c>
    </row>
    <row r="82" spans="1:22" ht="13.15" outlineLevel="2">
      <c r="A82" s="24"/>
      <c r="B82" s="27"/>
      <c r="C82" s="28" t="s">
        <v>100</v>
      </c>
      <c r="D82" s="27"/>
      <c r="E82" s="9">
        <v>0</v>
      </c>
      <c r="F82" s="96"/>
      <c r="G82" s="96"/>
      <c r="H82" s="96"/>
      <c r="I82" s="34">
        <f t="shared" si="54"/>
        <v>0</v>
      </c>
      <c r="J82" s="96"/>
      <c r="K82" s="96"/>
      <c r="L82" s="96"/>
      <c r="M82" s="34">
        <f t="shared" si="55"/>
        <v>0</v>
      </c>
      <c r="N82" s="96"/>
      <c r="O82" s="96"/>
      <c r="P82" s="96"/>
      <c r="Q82" s="34">
        <f t="shared" si="56"/>
        <v>0</v>
      </c>
      <c r="R82" s="96"/>
      <c r="S82" s="96"/>
      <c r="T82" s="96"/>
      <c r="U82" s="34">
        <f t="shared" si="57"/>
        <v>0</v>
      </c>
      <c r="V82" s="34">
        <f t="shared" si="58"/>
        <v>0</v>
      </c>
    </row>
    <row r="83" spans="1:22" ht="13.15" outlineLevel="2">
      <c r="A83" s="24"/>
      <c r="B83" s="27"/>
      <c r="C83" s="28" t="s">
        <v>99</v>
      </c>
      <c r="D83" s="27"/>
      <c r="E83" s="9"/>
      <c r="F83" s="96"/>
      <c r="G83" s="96"/>
      <c r="H83" s="96"/>
      <c r="I83" s="34">
        <f t="shared" si="54"/>
        <v>0</v>
      </c>
      <c r="J83" s="96"/>
      <c r="K83" s="96"/>
      <c r="L83" s="96"/>
      <c r="M83" s="34">
        <f t="shared" si="55"/>
        <v>0</v>
      </c>
      <c r="N83" s="96"/>
      <c r="O83" s="96"/>
      <c r="P83" s="96"/>
      <c r="Q83" s="34">
        <f t="shared" si="56"/>
        <v>0</v>
      </c>
      <c r="R83" s="96"/>
      <c r="S83" s="96"/>
      <c r="T83" s="96"/>
      <c r="U83" s="34">
        <f t="shared" si="57"/>
        <v>0</v>
      </c>
      <c r="V83" s="34">
        <f t="shared" si="58"/>
        <v>0</v>
      </c>
    </row>
    <row r="84" spans="1:22" ht="13.15" outlineLevel="2">
      <c r="A84" s="24"/>
      <c r="B84" s="27"/>
      <c r="C84" s="28" t="s">
        <v>101</v>
      </c>
      <c r="D84" s="27"/>
      <c r="E84" s="9"/>
      <c r="F84" s="96"/>
      <c r="G84" s="96"/>
      <c r="H84" s="96"/>
      <c r="I84" s="34">
        <f t="shared" si="54"/>
        <v>0</v>
      </c>
      <c r="J84" s="96"/>
      <c r="K84" s="96"/>
      <c r="L84" s="96"/>
      <c r="M84" s="34">
        <f t="shared" si="55"/>
        <v>0</v>
      </c>
      <c r="N84" s="96"/>
      <c r="O84" s="96"/>
      <c r="P84" s="96"/>
      <c r="Q84" s="34">
        <f t="shared" si="56"/>
        <v>0</v>
      </c>
      <c r="R84" s="96"/>
      <c r="S84" s="96"/>
      <c r="T84" s="96"/>
      <c r="U84" s="34">
        <f t="shared" si="57"/>
        <v>0</v>
      </c>
      <c r="V84" s="34">
        <f t="shared" si="58"/>
        <v>0</v>
      </c>
    </row>
    <row r="85" spans="1:22" ht="13.15" outlineLevel="2">
      <c r="A85" s="24"/>
      <c r="B85" s="27"/>
      <c r="C85" s="28" t="s">
        <v>41</v>
      </c>
      <c r="D85" s="27"/>
      <c r="E85" s="9">
        <v>0</v>
      </c>
      <c r="F85" s="96"/>
      <c r="G85" s="96"/>
      <c r="H85" s="96"/>
      <c r="I85" s="34">
        <f t="shared" si="54"/>
        <v>0</v>
      </c>
      <c r="J85" s="96"/>
      <c r="K85" s="96"/>
      <c r="L85" s="96"/>
      <c r="M85" s="34">
        <f t="shared" si="55"/>
        <v>0</v>
      </c>
      <c r="N85" s="96"/>
      <c r="O85" s="96"/>
      <c r="P85" s="96"/>
      <c r="Q85" s="34">
        <f t="shared" si="56"/>
        <v>0</v>
      </c>
      <c r="R85" s="96"/>
      <c r="S85" s="96"/>
      <c r="T85" s="96"/>
      <c r="U85" s="34">
        <f t="shared" si="57"/>
        <v>0</v>
      </c>
      <c r="V85" s="34">
        <f t="shared" si="58"/>
        <v>0</v>
      </c>
    </row>
    <row r="86" spans="1:22" ht="13.15" outlineLevel="2">
      <c r="A86" s="24"/>
      <c r="B86" s="27"/>
      <c r="C86" s="28" t="s">
        <v>114</v>
      </c>
      <c r="D86" s="27"/>
      <c r="E86" s="9">
        <v>0</v>
      </c>
      <c r="F86" s="96"/>
      <c r="G86" s="96"/>
      <c r="H86" s="96"/>
      <c r="I86" s="34">
        <f t="shared" si="54"/>
        <v>0</v>
      </c>
      <c r="J86" s="96"/>
      <c r="K86" s="96"/>
      <c r="L86" s="96"/>
      <c r="M86" s="34">
        <f t="shared" si="55"/>
        <v>0</v>
      </c>
      <c r="N86" s="96"/>
      <c r="O86" s="96"/>
      <c r="P86" s="96"/>
      <c r="Q86" s="34">
        <f t="shared" si="56"/>
        <v>0</v>
      </c>
      <c r="R86" s="96"/>
      <c r="S86" s="96"/>
      <c r="T86" s="96"/>
      <c r="U86" s="34">
        <f t="shared" si="57"/>
        <v>0</v>
      </c>
      <c r="V86" s="34">
        <f t="shared" si="58"/>
        <v>0</v>
      </c>
    </row>
    <row r="87" spans="1:22" ht="13.15" outlineLevel="2">
      <c r="A87" s="24"/>
      <c r="B87" s="27"/>
      <c r="C87" s="28" t="s">
        <v>105</v>
      </c>
      <c r="D87" s="27"/>
      <c r="E87" s="9">
        <v>0</v>
      </c>
      <c r="F87" s="96"/>
      <c r="G87" s="96"/>
      <c r="H87" s="96"/>
      <c r="I87" s="34">
        <f t="shared" si="54"/>
        <v>0</v>
      </c>
      <c r="J87" s="96"/>
      <c r="K87" s="96"/>
      <c r="L87" s="96"/>
      <c r="M87" s="34">
        <f t="shared" si="55"/>
        <v>0</v>
      </c>
      <c r="N87" s="96"/>
      <c r="O87" s="96"/>
      <c r="P87" s="96"/>
      <c r="Q87" s="34">
        <f t="shared" si="56"/>
        <v>0</v>
      </c>
      <c r="R87" s="96"/>
      <c r="S87" s="96"/>
      <c r="T87" s="96"/>
      <c r="U87" s="34">
        <f t="shared" si="57"/>
        <v>0</v>
      </c>
      <c r="V87" s="34">
        <f t="shared" si="58"/>
        <v>0</v>
      </c>
    </row>
    <row r="88" spans="1:22" ht="13.15" outlineLevel="1">
      <c r="A88" s="24"/>
      <c r="B88" s="30" t="s">
        <v>14</v>
      </c>
      <c r="C88" s="30"/>
      <c r="D88" s="30"/>
      <c r="E88" s="10"/>
      <c r="F88" s="45">
        <f t="shared" ref="F88:U89" si="59">SUM(F80:F87)</f>
        <v>0</v>
      </c>
      <c r="G88" s="45">
        <f t="shared" si="59"/>
        <v>0</v>
      </c>
      <c r="H88" s="45">
        <f t="shared" ref="H88" si="60">SUM(H80:H87)</f>
        <v>0</v>
      </c>
      <c r="I88" s="35">
        <f t="shared" si="59"/>
        <v>0</v>
      </c>
      <c r="J88" s="45">
        <f t="shared" ref="J88:L88" si="61">SUM(J80:J87)</f>
        <v>0</v>
      </c>
      <c r="K88" s="45">
        <f t="shared" si="61"/>
        <v>0</v>
      </c>
      <c r="L88" s="45">
        <f t="shared" si="61"/>
        <v>0</v>
      </c>
      <c r="M88" s="35">
        <f t="shared" si="59"/>
        <v>0</v>
      </c>
      <c r="N88" s="45">
        <f t="shared" ref="N88:P88" si="62">SUM(N80:N87)</f>
        <v>0</v>
      </c>
      <c r="O88" s="45">
        <f t="shared" si="62"/>
        <v>0</v>
      </c>
      <c r="P88" s="45">
        <f t="shared" si="62"/>
        <v>0</v>
      </c>
      <c r="Q88" s="35">
        <f t="shared" si="59"/>
        <v>0</v>
      </c>
      <c r="R88" s="45">
        <f t="shared" ref="R88:T88" si="63">SUM(R80:R87)</f>
        <v>0</v>
      </c>
      <c r="S88" s="45">
        <f t="shared" si="63"/>
        <v>0</v>
      </c>
      <c r="T88" s="45">
        <f t="shared" si="63"/>
        <v>0</v>
      </c>
      <c r="U88" s="35">
        <f t="shared" si="59"/>
        <v>0</v>
      </c>
      <c r="V88" s="35">
        <f t="shared" si="58"/>
        <v>0</v>
      </c>
    </row>
    <row r="89" spans="1:22" s="4" customFormat="1" ht="13.15" outlineLevel="1">
      <c r="A89" s="24"/>
      <c r="B89" s="24" t="s">
        <v>15</v>
      </c>
      <c r="C89" s="24"/>
      <c r="D89" s="24"/>
      <c r="E89" s="8">
        <v>0</v>
      </c>
      <c r="F89" s="44">
        <v>0</v>
      </c>
      <c r="G89" s="44">
        <v>0</v>
      </c>
      <c r="H89" s="44">
        <v>0</v>
      </c>
      <c r="I89" s="35">
        <f t="shared" si="59"/>
        <v>0</v>
      </c>
      <c r="J89" s="44">
        <v>0</v>
      </c>
      <c r="K89" s="44">
        <v>0</v>
      </c>
      <c r="L89" s="44">
        <v>0</v>
      </c>
      <c r="M89" s="35">
        <f t="shared" si="59"/>
        <v>0</v>
      </c>
      <c r="N89" s="44">
        <v>0</v>
      </c>
      <c r="O89" s="44">
        <v>0</v>
      </c>
      <c r="P89" s="44">
        <v>0</v>
      </c>
      <c r="Q89" s="35">
        <f t="shared" si="59"/>
        <v>0</v>
      </c>
      <c r="R89" s="44">
        <v>0</v>
      </c>
      <c r="S89" s="44">
        <v>0</v>
      </c>
      <c r="T89" s="44">
        <v>0</v>
      </c>
      <c r="U89" s="35">
        <v>0</v>
      </c>
      <c r="V89" s="35">
        <f t="shared" si="58"/>
        <v>0</v>
      </c>
    </row>
    <row r="90" spans="1:22" ht="13.15" outlineLevel="2">
      <c r="A90" s="24"/>
      <c r="B90" s="26" t="s">
        <v>16</v>
      </c>
      <c r="C90" s="27"/>
      <c r="D90" s="27"/>
      <c r="E90" s="9"/>
      <c r="F90" s="129"/>
      <c r="G90" s="129"/>
      <c r="H90" s="129"/>
      <c r="I90" s="34">
        <f t="shared" ref="I90:I96" si="64">SUM(F90:H90)</f>
        <v>0</v>
      </c>
      <c r="J90" s="129"/>
      <c r="K90" s="129"/>
      <c r="L90" s="129"/>
      <c r="M90" s="34">
        <f t="shared" ref="M90:M96" si="65">SUM(J90:L90)</f>
        <v>0</v>
      </c>
      <c r="N90" s="129"/>
      <c r="O90" s="129"/>
      <c r="P90" s="129"/>
      <c r="Q90" s="34">
        <f t="shared" ref="Q90:Q96" si="66">SUM(N90:P90)</f>
        <v>0</v>
      </c>
      <c r="R90" s="129"/>
      <c r="S90" s="129"/>
      <c r="T90" s="129"/>
      <c r="U90" s="34">
        <f t="shared" ref="U90:U96" si="67">SUM(R90:T90)</f>
        <v>0</v>
      </c>
      <c r="V90" s="34">
        <f t="shared" si="58"/>
        <v>0</v>
      </c>
    </row>
    <row r="91" spans="1:22" ht="13.15" outlineLevel="2">
      <c r="A91" s="24"/>
      <c r="B91" s="27"/>
      <c r="C91" s="28" t="s">
        <v>42</v>
      </c>
      <c r="D91" s="27"/>
      <c r="E91" s="9">
        <v>0</v>
      </c>
      <c r="F91" s="43">
        <v>19000</v>
      </c>
      <c r="G91" s="43"/>
      <c r="H91" s="43"/>
      <c r="I91" s="34">
        <f t="shared" si="64"/>
        <v>19000</v>
      </c>
      <c r="J91" s="43"/>
      <c r="K91" s="43"/>
      <c r="L91" s="43"/>
      <c r="M91" s="34">
        <f t="shared" si="65"/>
        <v>0</v>
      </c>
      <c r="N91" s="43"/>
      <c r="O91" s="43"/>
      <c r="P91" s="43"/>
      <c r="Q91" s="34">
        <f t="shared" si="66"/>
        <v>0</v>
      </c>
      <c r="R91" s="43"/>
      <c r="S91" s="43"/>
      <c r="T91" s="43"/>
      <c r="U91" s="34">
        <f t="shared" si="67"/>
        <v>0</v>
      </c>
      <c r="V91" s="34">
        <f t="shared" si="58"/>
        <v>19000</v>
      </c>
    </row>
    <row r="92" spans="1:22" ht="13.15" outlineLevel="2">
      <c r="A92" s="24"/>
      <c r="B92" s="27"/>
      <c r="C92" s="28" t="s">
        <v>43</v>
      </c>
      <c r="D92" s="27"/>
      <c r="E92" s="9">
        <v>0</v>
      </c>
      <c r="F92" s="43"/>
      <c r="G92" s="43"/>
      <c r="H92" s="43"/>
      <c r="I92" s="34">
        <f t="shared" si="64"/>
        <v>0</v>
      </c>
      <c r="J92" s="43"/>
      <c r="K92" s="43"/>
      <c r="L92" s="43"/>
      <c r="M92" s="34">
        <f t="shared" si="65"/>
        <v>0</v>
      </c>
      <c r="N92" s="43"/>
      <c r="O92" s="43"/>
      <c r="P92" s="43"/>
      <c r="Q92" s="34">
        <f t="shared" si="66"/>
        <v>0</v>
      </c>
      <c r="R92" s="43"/>
      <c r="S92" s="43"/>
      <c r="T92" s="43"/>
      <c r="U92" s="34">
        <f t="shared" si="67"/>
        <v>0</v>
      </c>
      <c r="V92" s="34">
        <f t="shared" si="58"/>
        <v>0</v>
      </c>
    </row>
    <row r="93" spans="1:22" ht="13.15" outlineLevel="2">
      <c r="A93" s="24"/>
      <c r="B93" s="27"/>
      <c r="C93" s="28" t="s">
        <v>53</v>
      </c>
      <c r="D93" s="27"/>
      <c r="E93" s="9">
        <v>0</v>
      </c>
      <c r="F93" s="43"/>
      <c r="G93" s="43"/>
      <c r="H93" s="43"/>
      <c r="I93" s="34">
        <f t="shared" si="64"/>
        <v>0</v>
      </c>
      <c r="J93" s="43"/>
      <c r="K93" s="43"/>
      <c r="L93" s="43"/>
      <c r="M93" s="34">
        <f t="shared" si="65"/>
        <v>0</v>
      </c>
      <c r="N93" s="43"/>
      <c r="O93" s="43"/>
      <c r="P93" s="43"/>
      <c r="Q93" s="34">
        <f t="shared" si="66"/>
        <v>0</v>
      </c>
      <c r="R93" s="43"/>
      <c r="S93" s="43"/>
      <c r="T93" s="43"/>
      <c r="U93" s="34">
        <f t="shared" si="67"/>
        <v>0</v>
      </c>
      <c r="V93" s="34">
        <f t="shared" si="58"/>
        <v>0</v>
      </c>
    </row>
    <row r="94" spans="1:22" ht="13.15" outlineLevel="2">
      <c r="A94" s="24"/>
      <c r="B94" s="27"/>
      <c r="C94" s="28" t="s">
        <v>44</v>
      </c>
      <c r="D94" s="27"/>
      <c r="E94" s="9">
        <v>0</v>
      </c>
      <c r="F94" s="43"/>
      <c r="G94" s="43"/>
      <c r="H94" s="43"/>
      <c r="I94" s="34">
        <f t="shared" si="64"/>
        <v>0</v>
      </c>
      <c r="J94" s="43"/>
      <c r="K94" s="43"/>
      <c r="L94" s="43"/>
      <c r="M94" s="34">
        <f t="shared" si="65"/>
        <v>0</v>
      </c>
      <c r="N94" s="43"/>
      <c r="O94" s="43"/>
      <c r="P94" s="43"/>
      <c r="Q94" s="34">
        <f t="shared" si="66"/>
        <v>0</v>
      </c>
      <c r="R94" s="43"/>
      <c r="S94" s="43"/>
      <c r="T94" s="43"/>
      <c r="U94" s="34">
        <f t="shared" si="67"/>
        <v>0</v>
      </c>
      <c r="V94" s="34">
        <f t="shared" si="58"/>
        <v>0</v>
      </c>
    </row>
    <row r="95" spans="1:22" ht="13.15" outlineLevel="2">
      <c r="A95" s="24"/>
      <c r="B95" s="27"/>
      <c r="C95" s="28" t="s">
        <v>51</v>
      </c>
      <c r="D95" s="27"/>
      <c r="E95" s="9">
        <v>0</v>
      </c>
      <c r="F95" s="43"/>
      <c r="G95" s="43"/>
      <c r="H95" s="43"/>
      <c r="I95" s="34">
        <f t="shared" si="64"/>
        <v>0</v>
      </c>
      <c r="J95" s="43"/>
      <c r="K95" s="43"/>
      <c r="L95" s="43"/>
      <c r="M95" s="34">
        <f t="shared" si="65"/>
        <v>0</v>
      </c>
      <c r="N95" s="43"/>
      <c r="O95" s="43"/>
      <c r="P95" s="43"/>
      <c r="Q95" s="34">
        <f t="shared" si="66"/>
        <v>0</v>
      </c>
      <c r="R95" s="43"/>
      <c r="S95" s="43"/>
      <c r="T95" s="43"/>
      <c r="U95" s="34">
        <f t="shared" si="67"/>
        <v>0</v>
      </c>
      <c r="V95" s="34">
        <f t="shared" si="58"/>
        <v>0</v>
      </c>
    </row>
    <row r="96" spans="1:22" ht="13.15" outlineLevel="2">
      <c r="A96" s="24"/>
      <c r="B96" s="27"/>
      <c r="C96" s="28" t="s">
        <v>50</v>
      </c>
      <c r="D96" s="27"/>
      <c r="E96" s="9">
        <v>0</v>
      </c>
      <c r="F96" s="43"/>
      <c r="G96" s="43"/>
      <c r="H96" s="43"/>
      <c r="I96" s="34">
        <f t="shared" si="64"/>
        <v>0</v>
      </c>
      <c r="J96" s="43"/>
      <c r="K96" s="43"/>
      <c r="L96" s="43"/>
      <c r="M96" s="34">
        <f t="shared" si="65"/>
        <v>0</v>
      </c>
      <c r="N96" s="43"/>
      <c r="O96" s="43"/>
      <c r="P96" s="43"/>
      <c r="Q96" s="34">
        <f t="shared" si="66"/>
        <v>0</v>
      </c>
      <c r="R96" s="43"/>
      <c r="S96" s="43"/>
      <c r="T96" s="43"/>
      <c r="U96" s="34">
        <f t="shared" si="67"/>
        <v>0</v>
      </c>
      <c r="V96" s="34">
        <f t="shared" si="58"/>
        <v>0</v>
      </c>
    </row>
    <row r="97" spans="1:22" ht="13.15" outlineLevel="1">
      <c r="A97" s="24"/>
      <c r="B97" s="24" t="s">
        <v>17</v>
      </c>
      <c r="C97" s="24"/>
      <c r="D97" s="24"/>
      <c r="E97" s="8"/>
      <c r="F97" s="44">
        <f t="shared" ref="F97:G97" si="68">SUM(F91:F96)</f>
        <v>19000</v>
      </c>
      <c r="G97" s="44">
        <f t="shared" si="68"/>
        <v>0</v>
      </c>
      <c r="H97" s="44">
        <f t="shared" ref="H97" si="69">SUM(H91:H96)</f>
        <v>0</v>
      </c>
      <c r="I97" s="35">
        <f>SUM(I91:I96)</f>
        <v>19000</v>
      </c>
      <c r="J97" s="44">
        <f t="shared" ref="J97:L97" si="70">SUM(J91:J96)</f>
        <v>0</v>
      </c>
      <c r="K97" s="44">
        <f t="shared" si="70"/>
        <v>0</v>
      </c>
      <c r="L97" s="44">
        <f t="shared" si="70"/>
        <v>0</v>
      </c>
      <c r="M97" s="35">
        <f>SUM(M91:M96)</f>
        <v>0</v>
      </c>
      <c r="N97" s="44">
        <f t="shared" ref="N97:P97" si="71">SUM(N91:N96)</f>
        <v>0</v>
      </c>
      <c r="O97" s="44">
        <f t="shared" si="71"/>
        <v>0</v>
      </c>
      <c r="P97" s="44">
        <f t="shared" si="71"/>
        <v>0</v>
      </c>
      <c r="Q97" s="35">
        <f>SUM(Q91:Q96)</f>
        <v>0</v>
      </c>
      <c r="R97" s="44">
        <f t="shared" ref="R97:T97" si="72">SUM(R91:R96)</f>
        <v>0</v>
      </c>
      <c r="S97" s="44">
        <f t="shared" si="72"/>
        <v>0</v>
      </c>
      <c r="T97" s="44">
        <f t="shared" si="72"/>
        <v>0</v>
      </c>
      <c r="U97" s="35">
        <f t="shared" ref="U97" si="73">SUM(U91:U96)</f>
        <v>0</v>
      </c>
      <c r="V97" s="35">
        <f t="shared" si="58"/>
        <v>19000</v>
      </c>
    </row>
    <row r="98" spans="1:22" ht="13.15" outlineLevel="2">
      <c r="A98" s="24"/>
      <c r="B98" s="26" t="s">
        <v>18</v>
      </c>
      <c r="C98" s="27"/>
      <c r="D98" s="27"/>
      <c r="E98" s="9"/>
      <c r="F98" s="129"/>
      <c r="G98" s="129"/>
      <c r="H98" s="129"/>
      <c r="I98" s="36"/>
      <c r="J98" s="129"/>
      <c r="K98" s="129"/>
      <c r="L98" s="129"/>
      <c r="M98" s="36"/>
      <c r="N98" s="129"/>
      <c r="O98" s="129"/>
      <c r="P98" s="129"/>
      <c r="Q98" s="36"/>
      <c r="R98" s="129"/>
      <c r="S98" s="129"/>
      <c r="T98" s="129"/>
      <c r="U98" s="36"/>
      <c r="V98" s="36"/>
    </row>
    <row r="99" spans="1:22" ht="13.15" outlineLevel="2">
      <c r="A99" s="24"/>
      <c r="B99" s="27"/>
      <c r="C99" s="28" t="s">
        <v>68</v>
      </c>
      <c r="D99" s="27"/>
      <c r="E99" s="9">
        <v>0</v>
      </c>
      <c r="F99" s="96"/>
      <c r="G99" s="96"/>
      <c r="H99" s="96"/>
      <c r="I99" s="34">
        <f t="shared" ref="I99:I105" si="74">SUM(F99:H99)</f>
        <v>0</v>
      </c>
      <c r="J99" s="96"/>
      <c r="K99" s="96"/>
      <c r="L99" s="96"/>
      <c r="M99" s="34">
        <f t="shared" ref="M99:M105" si="75">SUM(J99:L99)</f>
        <v>0</v>
      </c>
      <c r="N99" s="96"/>
      <c r="O99" s="96"/>
      <c r="P99" s="96"/>
      <c r="Q99" s="34">
        <f t="shared" ref="Q99:Q105" si="76">SUM(N99:P99)</f>
        <v>0</v>
      </c>
      <c r="R99" s="96"/>
      <c r="S99" s="96"/>
      <c r="T99" s="96"/>
      <c r="U99" s="34">
        <f t="shared" ref="U99:U105" si="77">SUM(R99:T99)</f>
        <v>0</v>
      </c>
      <c r="V99" s="34">
        <f t="shared" ref="V99:V106" si="78">I99+M99+Q99+U99</f>
        <v>0</v>
      </c>
    </row>
    <row r="100" spans="1:22" ht="13.15" outlineLevel="2">
      <c r="A100" s="24"/>
      <c r="B100" s="27"/>
      <c r="C100" s="28" t="s">
        <v>45</v>
      </c>
      <c r="D100" s="27"/>
      <c r="E100" s="9">
        <v>0</v>
      </c>
      <c r="F100" s="96"/>
      <c r="G100" s="96"/>
      <c r="H100" s="96"/>
      <c r="I100" s="34">
        <f t="shared" si="74"/>
        <v>0</v>
      </c>
      <c r="J100" s="96"/>
      <c r="K100" s="96"/>
      <c r="L100" s="96"/>
      <c r="M100" s="34">
        <f t="shared" si="75"/>
        <v>0</v>
      </c>
      <c r="N100" s="96"/>
      <c r="O100" s="96"/>
      <c r="P100" s="96"/>
      <c r="Q100" s="34">
        <f t="shared" si="76"/>
        <v>0</v>
      </c>
      <c r="R100" s="96"/>
      <c r="S100" s="96"/>
      <c r="T100" s="96"/>
      <c r="U100" s="34">
        <f t="shared" si="77"/>
        <v>0</v>
      </c>
      <c r="V100" s="34">
        <f t="shared" si="78"/>
        <v>0</v>
      </c>
    </row>
    <row r="101" spans="1:22" ht="13.15" outlineLevel="2">
      <c r="A101" s="24"/>
      <c r="B101" s="27"/>
      <c r="C101" s="28" t="s">
        <v>94</v>
      </c>
      <c r="D101" s="27"/>
      <c r="E101" s="9">
        <v>0</v>
      </c>
      <c r="F101" s="96"/>
      <c r="G101" s="96"/>
      <c r="H101" s="96"/>
      <c r="I101" s="34">
        <f t="shared" si="74"/>
        <v>0</v>
      </c>
      <c r="J101" s="96"/>
      <c r="K101" s="96"/>
      <c r="L101" s="96"/>
      <c r="M101" s="34">
        <f t="shared" si="75"/>
        <v>0</v>
      </c>
      <c r="N101" s="96"/>
      <c r="O101" s="96"/>
      <c r="P101" s="96"/>
      <c r="Q101" s="34">
        <f t="shared" si="76"/>
        <v>0</v>
      </c>
      <c r="R101" s="96"/>
      <c r="S101" s="96"/>
      <c r="T101" s="96"/>
      <c r="U101" s="34">
        <f t="shared" si="77"/>
        <v>0</v>
      </c>
      <c r="V101" s="34">
        <f t="shared" si="78"/>
        <v>0</v>
      </c>
    </row>
    <row r="102" spans="1:22" ht="13.15" outlineLevel="2">
      <c r="A102" s="24"/>
      <c r="B102" s="27"/>
      <c r="C102" s="28" t="s">
        <v>46</v>
      </c>
      <c r="D102" s="27"/>
      <c r="E102" s="9">
        <v>0</v>
      </c>
      <c r="F102" s="96"/>
      <c r="G102" s="96"/>
      <c r="H102" s="96"/>
      <c r="I102" s="34">
        <f t="shared" si="74"/>
        <v>0</v>
      </c>
      <c r="J102" s="96"/>
      <c r="K102" s="96"/>
      <c r="L102" s="96"/>
      <c r="M102" s="34">
        <f t="shared" si="75"/>
        <v>0</v>
      </c>
      <c r="N102" s="96"/>
      <c r="O102" s="96"/>
      <c r="P102" s="96"/>
      <c r="Q102" s="34">
        <f t="shared" si="76"/>
        <v>0</v>
      </c>
      <c r="R102" s="96"/>
      <c r="S102" s="96"/>
      <c r="T102" s="96"/>
      <c r="U102" s="34">
        <f t="shared" si="77"/>
        <v>0</v>
      </c>
      <c r="V102" s="34">
        <f t="shared" si="78"/>
        <v>0</v>
      </c>
    </row>
    <row r="103" spans="1:22" ht="13.15" outlineLevel="2">
      <c r="A103" s="24"/>
      <c r="B103" s="27"/>
      <c r="C103" s="28" t="s">
        <v>111</v>
      </c>
      <c r="D103" s="27"/>
      <c r="E103" s="9">
        <v>0</v>
      </c>
      <c r="F103" s="96"/>
      <c r="G103" s="96"/>
      <c r="H103" s="96"/>
      <c r="I103" s="34">
        <f t="shared" si="74"/>
        <v>0</v>
      </c>
      <c r="J103" s="96"/>
      <c r="K103" s="96"/>
      <c r="L103" s="96"/>
      <c r="M103" s="34">
        <f t="shared" si="75"/>
        <v>0</v>
      </c>
      <c r="N103" s="96"/>
      <c r="O103" s="96"/>
      <c r="P103" s="96"/>
      <c r="Q103" s="34">
        <f t="shared" si="76"/>
        <v>0</v>
      </c>
      <c r="R103" s="96"/>
      <c r="S103" s="96"/>
      <c r="T103" s="96"/>
      <c r="U103" s="34">
        <f t="shared" si="77"/>
        <v>0</v>
      </c>
      <c r="V103" s="34">
        <f t="shared" si="78"/>
        <v>0</v>
      </c>
    </row>
    <row r="104" spans="1:22" ht="13.15" outlineLevel="2">
      <c r="A104" s="24"/>
      <c r="B104" s="27"/>
      <c r="C104" s="28" t="s">
        <v>115</v>
      </c>
      <c r="D104" s="27"/>
      <c r="E104" s="9">
        <v>0</v>
      </c>
      <c r="F104" s="96"/>
      <c r="G104" s="96"/>
      <c r="H104" s="96"/>
      <c r="I104" s="34">
        <f t="shared" si="74"/>
        <v>0</v>
      </c>
      <c r="J104" s="96"/>
      <c r="K104" s="96"/>
      <c r="L104" s="96"/>
      <c r="M104" s="34">
        <f t="shared" si="75"/>
        <v>0</v>
      </c>
      <c r="N104" s="96"/>
      <c r="O104" s="96"/>
      <c r="P104" s="96"/>
      <c r="Q104" s="34">
        <f t="shared" si="76"/>
        <v>0</v>
      </c>
      <c r="R104" s="96"/>
      <c r="S104" s="96"/>
      <c r="T104" s="96"/>
      <c r="U104" s="34">
        <f t="shared" si="77"/>
        <v>0</v>
      </c>
      <c r="V104" s="34">
        <f t="shared" si="78"/>
        <v>0</v>
      </c>
    </row>
    <row r="105" spans="1:22" ht="13.15" outlineLevel="2">
      <c r="A105" s="24"/>
      <c r="B105" s="27"/>
      <c r="C105" s="28" t="s">
        <v>26</v>
      </c>
      <c r="D105" s="27"/>
      <c r="E105" s="9"/>
      <c r="F105" s="96">
        <v>259000</v>
      </c>
      <c r="G105" s="96">
        <v>100000</v>
      </c>
      <c r="H105" s="96">
        <v>100000</v>
      </c>
      <c r="I105" s="34">
        <f t="shared" si="74"/>
        <v>459000</v>
      </c>
      <c r="J105" s="96">
        <v>100000</v>
      </c>
      <c r="K105" s="96">
        <v>100000</v>
      </c>
      <c r="L105" s="96">
        <v>100000</v>
      </c>
      <c r="M105" s="34">
        <f t="shared" si="75"/>
        <v>300000</v>
      </c>
      <c r="N105" s="96">
        <v>100000</v>
      </c>
      <c r="O105" s="96">
        <v>100000</v>
      </c>
      <c r="P105" s="96">
        <v>100000</v>
      </c>
      <c r="Q105" s="34">
        <f t="shared" si="76"/>
        <v>300000</v>
      </c>
      <c r="R105" s="96">
        <v>100000</v>
      </c>
      <c r="S105" s="96">
        <v>100000</v>
      </c>
      <c r="T105" s="96">
        <v>100000</v>
      </c>
      <c r="U105" s="34">
        <f t="shared" si="77"/>
        <v>300000</v>
      </c>
      <c r="V105" s="34">
        <f t="shared" si="78"/>
        <v>1359000</v>
      </c>
    </row>
    <row r="106" spans="1:22" ht="13.15" outlineLevel="1">
      <c r="A106" s="24"/>
      <c r="B106" s="29" t="s">
        <v>19</v>
      </c>
      <c r="C106" s="30"/>
      <c r="D106" s="30"/>
      <c r="E106" s="10"/>
      <c r="F106" s="45">
        <f>SUM(F99:F105)</f>
        <v>259000</v>
      </c>
      <c r="G106" s="45">
        <f>SUM(G99:G105)</f>
        <v>100000</v>
      </c>
      <c r="H106" s="45">
        <f>SUM(H99:H105)</f>
        <v>100000</v>
      </c>
      <c r="I106" s="35">
        <f t="shared" ref="I106" si="79">SUM(I99:I105)</f>
        <v>459000</v>
      </c>
      <c r="J106" s="45">
        <f>SUM(J99:J105)</f>
        <v>100000</v>
      </c>
      <c r="K106" s="45">
        <f>SUM(K99:K105)</f>
        <v>100000</v>
      </c>
      <c r="L106" s="45">
        <f>SUM(L99:L105)</f>
        <v>100000</v>
      </c>
      <c r="M106" s="35">
        <f t="shared" ref="M106" si="80">SUM(M99:M105)</f>
        <v>300000</v>
      </c>
      <c r="N106" s="45">
        <f>SUM(N99:N105)</f>
        <v>100000</v>
      </c>
      <c r="O106" s="45">
        <f>SUM(O99:O105)</f>
        <v>100000</v>
      </c>
      <c r="P106" s="45">
        <f>SUM(P99:P105)</f>
        <v>100000</v>
      </c>
      <c r="Q106" s="35">
        <f t="shared" ref="Q106" si="81">SUM(Q99:Q105)</f>
        <v>300000</v>
      </c>
      <c r="R106" s="45">
        <f>SUM(R99:R105)</f>
        <v>100000</v>
      </c>
      <c r="S106" s="45">
        <f>SUM(S99:S105)</f>
        <v>100000</v>
      </c>
      <c r="T106" s="45">
        <f>SUM(T99:T105)</f>
        <v>100000</v>
      </c>
      <c r="U106" s="35">
        <f t="shared" ref="U106" si="82">SUM(U99:U105)</f>
        <v>300000</v>
      </c>
      <c r="V106" s="35">
        <f t="shared" si="78"/>
        <v>1359000</v>
      </c>
    </row>
    <row r="107" spans="1:22" ht="13.15" outlineLevel="2">
      <c r="A107" s="24"/>
      <c r="B107" s="26" t="s">
        <v>20</v>
      </c>
      <c r="C107" s="27"/>
      <c r="D107" s="27"/>
      <c r="E107" s="9"/>
      <c r="F107" s="129"/>
      <c r="G107" s="129"/>
      <c r="H107" s="129"/>
      <c r="I107" s="36"/>
      <c r="J107" s="129"/>
      <c r="K107" s="129"/>
      <c r="L107" s="129"/>
      <c r="M107" s="36"/>
      <c r="N107" s="129"/>
      <c r="O107" s="129"/>
      <c r="P107" s="129"/>
      <c r="Q107" s="36"/>
      <c r="R107" s="129"/>
      <c r="S107" s="129"/>
      <c r="T107" s="129"/>
      <c r="U107" s="36"/>
      <c r="V107" s="36"/>
    </row>
    <row r="108" spans="1:22" ht="13.15" outlineLevel="2">
      <c r="A108" s="24"/>
      <c r="B108" s="27"/>
      <c r="C108" s="28" t="s">
        <v>29</v>
      </c>
      <c r="D108" s="27"/>
      <c r="E108" s="9">
        <v>0</v>
      </c>
      <c r="F108" s="96"/>
      <c r="G108" s="96"/>
      <c r="H108" s="96"/>
      <c r="I108" s="34">
        <f t="shared" ref="I108:I112" si="83">SUM(F108:H108)</f>
        <v>0</v>
      </c>
      <c r="J108" s="96"/>
      <c r="K108" s="96"/>
      <c r="L108" s="96"/>
      <c r="M108" s="34">
        <f t="shared" ref="M108:M112" si="84">SUM(J108:L108)</f>
        <v>0</v>
      </c>
      <c r="N108" s="96"/>
      <c r="O108" s="96"/>
      <c r="P108" s="96"/>
      <c r="Q108" s="34">
        <f t="shared" ref="Q108:Q112" si="85">SUM(N108:P108)</f>
        <v>0</v>
      </c>
      <c r="R108" s="96"/>
      <c r="S108" s="96"/>
      <c r="T108" s="96"/>
      <c r="U108" s="34">
        <f t="shared" ref="U108:U112" si="86">SUM(R108:T108)</f>
        <v>0</v>
      </c>
      <c r="V108" s="34">
        <f t="shared" ref="V108:V115" si="87">I108+M108+Q108+U108</f>
        <v>0</v>
      </c>
    </row>
    <row r="109" spans="1:22" ht="13.15" outlineLevel="2">
      <c r="A109" s="24"/>
      <c r="B109" s="27"/>
      <c r="C109" s="28" t="s">
        <v>33</v>
      </c>
      <c r="D109" s="27"/>
      <c r="E109" s="9">
        <v>0</v>
      </c>
      <c r="F109" s="96"/>
      <c r="G109" s="96"/>
      <c r="H109" s="96"/>
      <c r="I109" s="34">
        <f t="shared" si="83"/>
        <v>0</v>
      </c>
      <c r="J109" s="96"/>
      <c r="K109" s="96"/>
      <c r="L109" s="96"/>
      <c r="M109" s="34">
        <f t="shared" si="84"/>
        <v>0</v>
      </c>
      <c r="N109" s="96"/>
      <c r="O109" s="96"/>
      <c r="P109" s="96"/>
      <c r="Q109" s="34">
        <f t="shared" si="85"/>
        <v>0</v>
      </c>
      <c r="R109" s="96"/>
      <c r="S109" s="96"/>
      <c r="T109" s="96"/>
      <c r="U109" s="34">
        <f t="shared" si="86"/>
        <v>0</v>
      </c>
      <c r="V109" s="34">
        <f t="shared" si="87"/>
        <v>0</v>
      </c>
    </row>
    <row r="110" spans="1:22" ht="13.15" outlineLevel="2">
      <c r="A110" s="24"/>
      <c r="B110" s="27"/>
      <c r="C110" s="28" t="s">
        <v>95</v>
      </c>
      <c r="D110" s="27"/>
      <c r="E110" s="9"/>
      <c r="F110" s="96"/>
      <c r="G110" s="96"/>
      <c r="H110" s="96"/>
      <c r="I110" s="34">
        <f t="shared" si="83"/>
        <v>0</v>
      </c>
      <c r="J110" s="96"/>
      <c r="K110" s="96"/>
      <c r="L110" s="96"/>
      <c r="M110" s="34">
        <f t="shared" si="84"/>
        <v>0</v>
      </c>
      <c r="N110" s="96"/>
      <c r="O110" s="96"/>
      <c r="P110" s="96"/>
      <c r="Q110" s="34">
        <f t="shared" si="85"/>
        <v>0</v>
      </c>
      <c r="R110" s="96"/>
      <c r="S110" s="96"/>
      <c r="T110" s="96"/>
      <c r="U110" s="34">
        <f t="shared" si="86"/>
        <v>0</v>
      </c>
      <c r="V110" s="34">
        <f t="shared" si="87"/>
        <v>0</v>
      </c>
    </row>
    <row r="111" spans="1:22" ht="13.15" outlineLevel="2">
      <c r="A111" s="24"/>
      <c r="B111" s="27"/>
      <c r="C111" s="28" t="s">
        <v>63</v>
      </c>
      <c r="D111" s="27"/>
      <c r="E111" s="9"/>
      <c r="F111" s="96"/>
      <c r="G111" s="96"/>
      <c r="H111" s="96"/>
      <c r="I111" s="34">
        <f t="shared" si="83"/>
        <v>0</v>
      </c>
      <c r="J111" s="96"/>
      <c r="K111" s="96"/>
      <c r="L111" s="96"/>
      <c r="M111" s="34">
        <f t="shared" si="84"/>
        <v>0</v>
      </c>
      <c r="N111" s="96"/>
      <c r="O111" s="96"/>
      <c r="P111" s="96"/>
      <c r="Q111" s="34">
        <f t="shared" si="85"/>
        <v>0</v>
      </c>
      <c r="R111" s="96"/>
      <c r="S111" s="96"/>
      <c r="T111" s="96"/>
      <c r="U111" s="34">
        <f t="shared" si="86"/>
        <v>0</v>
      </c>
      <c r="V111" s="34">
        <f t="shared" si="87"/>
        <v>0</v>
      </c>
    </row>
    <row r="112" spans="1:22" ht="13.15" outlineLevel="2">
      <c r="A112" s="24"/>
      <c r="B112" s="27"/>
      <c r="C112" s="28" t="s">
        <v>153</v>
      </c>
      <c r="D112" s="27"/>
      <c r="E112" s="9">
        <v>0</v>
      </c>
      <c r="F112" s="96"/>
      <c r="G112" s="96"/>
      <c r="H112" s="96"/>
      <c r="I112" s="34">
        <f t="shared" si="83"/>
        <v>0</v>
      </c>
      <c r="J112" s="96"/>
      <c r="K112" s="96"/>
      <c r="L112" s="96"/>
      <c r="M112" s="34">
        <f t="shared" si="84"/>
        <v>0</v>
      </c>
      <c r="N112" s="96"/>
      <c r="O112" s="96"/>
      <c r="P112" s="96"/>
      <c r="Q112" s="34">
        <f t="shared" si="85"/>
        <v>0</v>
      </c>
      <c r="R112" s="96"/>
      <c r="S112" s="96"/>
      <c r="T112" s="96"/>
      <c r="U112" s="34">
        <f t="shared" si="86"/>
        <v>0</v>
      </c>
      <c r="V112" s="34">
        <f t="shared" si="87"/>
        <v>0</v>
      </c>
    </row>
    <row r="113" spans="1:22" ht="13.15" outlineLevel="1">
      <c r="A113" s="24"/>
      <c r="B113" s="30" t="s">
        <v>21</v>
      </c>
      <c r="C113" s="30"/>
      <c r="D113" s="30"/>
      <c r="E113" s="10"/>
      <c r="F113" s="45">
        <f t="shared" ref="F113:U113" si="88">SUM(F108:F112)</f>
        <v>0</v>
      </c>
      <c r="G113" s="45">
        <f t="shared" si="88"/>
        <v>0</v>
      </c>
      <c r="H113" s="45">
        <f t="shared" si="88"/>
        <v>0</v>
      </c>
      <c r="I113" s="35">
        <f t="shared" si="88"/>
        <v>0</v>
      </c>
      <c r="J113" s="45">
        <f t="shared" si="88"/>
        <v>0</v>
      </c>
      <c r="K113" s="45">
        <f t="shared" si="88"/>
        <v>0</v>
      </c>
      <c r="L113" s="45">
        <f t="shared" si="88"/>
        <v>0</v>
      </c>
      <c r="M113" s="35">
        <f t="shared" si="88"/>
        <v>0</v>
      </c>
      <c r="N113" s="45">
        <f t="shared" si="88"/>
        <v>0</v>
      </c>
      <c r="O113" s="45">
        <f t="shared" si="88"/>
        <v>0</v>
      </c>
      <c r="P113" s="45">
        <f t="shared" si="88"/>
        <v>0</v>
      </c>
      <c r="Q113" s="35">
        <f t="shared" si="88"/>
        <v>0</v>
      </c>
      <c r="R113" s="45">
        <f t="shared" si="88"/>
        <v>0</v>
      </c>
      <c r="S113" s="45">
        <f t="shared" si="88"/>
        <v>0</v>
      </c>
      <c r="T113" s="45">
        <f t="shared" si="88"/>
        <v>0</v>
      </c>
      <c r="U113" s="35">
        <f t="shared" si="88"/>
        <v>0</v>
      </c>
      <c r="V113" s="35">
        <f t="shared" si="87"/>
        <v>0</v>
      </c>
    </row>
    <row r="114" spans="1:22" ht="13.15">
      <c r="A114" s="24"/>
      <c r="B114" s="24"/>
      <c r="C114" s="24"/>
      <c r="D114" s="24" t="s">
        <v>22</v>
      </c>
      <c r="E114" s="8"/>
      <c r="F114" s="44">
        <f>F88+F89+F97+F106+F113</f>
        <v>278000</v>
      </c>
      <c r="G114" s="44">
        <f>G88+G89+G97+G106+G113</f>
        <v>100000</v>
      </c>
      <c r="H114" s="44">
        <f>H88+H89+H97+H106+H113</f>
        <v>100000</v>
      </c>
      <c r="I114" s="35">
        <f>I113+I106+I97+I89+I88</f>
        <v>478000</v>
      </c>
      <c r="J114" s="44">
        <f>J88+J89+J97+J106+J113</f>
        <v>100000</v>
      </c>
      <c r="K114" s="44">
        <f>K88+K89+K97+K106+K113</f>
        <v>100000</v>
      </c>
      <c r="L114" s="44">
        <f>L88+L89+L97+L106+L113</f>
        <v>100000</v>
      </c>
      <c r="M114" s="35">
        <f>M113+M106+M97+M89+M88</f>
        <v>300000</v>
      </c>
      <c r="N114" s="44">
        <f>N88+N89+N97+N106+N113</f>
        <v>100000</v>
      </c>
      <c r="O114" s="44">
        <f>O88+O89+O97+O106+O113</f>
        <v>100000</v>
      </c>
      <c r="P114" s="44">
        <f>P88+P89+P97+P106+P113</f>
        <v>100000</v>
      </c>
      <c r="Q114" s="35">
        <f>Q113+Q106+Q97+Q89+Q88</f>
        <v>300000</v>
      </c>
      <c r="R114" s="44">
        <f>R88+R89+R97+R106+R113</f>
        <v>100000</v>
      </c>
      <c r="S114" s="44">
        <f>S88+S89+S97+S106+S113</f>
        <v>100000</v>
      </c>
      <c r="T114" s="44">
        <f>T88+T89+T97+T106+T113</f>
        <v>100000</v>
      </c>
      <c r="U114" s="35">
        <f>U113+U106+U97+U89+U88</f>
        <v>300000</v>
      </c>
      <c r="V114" s="35">
        <f t="shared" si="87"/>
        <v>1378000</v>
      </c>
    </row>
    <row r="115" spans="1:22" ht="13.9">
      <c r="A115" s="11" t="s">
        <v>23</v>
      </c>
      <c r="B115" s="11"/>
      <c r="C115" s="11"/>
      <c r="D115" s="11"/>
      <c r="E115" s="12"/>
      <c r="F115" s="46">
        <f t="shared" ref="F115:U115" si="89">F114+F77</f>
        <v>12906000</v>
      </c>
      <c r="G115" s="46">
        <f t="shared" si="89"/>
        <v>12788000</v>
      </c>
      <c r="H115" s="46">
        <f t="shared" si="89"/>
        <v>12788000</v>
      </c>
      <c r="I115" s="109">
        <f t="shared" si="89"/>
        <v>38482000</v>
      </c>
      <c r="J115" s="46">
        <f t="shared" si="89"/>
        <v>12788000</v>
      </c>
      <c r="K115" s="46">
        <f t="shared" si="89"/>
        <v>12788000</v>
      </c>
      <c r="L115" s="46">
        <f t="shared" si="89"/>
        <v>12788000</v>
      </c>
      <c r="M115" s="109">
        <f t="shared" si="89"/>
        <v>38364000</v>
      </c>
      <c r="N115" s="46">
        <f t="shared" si="89"/>
        <v>12788000</v>
      </c>
      <c r="O115" s="46">
        <f t="shared" si="89"/>
        <v>12788000</v>
      </c>
      <c r="P115" s="46">
        <f t="shared" si="89"/>
        <v>12788000</v>
      </c>
      <c r="Q115" s="109">
        <f t="shared" si="89"/>
        <v>38364000</v>
      </c>
      <c r="R115" s="46">
        <f t="shared" si="89"/>
        <v>12788000</v>
      </c>
      <c r="S115" s="46">
        <f t="shared" si="89"/>
        <v>12788000</v>
      </c>
      <c r="T115" s="46">
        <f t="shared" si="89"/>
        <v>12788000</v>
      </c>
      <c r="U115" s="109">
        <f t="shared" si="89"/>
        <v>38364000</v>
      </c>
      <c r="V115" s="40">
        <f t="shared" si="87"/>
        <v>153574000</v>
      </c>
    </row>
    <row r="116" spans="1:22" s="111" customFormat="1" ht="12.75" customHeight="1">
      <c r="A116" s="462" t="s">
        <v>181</v>
      </c>
      <c r="B116" s="463"/>
      <c r="C116" s="463"/>
      <c r="D116" s="464"/>
      <c r="E116" s="8"/>
      <c r="F116" s="43"/>
      <c r="G116" s="43"/>
      <c r="H116" s="43"/>
      <c r="I116" s="34"/>
      <c r="J116" s="43"/>
      <c r="K116" s="43"/>
      <c r="L116" s="43"/>
      <c r="M116" s="34"/>
      <c r="N116" s="43"/>
      <c r="O116" s="43"/>
      <c r="P116" s="43"/>
      <c r="Q116" s="34"/>
      <c r="R116" s="43"/>
      <c r="S116" s="43"/>
      <c r="T116" s="43"/>
      <c r="U116" s="34"/>
      <c r="V116" s="34"/>
    </row>
    <row r="117" spans="1:22" s="111" customFormat="1" ht="12.75" customHeight="1">
      <c r="A117" s="125"/>
      <c r="B117" s="4"/>
      <c r="C117" s="455" t="s">
        <v>182</v>
      </c>
      <c r="D117" s="456"/>
      <c r="E117" s="8"/>
      <c r="F117" s="138">
        <f>F29-F77-F102-F104</f>
        <v>-12628000</v>
      </c>
      <c r="G117" s="138">
        <f>G29-G77-G102-G104</f>
        <v>-12688000</v>
      </c>
      <c r="H117" s="138">
        <f>H29-H77-H102-H104</f>
        <v>-12688000</v>
      </c>
      <c r="I117" s="35">
        <f>SUM(F117:H117)</f>
        <v>-38004000</v>
      </c>
      <c r="J117" s="138">
        <f>J29-J77-J102-J104</f>
        <v>-12688000</v>
      </c>
      <c r="K117" s="138">
        <f>K29-K77-K102-K104</f>
        <v>-12688000</v>
      </c>
      <c r="L117" s="138">
        <f>L29-L77-L102-L104</f>
        <v>-12688000</v>
      </c>
      <c r="M117" s="35">
        <f>SUM(J117:L117)</f>
        <v>-38064000</v>
      </c>
      <c r="N117" s="138">
        <f>N29-N77-N102-N104</f>
        <v>-12688000</v>
      </c>
      <c r="O117" s="138">
        <f>O29-O77-O102-O104</f>
        <v>-12688000</v>
      </c>
      <c r="P117" s="138">
        <f>P29-P77-P102-P104</f>
        <v>-12688000</v>
      </c>
      <c r="Q117" s="35">
        <f>SUM(N117:P117)</f>
        <v>-38064000</v>
      </c>
      <c r="R117" s="138">
        <f>R29-R77-R102-R104</f>
        <v>-12688000</v>
      </c>
      <c r="S117" s="138">
        <f>S29-S77-S102-S104</f>
        <v>-12688000</v>
      </c>
      <c r="T117" s="138">
        <f>T29-T77-T102-T104</f>
        <v>-12688000</v>
      </c>
      <c r="U117" s="35">
        <f>SUM(R117:T117)</f>
        <v>-38064000</v>
      </c>
      <c r="V117" s="35">
        <f t="shared" ref="V117" si="90">I117+M117+Q117+U117</f>
        <v>-152196000</v>
      </c>
    </row>
    <row r="118" spans="1:22" ht="13.15" thickBot="1">
      <c r="A118" s="14"/>
      <c r="B118" s="14"/>
      <c r="C118" s="14"/>
      <c r="D118" s="14"/>
      <c r="E118" s="15"/>
      <c r="F118" s="47"/>
      <c r="G118" s="47"/>
      <c r="H118" s="47"/>
      <c r="I118" s="37"/>
      <c r="J118" s="47"/>
      <c r="K118" s="47"/>
      <c r="L118" s="47"/>
      <c r="M118" s="37"/>
      <c r="N118" s="47"/>
      <c r="O118" s="47"/>
      <c r="P118" s="47"/>
      <c r="Q118" s="37"/>
      <c r="R118" s="47"/>
      <c r="S118" s="47"/>
      <c r="T118" s="47"/>
      <c r="U118" s="37"/>
      <c r="V118" s="37"/>
    </row>
    <row r="119" spans="1:22">
      <c r="A119" s="7"/>
      <c r="B119" s="7"/>
      <c r="C119" s="7"/>
      <c r="D119" s="7"/>
      <c r="F119" s="13"/>
      <c r="G119" s="13"/>
      <c r="H119" s="13"/>
      <c r="J119" s="13"/>
      <c r="K119" s="13"/>
      <c r="L119" s="13"/>
      <c r="N119" s="13" t="s">
        <v>86</v>
      </c>
      <c r="O119" s="13"/>
      <c r="P119" s="13"/>
      <c r="R119" s="13"/>
      <c r="S119" s="13"/>
      <c r="T119" s="13"/>
    </row>
    <row r="120" spans="1:22" ht="13.15">
      <c r="D120" s="104" t="s">
        <v>264</v>
      </c>
      <c r="F120" s="39">
        <f>F77</f>
        <v>12628000</v>
      </c>
      <c r="G120" s="39">
        <f>G77</f>
        <v>12688000</v>
      </c>
      <c r="H120" s="39">
        <f>H77</f>
        <v>12688000</v>
      </c>
      <c r="J120" s="39">
        <f>J77</f>
        <v>12688000</v>
      </c>
      <c r="K120" s="39">
        <f>K77</f>
        <v>12688000</v>
      </c>
      <c r="L120" s="39">
        <f>L77</f>
        <v>12688000</v>
      </c>
      <c r="N120" s="39">
        <f>N77</f>
        <v>12688000</v>
      </c>
      <c r="O120" s="39">
        <f>O77</f>
        <v>12688000</v>
      </c>
      <c r="P120" s="39">
        <f>P77</f>
        <v>12688000</v>
      </c>
      <c r="R120" s="39">
        <f>R77</f>
        <v>12688000</v>
      </c>
      <c r="S120" s="39">
        <f>S77</f>
        <v>12688000</v>
      </c>
      <c r="T120" s="39">
        <f>T77</f>
        <v>12688000</v>
      </c>
    </row>
    <row r="121" spans="1:22">
      <c r="D121" s="106" t="s">
        <v>286</v>
      </c>
      <c r="F121" s="39">
        <f>ROUND(F120*0.5,-3)</f>
        <v>6314000</v>
      </c>
      <c r="G121" s="39">
        <f t="shared" ref="G121:H121" si="91">ROUND(G120*0.5,-3)</f>
        <v>6344000</v>
      </c>
      <c r="H121" s="39">
        <f t="shared" si="91"/>
        <v>6344000</v>
      </c>
      <c r="I121" s="39">
        <f t="shared" ref="I121:V121" si="92">I120*0.5</f>
        <v>0</v>
      </c>
      <c r="J121" s="39">
        <f t="shared" ref="J121:L121" si="93">ROUND(J120*0.5,-3)</f>
        <v>6344000</v>
      </c>
      <c r="K121" s="39">
        <f t="shared" si="93"/>
        <v>6344000</v>
      </c>
      <c r="L121" s="39">
        <f t="shared" si="93"/>
        <v>6344000</v>
      </c>
      <c r="M121" s="39">
        <f t="shared" si="92"/>
        <v>0</v>
      </c>
      <c r="N121" s="39">
        <f t="shared" si="92"/>
        <v>6344000</v>
      </c>
      <c r="O121" s="39">
        <f t="shared" si="92"/>
        <v>6344000</v>
      </c>
      <c r="P121" s="39">
        <f t="shared" si="92"/>
        <v>6344000</v>
      </c>
      <c r="Q121" s="39">
        <f t="shared" si="92"/>
        <v>0</v>
      </c>
      <c r="R121" s="39">
        <f t="shared" si="92"/>
        <v>6344000</v>
      </c>
      <c r="S121" s="39">
        <f t="shared" si="92"/>
        <v>6344000</v>
      </c>
      <c r="T121" s="39">
        <f t="shared" si="92"/>
        <v>6344000</v>
      </c>
      <c r="U121" s="39">
        <f t="shared" si="92"/>
        <v>0</v>
      </c>
      <c r="V121" s="39">
        <f t="shared" si="92"/>
        <v>0</v>
      </c>
    </row>
    <row r="122" spans="1:22">
      <c r="D122" s="106" t="s">
        <v>288</v>
      </c>
      <c r="F122" s="276">
        <f>F120-F121</f>
        <v>6314000</v>
      </c>
      <c r="G122" s="276">
        <f t="shared" ref="G122:H122" si="94">G120-G121</f>
        <v>6344000</v>
      </c>
      <c r="H122" s="276">
        <f t="shared" si="94"/>
        <v>6344000</v>
      </c>
      <c r="I122" s="276">
        <f t="shared" ref="I122:V122" si="95">I120*0.5</f>
        <v>0</v>
      </c>
      <c r="J122" s="276">
        <f t="shared" ref="J122:L122" si="96">J120-J121</f>
        <v>6344000</v>
      </c>
      <c r="K122" s="276">
        <f t="shared" si="96"/>
        <v>6344000</v>
      </c>
      <c r="L122" s="276">
        <f t="shared" si="96"/>
        <v>6344000</v>
      </c>
      <c r="M122" s="276">
        <f t="shared" si="95"/>
        <v>0</v>
      </c>
      <c r="N122" s="276">
        <f t="shared" si="95"/>
        <v>6344000</v>
      </c>
      <c r="O122" s="276">
        <f t="shared" si="95"/>
        <v>6344000</v>
      </c>
      <c r="P122" s="276">
        <f t="shared" si="95"/>
        <v>6344000</v>
      </c>
      <c r="Q122" s="276">
        <f t="shared" si="95"/>
        <v>0</v>
      </c>
      <c r="R122" s="276">
        <f t="shared" si="95"/>
        <v>6344000</v>
      </c>
      <c r="S122" s="276">
        <f t="shared" si="95"/>
        <v>6344000</v>
      </c>
      <c r="T122" s="276">
        <f t="shared" si="95"/>
        <v>6344000</v>
      </c>
      <c r="U122" s="276">
        <f t="shared" si="95"/>
        <v>0</v>
      </c>
      <c r="V122" s="276">
        <f t="shared" si="95"/>
        <v>0</v>
      </c>
    </row>
  </sheetData>
  <mergeCells count="17">
    <mergeCell ref="C117:D117"/>
    <mergeCell ref="C24:D24"/>
    <mergeCell ref="C25:D25"/>
    <mergeCell ref="A26:D26"/>
    <mergeCell ref="A28:D28"/>
    <mergeCell ref="C29:D29"/>
    <mergeCell ref="A116:D116"/>
    <mergeCell ref="A15:A25"/>
    <mergeCell ref="C15:D15"/>
    <mergeCell ref="C21:D21"/>
    <mergeCell ref="C22:D22"/>
    <mergeCell ref="C23:D23"/>
    <mergeCell ref="A3:D3"/>
    <mergeCell ref="A4:A11"/>
    <mergeCell ref="B5:B10"/>
    <mergeCell ref="A12:D12"/>
    <mergeCell ref="A14:D14"/>
  </mergeCells>
  <phoneticPr fontId="8" type="noConversion"/>
  <pageMargins left="0.59055118110236227" right="0.39370078740157483" top="0.78740157480314965" bottom="0.39370078740157483" header="0.31496062992125984" footer="0.51181102362204722"/>
  <pageSetup scale="10" fitToHeight="2" orientation="portrait" r:id="rId1"/>
  <headerFooter alignWithMargins="0">
    <oddHeader>&amp;L&amp;Z&amp;F&amp;A</oddHead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pageSetUpPr fitToPage="1"/>
  </sheetPr>
  <dimension ref="A1:AU135"/>
  <sheetViews>
    <sheetView zoomScaleNormal="100" workbookViewId="0">
      <pane xSplit="4" ySplit="2" topLeftCell="E58" activePane="bottomRight" state="frozen"/>
      <selection pane="topRight" activeCell="E1" sqref="E1"/>
      <selection pane="bottomLeft" activeCell="A3" sqref="A3"/>
      <selection pane="bottomRight" activeCell="F71" sqref="F71"/>
    </sheetView>
  </sheetViews>
  <sheetFormatPr defaultColWidth="8.87890625" defaultRowHeight="12.75" outlineLevelRow="2" outlineLevelCol="1"/>
  <cols>
    <col min="1" max="3" width="1.3515625" style="3" customWidth="1"/>
    <col min="4" max="4" width="21.1171875" style="3" customWidth="1"/>
    <col min="5" max="5" width="1.64453125" style="7" customWidth="1"/>
    <col min="6" max="6" width="11.64453125" style="3" customWidth="1" outlineLevel="1"/>
    <col min="7" max="8" width="10.87890625" style="3" customWidth="1" outlineLevel="1"/>
    <col min="9" max="9" width="10.87890625" style="3" bestFit="1" customWidth="1"/>
    <col min="10" max="10" width="10.234375" style="3" customWidth="1" outlineLevel="1"/>
    <col min="11" max="12" width="10.87890625" style="3" customWidth="1" outlineLevel="1"/>
    <col min="13" max="13" width="10.87890625" style="3" bestFit="1" customWidth="1"/>
    <col min="14" max="14" width="10.234375" style="3" customWidth="1" outlineLevel="1"/>
    <col min="15" max="16" width="10.87890625" style="3" customWidth="1" outlineLevel="1"/>
    <col min="17" max="17" width="10.87890625" style="3" bestFit="1" customWidth="1"/>
    <col min="18" max="20" width="10.234375" style="3" customWidth="1" outlineLevel="1"/>
    <col min="21" max="21" width="11.41015625" style="3" bestFit="1" customWidth="1"/>
    <col min="22" max="22" width="10.87890625" style="3" bestFit="1" customWidth="1"/>
    <col min="23" max="16384" width="8.87890625" style="3"/>
  </cols>
  <sheetData>
    <row r="1" spans="1:47" ht="13.9" thickBot="1">
      <c r="A1" s="1"/>
      <c r="B1" s="1"/>
      <c r="C1" s="1"/>
      <c r="D1" s="38"/>
      <c r="E1" s="2"/>
      <c r="F1" s="18" t="s">
        <v>69</v>
      </c>
      <c r="G1" s="18" t="s">
        <v>70</v>
      </c>
      <c r="H1" s="18" t="s">
        <v>71</v>
      </c>
      <c r="I1" s="18" t="s">
        <v>72</v>
      </c>
      <c r="J1" s="18" t="s">
        <v>74</v>
      </c>
      <c r="K1" s="18" t="s">
        <v>75</v>
      </c>
      <c r="L1" s="18" t="s">
        <v>76</v>
      </c>
      <c r="M1" s="18" t="s">
        <v>77</v>
      </c>
      <c r="N1" s="18" t="s">
        <v>80</v>
      </c>
      <c r="O1" s="18" t="s">
        <v>81</v>
      </c>
      <c r="P1" s="18" t="s">
        <v>82</v>
      </c>
      <c r="Q1" s="18" t="s">
        <v>83</v>
      </c>
      <c r="R1" s="18" t="s">
        <v>88</v>
      </c>
      <c r="S1" s="18" t="s">
        <v>91</v>
      </c>
      <c r="T1" s="18" t="s">
        <v>92</v>
      </c>
      <c r="U1" s="18" t="s">
        <v>89</v>
      </c>
      <c r="V1" s="18">
        <v>2026</v>
      </c>
      <c r="AU1" s="4"/>
    </row>
    <row r="2" spans="1:47" ht="13.5" thickBot="1">
      <c r="A2" s="5"/>
      <c r="B2" s="5"/>
      <c r="C2" s="5"/>
      <c r="D2" s="6"/>
      <c r="E2" s="2"/>
      <c r="F2" s="110" t="s">
        <v>24</v>
      </c>
      <c r="G2" s="110" t="s">
        <v>24</v>
      </c>
      <c r="H2" s="110" t="s">
        <v>24</v>
      </c>
      <c r="I2" s="137" t="s">
        <v>25</v>
      </c>
      <c r="J2" s="110" t="s">
        <v>24</v>
      </c>
      <c r="K2" s="110" t="s">
        <v>24</v>
      </c>
      <c r="L2" s="110" t="s">
        <v>24</v>
      </c>
      <c r="M2" s="137" t="s">
        <v>25</v>
      </c>
      <c r="N2" s="110" t="s">
        <v>24</v>
      </c>
      <c r="O2" s="110" t="s">
        <v>24</v>
      </c>
      <c r="P2" s="110" t="s">
        <v>24</v>
      </c>
      <c r="Q2" s="137" t="s">
        <v>25</v>
      </c>
      <c r="R2" s="110" t="s">
        <v>24</v>
      </c>
      <c r="S2" s="110" t="s">
        <v>24</v>
      </c>
      <c r="T2" s="110" t="s">
        <v>24</v>
      </c>
      <c r="U2" s="137" t="s">
        <v>25</v>
      </c>
      <c r="V2" s="137" t="s">
        <v>25</v>
      </c>
    </row>
    <row r="3" spans="1:47" s="111" customFormat="1" ht="12.75" customHeight="1">
      <c r="A3" s="447" t="s">
        <v>159</v>
      </c>
      <c r="B3" s="448"/>
      <c r="C3" s="448"/>
      <c r="D3" s="449"/>
      <c r="E3" s="2"/>
      <c r="F3" s="133"/>
      <c r="G3" s="133"/>
      <c r="H3" s="133"/>
      <c r="I3" s="34"/>
      <c r="J3" s="133"/>
      <c r="K3" s="133"/>
      <c r="L3" s="133"/>
      <c r="M3" s="34"/>
      <c r="N3" s="133"/>
      <c r="O3" s="133"/>
      <c r="P3" s="133"/>
      <c r="Q3" s="34"/>
      <c r="R3" s="133"/>
      <c r="S3" s="133"/>
      <c r="T3" s="133"/>
      <c r="U3" s="34"/>
      <c r="V3" s="134"/>
    </row>
    <row r="4" spans="1:47" s="111" customFormat="1" ht="12.75" customHeight="1">
      <c r="A4" s="450"/>
      <c r="B4" s="112" t="s">
        <v>160</v>
      </c>
      <c r="C4" s="112"/>
      <c r="D4" s="113"/>
      <c r="E4" s="2"/>
      <c r="F4" s="43"/>
      <c r="G4" s="43"/>
      <c r="H4" s="43"/>
      <c r="I4" s="34"/>
      <c r="J4" s="43"/>
      <c r="K4" s="43"/>
      <c r="L4" s="43"/>
      <c r="M4" s="34"/>
      <c r="N4" s="43"/>
      <c r="O4" s="43"/>
      <c r="P4" s="43"/>
      <c r="Q4" s="34"/>
      <c r="R4" s="43"/>
      <c r="S4" s="43"/>
      <c r="T4" s="43"/>
      <c r="U4" s="34"/>
      <c r="V4" s="34"/>
    </row>
    <row r="5" spans="1:47" s="111" customFormat="1" ht="12.75" customHeight="1" outlineLevel="1">
      <c r="A5" s="450"/>
      <c r="B5" s="451"/>
      <c r="C5" s="114"/>
      <c r="D5" s="115" t="s">
        <v>161</v>
      </c>
      <c r="E5" s="7">
        <v>1</v>
      </c>
      <c r="F5" s="43">
        <f>'TST1'!F5+'TST2'!F5+MKT!F5+SYShin!F5+JGChoi!F5</f>
        <v>350975000</v>
      </c>
      <c r="G5" s="43">
        <f>'TST1'!G5+'TST2'!G5+MKT!G5+SYShin!G5+JGChoi!G5</f>
        <v>28000000</v>
      </c>
      <c r="H5" s="43">
        <f>'TST1'!H5+'TST2'!H5+MKT!H5+SYShin!H5+JGChoi!H5</f>
        <v>28000000</v>
      </c>
      <c r="I5" s="34">
        <f t="shared" ref="I5:I10" si="0">H5+G5+F5</f>
        <v>406975000</v>
      </c>
      <c r="J5" s="43">
        <f>'TST1'!J5+'TST2'!J5+MKT!J5+SYShin!J5+JGChoi!J5</f>
        <v>28000000</v>
      </c>
      <c r="K5" s="43">
        <f>'TST1'!K5+'TST2'!K5+MKT!K5+SYShin!K5+JGChoi!K5</f>
        <v>28000000</v>
      </c>
      <c r="L5" s="43">
        <f>'TST1'!L5+'TST2'!L5+MKT!L5+SYShin!L5+JGChoi!L5</f>
        <v>28000000</v>
      </c>
      <c r="M5" s="34">
        <f t="shared" ref="M5:M10" si="1">L5+K5+J5</f>
        <v>84000000</v>
      </c>
      <c r="N5" s="43">
        <f>'TST1'!N5+'TST2'!N5+MKT!N5+SYShin!N5+JGChoi!N5</f>
        <v>28000000</v>
      </c>
      <c r="O5" s="43">
        <f>'TST1'!O5+'TST2'!O5+MKT!O5+SYShin!O5+JGChoi!O5</f>
        <v>28000000</v>
      </c>
      <c r="P5" s="43">
        <f>'TST1'!P5+'TST2'!P5+MKT!P5+SYShin!P5+JGChoi!P5</f>
        <v>28000000</v>
      </c>
      <c r="Q5" s="34">
        <f t="shared" ref="Q5:Q10" si="2">P5+O5+N5</f>
        <v>84000000</v>
      </c>
      <c r="R5" s="43">
        <f>'TST1'!R5+'TST2'!R5+MKT!R5+SYShin!R5+JGChoi!R5</f>
        <v>28000000</v>
      </c>
      <c r="S5" s="43">
        <f>'TST1'!S5+'TST2'!S5+MKT!S5+SYShin!S5+JGChoi!S5</f>
        <v>28000000</v>
      </c>
      <c r="T5" s="43">
        <f>'TST1'!T5+'TST2'!T5+MKT!T5+SYShin!T5+JGChoi!T5</f>
        <v>28000000</v>
      </c>
      <c r="U5" s="34">
        <f t="shared" ref="U5:U10" si="3">T5+S5+R5</f>
        <v>84000000</v>
      </c>
      <c r="V5" s="34">
        <f t="shared" ref="V5:V10" si="4">U5+Q5+M5+I5</f>
        <v>658975000</v>
      </c>
    </row>
    <row r="6" spans="1:47" s="111" customFormat="1" ht="12.75" customHeight="1" outlineLevel="1">
      <c r="A6" s="450"/>
      <c r="B6" s="451"/>
      <c r="C6" s="116"/>
      <c r="D6" s="117" t="s">
        <v>162</v>
      </c>
      <c r="E6" s="7">
        <v>1</v>
      </c>
      <c r="F6" s="43">
        <f>'TST1'!F6+'TST2'!F6+MKT!F6+SYShin!F6+JGChoi!F6</f>
        <v>672883000</v>
      </c>
      <c r="G6" s="43">
        <f>'TST1'!G6+'TST2'!G6+MKT!G6+SYShin!G6+JGChoi!G6</f>
        <v>105000000</v>
      </c>
      <c r="H6" s="43">
        <f>'TST1'!H6+'TST2'!H6+MKT!H6+SYShin!H6+JGChoi!H6</f>
        <v>105000000</v>
      </c>
      <c r="I6" s="34">
        <f t="shared" si="0"/>
        <v>882883000</v>
      </c>
      <c r="J6" s="43">
        <f>'TST1'!J6+'TST2'!J6+MKT!J6+SYShin!J6+JGChoi!J6</f>
        <v>105000000</v>
      </c>
      <c r="K6" s="43">
        <f>'TST1'!K6+'TST2'!K6+MKT!K6+SYShin!K6+JGChoi!K6</f>
        <v>105000000</v>
      </c>
      <c r="L6" s="43">
        <f>'TST1'!L6+'TST2'!L6+MKT!L6+SYShin!L6+JGChoi!L6</f>
        <v>105000000</v>
      </c>
      <c r="M6" s="34">
        <f t="shared" si="1"/>
        <v>315000000</v>
      </c>
      <c r="N6" s="43">
        <f>'TST1'!N6+'TST2'!N6+MKT!N6+SYShin!N6+JGChoi!N6</f>
        <v>105000000</v>
      </c>
      <c r="O6" s="43">
        <f>'TST1'!O6+'TST2'!O6+MKT!O6+SYShin!O6+JGChoi!O6</f>
        <v>105000000</v>
      </c>
      <c r="P6" s="43">
        <f>'TST1'!P6+'TST2'!P6+MKT!P6+SYShin!P6+JGChoi!P6</f>
        <v>105000000</v>
      </c>
      <c r="Q6" s="34">
        <f t="shared" si="2"/>
        <v>315000000</v>
      </c>
      <c r="R6" s="43">
        <f>'TST1'!R6+'TST2'!R6+MKT!R6+SYShin!R6+JGChoi!R6</f>
        <v>105000000</v>
      </c>
      <c r="S6" s="43">
        <f>'TST1'!S6+'TST2'!S6+MKT!S6+SYShin!S6+JGChoi!S6</f>
        <v>105000000</v>
      </c>
      <c r="T6" s="43">
        <f>'TST1'!T6+'TST2'!T6+MKT!T6+SYShin!T6+JGChoi!T6</f>
        <v>105000000</v>
      </c>
      <c r="U6" s="34">
        <f t="shared" si="3"/>
        <v>315000000</v>
      </c>
      <c r="V6" s="34">
        <f t="shared" si="4"/>
        <v>1827883000</v>
      </c>
    </row>
    <row r="7" spans="1:47" s="111" customFormat="1" ht="12.75" customHeight="1" outlineLevel="1">
      <c r="A7" s="450"/>
      <c r="B7" s="451"/>
      <c r="C7" s="116"/>
      <c r="D7" s="117" t="s">
        <v>163</v>
      </c>
      <c r="E7" s="7">
        <v>1</v>
      </c>
      <c r="F7" s="43">
        <f>'TST1'!F7+'TST2'!F7+MKT!F7+SYShin!F7+JGChoi!F7</f>
        <v>93609000</v>
      </c>
      <c r="G7" s="43">
        <f>'TST1'!G7+'TST2'!G7+MKT!G7+SYShin!G7+JGChoi!G7</f>
        <v>90000000</v>
      </c>
      <c r="H7" s="43">
        <f>'TST1'!H7+'TST2'!H7+MKT!H7+SYShin!H7+JGChoi!H7</f>
        <v>90000000</v>
      </c>
      <c r="I7" s="34">
        <f t="shared" si="0"/>
        <v>273609000</v>
      </c>
      <c r="J7" s="43">
        <f>'TST1'!J7+'TST2'!J7+MKT!J7+SYShin!J7+JGChoi!J7</f>
        <v>90000000</v>
      </c>
      <c r="K7" s="43">
        <f>'TST1'!K7+'TST2'!K7+MKT!K7+SYShin!K7+JGChoi!K7</f>
        <v>90000000</v>
      </c>
      <c r="L7" s="43">
        <f>'TST1'!L7+'TST2'!L7+MKT!L7+SYShin!L7+JGChoi!L7</f>
        <v>90000000</v>
      </c>
      <c r="M7" s="34">
        <f t="shared" si="1"/>
        <v>270000000</v>
      </c>
      <c r="N7" s="43">
        <f>'TST1'!N7+'TST2'!N7+MKT!N7+SYShin!N7+JGChoi!N7</f>
        <v>90000000</v>
      </c>
      <c r="O7" s="43">
        <f>'TST1'!O7+'TST2'!O7+MKT!O7+SYShin!O7+JGChoi!O7</f>
        <v>90000000</v>
      </c>
      <c r="P7" s="43">
        <f>'TST1'!P7+'TST2'!P7+MKT!P7+SYShin!P7+JGChoi!P7</f>
        <v>90000000</v>
      </c>
      <c r="Q7" s="34">
        <f t="shared" si="2"/>
        <v>270000000</v>
      </c>
      <c r="R7" s="43">
        <f>'TST1'!R7+'TST2'!R7+MKT!R7+SYShin!R7+JGChoi!R7</f>
        <v>90000000</v>
      </c>
      <c r="S7" s="43">
        <f>'TST1'!S7+'TST2'!S7+MKT!S7+SYShin!S7+JGChoi!S7</f>
        <v>90000000</v>
      </c>
      <c r="T7" s="43">
        <f>'TST1'!T7+'TST2'!T7+MKT!T7+SYShin!T7+JGChoi!T7</f>
        <v>90000000</v>
      </c>
      <c r="U7" s="34">
        <f t="shared" si="3"/>
        <v>270000000</v>
      </c>
      <c r="V7" s="34">
        <f t="shared" si="4"/>
        <v>1083609000</v>
      </c>
    </row>
    <row r="8" spans="1:47" s="111" customFormat="1" ht="12.75" customHeight="1" outlineLevel="1">
      <c r="A8" s="450"/>
      <c r="B8" s="451"/>
      <c r="C8" s="116"/>
      <c r="D8" s="118" t="s">
        <v>164</v>
      </c>
      <c r="E8" s="7"/>
      <c r="F8" s="43">
        <f>'TST1'!F8+'TST2'!F8+MKT!F8+SYShin!F8+JGChoi!F8</f>
        <v>0</v>
      </c>
      <c r="G8" s="43">
        <f>'TST1'!G8+'TST2'!G8+MKT!G8+SYShin!G8+JGChoi!G8</f>
        <v>0</v>
      </c>
      <c r="H8" s="43">
        <f>'TST1'!H8+'TST2'!H8+MKT!H8+SYShin!H8+JGChoi!H8</f>
        <v>0</v>
      </c>
      <c r="I8" s="34">
        <f t="shared" si="0"/>
        <v>0</v>
      </c>
      <c r="J8" s="43">
        <f>'TST1'!J8+'TST2'!J8+MKT!J8+SYShin!J8+JGChoi!J8</f>
        <v>0</v>
      </c>
      <c r="K8" s="43">
        <f>'TST1'!K8+'TST2'!K8+MKT!K8+SYShin!K8+JGChoi!K8</f>
        <v>0</v>
      </c>
      <c r="L8" s="43">
        <f>'TST1'!L8+'TST2'!L8+MKT!L8+SYShin!L8+JGChoi!L8</f>
        <v>0</v>
      </c>
      <c r="M8" s="34">
        <f t="shared" si="1"/>
        <v>0</v>
      </c>
      <c r="N8" s="43">
        <f>'TST1'!N8+'TST2'!N8+MKT!N8+SYShin!N8+JGChoi!N8</f>
        <v>0</v>
      </c>
      <c r="O8" s="43">
        <f>'TST1'!O8+'TST2'!O8+MKT!O8+SYShin!O8+JGChoi!O8</f>
        <v>0</v>
      </c>
      <c r="P8" s="43">
        <f>'TST1'!P8+'TST2'!P8+MKT!P8+SYShin!P8+JGChoi!P8</f>
        <v>0</v>
      </c>
      <c r="Q8" s="34">
        <f t="shared" si="2"/>
        <v>0</v>
      </c>
      <c r="R8" s="43">
        <f>'TST1'!R8+'TST2'!R8+MKT!R8+SYShin!R8+JGChoi!R8</f>
        <v>0</v>
      </c>
      <c r="S8" s="43">
        <f>'TST1'!S8+'TST2'!S8+MKT!S8+SYShin!S8+JGChoi!S8</f>
        <v>0</v>
      </c>
      <c r="T8" s="43">
        <f>'TST1'!T8+'TST2'!T8+MKT!T8+SYShin!T8+JGChoi!T8</f>
        <v>0</v>
      </c>
      <c r="U8" s="34">
        <f t="shared" si="3"/>
        <v>0</v>
      </c>
      <c r="V8" s="34">
        <f t="shared" si="4"/>
        <v>0</v>
      </c>
    </row>
    <row r="9" spans="1:47" s="111" customFormat="1" ht="12.75" customHeight="1" outlineLevel="1">
      <c r="A9" s="450"/>
      <c r="B9" s="451"/>
      <c r="C9" s="116"/>
      <c r="D9" s="117" t="s">
        <v>166</v>
      </c>
      <c r="E9" s="7"/>
      <c r="F9" s="43">
        <f>'TST1'!F9+'TST2'!F9+MKT!F9+SYShin!F9+JGChoi!F9</f>
        <v>0</v>
      </c>
      <c r="G9" s="43">
        <f>'TST1'!G9+'TST2'!G9+MKT!G9+SYShin!G9+JGChoi!G9</f>
        <v>0</v>
      </c>
      <c r="H9" s="43">
        <f>'TST1'!H9+'TST2'!H9+MKT!H9+SYShin!H9+JGChoi!H9</f>
        <v>0</v>
      </c>
      <c r="I9" s="34">
        <f t="shared" si="0"/>
        <v>0</v>
      </c>
      <c r="J9" s="43">
        <f>'TST1'!J9+'TST2'!J9+MKT!J9+SYShin!J9+JGChoi!J9</f>
        <v>0</v>
      </c>
      <c r="K9" s="43">
        <f>'TST1'!K9+'TST2'!K9+MKT!K9+SYShin!K9+JGChoi!K9</f>
        <v>0</v>
      </c>
      <c r="L9" s="43">
        <f>'TST1'!L9+'TST2'!L9+MKT!L9+SYShin!L9+JGChoi!L9</f>
        <v>0</v>
      </c>
      <c r="M9" s="34">
        <f t="shared" si="1"/>
        <v>0</v>
      </c>
      <c r="N9" s="43">
        <f>'TST1'!N9+'TST2'!N9+MKT!N9+SYShin!N9+JGChoi!N9</f>
        <v>0</v>
      </c>
      <c r="O9" s="43">
        <f>'TST1'!O9+'TST2'!O9+MKT!O9+SYShin!O9+JGChoi!O9</f>
        <v>0</v>
      </c>
      <c r="P9" s="43">
        <f>'TST1'!P9+'TST2'!P9+MKT!P9+SYShin!P9+JGChoi!P9</f>
        <v>0</v>
      </c>
      <c r="Q9" s="34">
        <f t="shared" si="2"/>
        <v>0</v>
      </c>
      <c r="R9" s="43">
        <f>'TST1'!R9+'TST2'!R9+MKT!R9+SYShin!R9+JGChoi!R9</f>
        <v>0</v>
      </c>
      <c r="S9" s="43">
        <f>'TST1'!S9+'TST2'!S9+MKT!S9+SYShin!S9+JGChoi!S9</f>
        <v>0</v>
      </c>
      <c r="T9" s="43">
        <f>'TST1'!T9+'TST2'!T9+MKT!T9+SYShin!T9+JGChoi!T9</f>
        <v>0</v>
      </c>
      <c r="U9" s="34">
        <f t="shared" si="3"/>
        <v>0</v>
      </c>
      <c r="V9" s="34">
        <f t="shared" si="4"/>
        <v>0</v>
      </c>
    </row>
    <row r="10" spans="1:47" s="111" customFormat="1" ht="12.75" customHeight="1" outlineLevel="1">
      <c r="A10" s="450"/>
      <c r="B10" s="451"/>
      <c r="C10" s="116"/>
      <c r="D10" s="117" t="s">
        <v>165</v>
      </c>
      <c r="E10" s="7"/>
      <c r="F10" s="43">
        <f>'TST1'!F10+'TST2'!F10+MKT!F10+SYShin!F10+JGChoi!F10</f>
        <v>0</v>
      </c>
      <c r="G10" s="43">
        <f>'TST1'!G10+'TST2'!G10+MKT!G10+SYShin!G10+JGChoi!G10</f>
        <v>0</v>
      </c>
      <c r="H10" s="43">
        <f>'TST1'!H10+'TST2'!H10+MKT!H10+SYShin!H10+JGChoi!H10</f>
        <v>0</v>
      </c>
      <c r="I10" s="34">
        <f t="shared" si="0"/>
        <v>0</v>
      </c>
      <c r="J10" s="43">
        <f>'TST1'!J10+'TST2'!J10+MKT!J10+SYShin!J10+JGChoi!J10</f>
        <v>0</v>
      </c>
      <c r="K10" s="43">
        <f>'TST1'!K10+'TST2'!K10+MKT!K10+SYShin!K10+JGChoi!K10</f>
        <v>0</v>
      </c>
      <c r="L10" s="43">
        <f>'TST1'!L10+'TST2'!L10+MKT!L10+SYShin!L10+JGChoi!L10</f>
        <v>0</v>
      </c>
      <c r="M10" s="34">
        <f t="shared" si="1"/>
        <v>0</v>
      </c>
      <c r="N10" s="43">
        <f>'TST1'!N10+'TST2'!N10+MKT!N10+SYShin!N10+JGChoi!N10</f>
        <v>0</v>
      </c>
      <c r="O10" s="43">
        <f>'TST1'!O10+'TST2'!O10+MKT!O10+SYShin!O10+JGChoi!O10</f>
        <v>0</v>
      </c>
      <c r="P10" s="43">
        <f>'TST1'!P10+'TST2'!P10+MKT!P10+SYShin!P10+JGChoi!P10</f>
        <v>0</v>
      </c>
      <c r="Q10" s="34">
        <f t="shared" si="2"/>
        <v>0</v>
      </c>
      <c r="R10" s="43">
        <f>'TST1'!R10+'TST2'!R10+MKT!R10+SYShin!R10+JGChoi!R10</f>
        <v>0</v>
      </c>
      <c r="S10" s="43">
        <f>'TST1'!S10+'TST2'!S10+MKT!S10+SYShin!S10+JGChoi!S10</f>
        <v>0</v>
      </c>
      <c r="T10" s="43">
        <f>'TST1'!T10+'TST2'!T10+MKT!T10+SYShin!T10+JGChoi!T10</f>
        <v>0</v>
      </c>
      <c r="U10" s="34">
        <f t="shared" si="3"/>
        <v>0</v>
      </c>
      <c r="V10" s="34">
        <f t="shared" si="4"/>
        <v>0</v>
      </c>
    </row>
    <row r="11" spans="1:47" s="111" customFormat="1" ht="6.75" customHeight="1">
      <c r="A11" s="450"/>
      <c r="B11" s="4"/>
      <c r="C11" s="4"/>
      <c r="D11" s="119"/>
      <c r="E11" s="120"/>
      <c r="F11" s="43"/>
      <c r="G11" s="43"/>
      <c r="H11" s="43"/>
      <c r="I11" s="34"/>
      <c r="J11" s="43"/>
      <c r="K11" s="43"/>
      <c r="L11" s="43"/>
      <c r="M11" s="34"/>
      <c r="N11" s="43"/>
      <c r="O11" s="43"/>
      <c r="P11" s="43"/>
      <c r="Q11" s="34"/>
      <c r="R11" s="43"/>
      <c r="S11" s="43"/>
      <c r="T11" s="43"/>
      <c r="U11" s="34"/>
      <c r="V11" s="34"/>
    </row>
    <row r="12" spans="1:47" s="111" customFormat="1" ht="12.75" customHeight="1">
      <c r="A12" s="447" t="s">
        <v>167</v>
      </c>
      <c r="B12" s="448"/>
      <c r="C12" s="448"/>
      <c r="D12" s="449"/>
      <c r="E12" s="8"/>
      <c r="F12" s="44">
        <f t="shared" ref="F12:V12" si="5">SUM(F5:F10)</f>
        <v>1117467000</v>
      </c>
      <c r="G12" s="44">
        <f t="shared" ref="G12:H12" si="6">SUM(G5:G10)</f>
        <v>223000000</v>
      </c>
      <c r="H12" s="44">
        <f t="shared" si="6"/>
        <v>223000000</v>
      </c>
      <c r="I12" s="35">
        <f t="shared" si="5"/>
        <v>1563467000</v>
      </c>
      <c r="J12" s="44">
        <f t="shared" ref="J12:L12" si="7">SUM(J5:J10)</f>
        <v>223000000</v>
      </c>
      <c r="K12" s="44">
        <f t="shared" si="7"/>
        <v>223000000</v>
      </c>
      <c r="L12" s="44">
        <f t="shared" si="7"/>
        <v>223000000</v>
      </c>
      <c r="M12" s="35">
        <f t="shared" si="5"/>
        <v>669000000</v>
      </c>
      <c r="N12" s="44">
        <f t="shared" ref="N12:P12" si="8">SUM(N5:N10)</f>
        <v>223000000</v>
      </c>
      <c r="O12" s="44">
        <f t="shared" si="8"/>
        <v>223000000</v>
      </c>
      <c r="P12" s="44">
        <f t="shared" si="8"/>
        <v>223000000</v>
      </c>
      <c r="Q12" s="35">
        <f t="shared" si="5"/>
        <v>669000000</v>
      </c>
      <c r="R12" s="44">
        <f t="shared" ref="R12:T12" si="9">SUM(R5:R10)</f>
        <v>223000000</v>
      </c>
      <c r="S12" s="44">
        <f t="shared" si="9"/>
        <v>223000000</v>
      </c>
      <c r="T12" s="44">
        <f t="shared" si="9"/>
        <v>223000000</v>
      </c>
      <c r="U12" s="35">
        <f t="shared" si="5"/>
        <v>669000000</v>
      </c>
      <c r="V12" s="35">
        <f t="shared" si="5"/>
        <v>3570467000</v>
      </c>
    </row>
    <row r="13" spans="1:47" s="111" customFormat="1" ht="5.25" customHeight="1">
      <c r="A13" s="121"/>
      <c r="B13" s="3"/>
      <c r="C13" s="3"/>
      <c r="D13" s="119"/>
      <c r="E13" s="4"/>
      <c r="F13" s="43"/>
      <c r="G13" s="43"/>
      <c r="H13" s="43"/>
      <c r="I13" s="34"/>
      <c r="J13" s="43"/>
      <c r="K13" s="43"/>
      <c r="L13" s="43"/>
      <c r="M13" s="34"/>
      <c r="N13" s="43"/>
      <c r="O13" s="43"/>
      <c r="P13" s="43"/>
      <c r="Q13" s="34"/>
      <c r="R13" s="43"/>
      <c r="S13" s="43"/>
      <c r="T13" s="43"/>
      <c r="U13" s="34"/>
      <c r="V13" s="34"/>
    </row>
    <row r="14" spans="1:47" s="111" customFormat="1" ht="12.75" customHeight="1">
      <c r="A14" s="452" t="s">
        <v>168</v>
      </c>
      <c r="B14" s="453"/>
      <c r="C14" s="453"/>
      <c r="D14" s="454"/>
      <c r="E14" s="7"/>
      <c r="F14" s="43"/>
      <c r="G14" s="43"/>
      <c r="H14" s="43"/>
      <c r="I14" s="34"/>
      <c r="J14" s="43"/>
      <c r="K14" s="43"/>
      <c r="L14" s="43"/>
      <c r="M14" s="34"/>
      <c r="N14" s="43"/>
      <c r="O14" s="43"/>
      <c r="P14" s="43"/>
      <c r="Q14" s="34"/>
      <c r="R14" s="43"/>
      <c r="S14" s="43"/>
      <c r="T14" s="43"/>
      <c r="U14" s="34"/>
      <c r="V14" s="34"/>
    </row>
    <row r="15" spans="1:47" s="111" customFormat="1" ht="12.75" customHeight="1" outlineLevel="1">
      <c r="A15" s="465"/>
      <c r="B15" s="3"/>
      <c r="C15" s="466" t="s">
        <v>169</v>
      </c>
      <c r="D15" s="467"/>
      <c r="E15" s="7"/>
      <c r="F15" s="43"/>
      <c r="G15" s="43"/>
      <c r="H15" s="43"/>
      <c r="I15" s="34"/>
      <c r="J15" s="43"/>
      <c r="K15" s="43"/>
      <c r="L15" s="43"/>
      <c r="M15" s="34"/>
      <c r="N15" s="43"/>
      <c r="O15" s="43"/>
      <c r="P15" s="43"/>
      <c r="Q15" s="34"/>
      <c r="R15" s="43"/>
      <c r="S15" s="43"/>
      <c r="T15" s="43"/>
      <c r="U15" s="34"/>
      <c r="V15" s="34"/>
    </row>
    <row r="16" spans="1:47" s="111" customFormat="1" ht="12.75" customHeight="1" outlineLevel="1">
      <c r="A16" s="465"/>
      <c r="B16" s="3"/>
      <c r="C16" s="116"/>
      <c r="D16" s="117" t="s">
        <v>170</v>
      </c>
      <c r="E16" s="7">
        <v>0</v>
      </c>
      <c r="F16" s="43">
        <f>'TST1'!F16+'TST2'!F16+MKT!F16+SYShin!F16+JGChoi!F16</f>
        <v>124632000</v>
      </c>
      <c r="G16" s="43">
        <f>'TST1'!G16+'TST2'!G16+MKT!G16+SYShin!G16+JGChoi!G16</f>
        <v>65000000</v>
      </c>
      <c r="H16" s="43">
        <f>'TST1'!H16+'TST2'!H16+MKT!H16+SYShin!H16+JGChoi!H16</f>
        <v>65000000</v>
      </c>
      <c r="I16" s="34">
        <f t="shared" ref="I16:I25" si="10">H16+G16+F16</f>
        <v>254632000</v>
      </c>
      <c r="J16" s="43">
        <f>'TST1'!J16+'TST2'!J16+MKT!J16+SYShin!J16+JGChoi!J16</f>
        <v>65000000</v>
      </c>
      <c r="K16" s="43">
        <f>'TST1'!K16+'TST2'!K16+MKT!K16+SYShin!K16+JGChoi!K16</f>
        <v>65000000</v>
      </c>
      <c r="L16" s="43">
        <f>'TST1'!L16+'TST2'!L16+MKT!L16+SYShin!L16+JGChoi!L16</f>
        <v>65000000</v>
      </c>
      <c r="M16" s="34">
        <f t="shared" ref="M16:M21" si="11">L16+K16+J16</f>
        <v>195000000</v>
      </c>
      <c r="N16" s="43">
        <f>'TST1'!N16+'TST2'!N16+MKT!N16+SYShin!N16+JGChoi!N16</f>
        <v>65000000</v>
      </c>
      <c r="O16" s="43">
        <f>'TST1'!O16+'TST2'!O16+MKT!O16+SYShin!O16+JGChoi!O16</f>
        <v>65000000</v>
      </c>
      <c r="P16" s="43">
        <f>'TST1'!P16+'TST2'!P16+MKT!P16+SYShin!P16+JGChoi!P16</f>
        <v>65000000</v>
      </c>
      <c r="Q16" s="34">
        <f t="shared" ref="Q16:Q23" si="12">P16+O16+N16</f>
        <v>195000000</v>
      </c>
      <c r="R16" s="43">
        <f>'TST1'!R16+'TST2'!R16+MKT!R16+SYShin!R16+JGChoi!R16</f>
        <v>65000000</v>
      </c>
      <c r="S16" s="43">
        <f>'TST1'!S16+'TST2'!S16+MKT!S16+SYShin!S16+JGChoi!S16</f>
        <v>65000000</v>
      </c>
      <c r="T16" s="43">
        <f>'TST1'!T16+'TST2'!T16+MKT!T16+SYShin!T16+JGChoi!T16</f>
        <v>65000000</v>
      </c>
      <c r="U16" s="34">
        <f t="shared" ref="U16:U22" si="13">T16+S16+R16</f>
        <v>195000000</v>
      </c>
      <c r="V16" s="34">
        <f t="shared" ref="V16:V21" si="14">U16+Q16+M16+I16</f>
        <v>839632000</v>
      </c>
    </row>
    <row r="17" spans="1:22" s="111" customFormat="1" ht="12.75" customHeight="1" outlineLevel="1">
      <c r="A17" s="465"/>
      <c r="B17" s="3"/>
      <c r="C17" s="116"/>
      <c r="D17" s="117" t="s">
        <v>171</v>
      </c>
      <c r="E17" s="7"/>
      <c r="F17" s="43">
        <f>'TST1'!F17+'TST2'!F17+MKT!F17+SYShin!F17+JGChoi!F17</f>
        <v>201336000</v>
      </c>
      <c r="G17" s="43">
        <f>'TST1'!G17+'TST2'!G17+MKT!G17+SYShin!G17+JGChoi!G17</f>
        <v>43000000</v>
      </c>
      <c r="H17" s="43">
        <f>'TST1'!H17+'TST2'!H17+MKT!H17+SYShin!H17+JGChoi!H17</f>
        <v>43000000</v>
      </c>
      <c r="I17" s="34">
        <f t="shared" si="10"/>
        <v>287336000</v>
      </c>
      <c r="J17" s="43">
        <f>'TST1'!J17+'TST2'!J17+MKT!J17+SYShin!J17+JGChoi!J17</f>
        <v>43000000</v>
      </c>
      <c r="K17" s="43">
        <f>'TST1'!K17+'TST2'!K17+MKT!K17+SYShin!K17+JGChoi!K17</f>
        <v>43000000</v>
      </c>
      <c r="L17" s="43">
        <f>'TST1'!L17+'TST2'!L17+MKT!L17+SYShin!L17+JGChoi!L17</f>
        <v>43000000</v>
      </c>
      <c r="M17" s="34">
        <f t="shared" si="11"/>
        <v>129000000</v>
      </c>
      <c r="N17" s="43">
        <f>'TST1'!N17+'TST2'!N17+MKT!N17+SYShin!N17+JGChoi!N17</f>
        <v>43000000</v>
      </c>
      <c r="O17" s="43">
        <f>'TST1'!O17+'TST2'!O17+MKT!O17+SYShin!O17+JGChoi!O17</f>
        <v>43000000</v>
      </c>
      <c r="P17" s="43">
        <f>'TST1'!P17+'TST2'!P17+MKT!P17+SYShin!P17+JGChoi!P17</f>
        <v>43000000</v>
      </c>
      <c r="Q17" s="34">
        <f t="shared" si="12"/>
        <v>129000000</v>
      </c>
      <c r="R17" s="43">
        <f>'TST1'!R17+'TST2'!R17+MKT!R17+SYShin!R17+JGChoi!R17</f>
        <v>43000000</v>
      </c>
      <c r="S17" s="43">
        <f>'TST1'!S17+'TST2'!S17+MKT!S17+SYShin!S17+JGChoi!S17</f>
        <v>43000000</v>
      </c>
      <c r="T17" s="43">
        <f>'TST1'!T17+'TST2'!T17+MKT!T17+SYShin!T17+JGChoi!T17</f>
        <v>43000000</v>
      </c>
      <c r="U17" s="34">
        <f t="shared" si="13"/>
        <v>129000000</v>
      </c>
      <c r="V17" s="34">
        <f t="shared" si="14"/>
        <v>674336000</v>
      </c>
    </row>
    <row r="18" spans="1:22" s="111" customFormat="1" ht="12.75" customHeight="1" outlineLevel="1">
      <c r="A18" s="465"/>
      <c r="B18" s="3"/>
      <c r="C18" s="116"/>
      <c r="D18" s="117" t="s">
        <v>172</v>
      </c>
      <c r="E18" s="7"/>
      <c r="F18" s="43">
        <f>'TST1'!F18+'TST2'!F18+MKT!F18+SYShin!F18+JGChoi!F18</f>
        <v>0</v>
      </c>
      <c r="G18" s="43">
        <f>'TST1'!G18+'TST2'!G18+MKT!G18+SYShin!G18+JGChoi!G18</f>
        <v>0</v>
      </c>
      <c r="H18" s="43">
        <f>'TST1'!H18+'TST2'!H18+MKT!H18+SYShin!H18+JGChoi!H18</f>
        <v>0</v>
      </c>
      <c r="I18" s="34">
        <f t="shared" si="10"/>
        <v>0</v>
      </c>
      <c r="J18" s="43">
        <f>'TST1'!J18+'TST2'!J18+MKT!J18+SYShin!J18+JGChoi!J18</f>
        <v>0</v>
      </c>
      <c r="K18" s="43">
        <f>'TST1'!K18+'TST2'!K18+MKT!K18+SYShin!K18+JGChoi!K18</f>
        <v>0</v>
      </c>
      <c r="L18" s="43">
        <f>'TST1'!L18+'TST2'!L18+MKT!L18+SYShin!L18+JGChoi!L18</f>
        <v>0</v>
      </c>
      <c r="M18" s="34">
        <f t="shared" si="11"/>
        <v>0</v>
      </c>
      <c r="N18" s="43">
        <f>'TST1'!N18+'TST2'!N18+MKT!N18+SYShin!N18+JGChoi!N18</f>
        <v>0</v>
      </c>
      <c r="O18" s="43">
        <f>'TST1'!O18+'TST2'!O18+MKT!O18+SYShin!O18+JGChoi!O18</f>
        <v>0</v>
      </c>
      <c r="P18" s="43">
        <f>'TST1'!P18+'TST2'!P18+MKT!P18+SYShin!P18+JGChoi!P18</f>
        <v>0</v>
      </c>
      <c r="Q18" s="34">
        <f t="shared" si="12"/>
        <v>0</v>
      </c>
      <c r="R18" s="43">
        <f>'TST1'!R18+'TST2'!R18+MKT!R18+SYShin!R18+JGChoi!R18</f>
        <v>0</v>
      </c>
      <c r="S18" s="43">
        <f>'TST1'!S18+'TST2'!S18+MKT!S18+SYShin!S18+JGChoi!S18</f>
        <v>0</v>
      </c>
      <c r="T18" s="43">
        <f>'TST1'!T18+'TST2'!T18+MKT!T18+SYShin!T18+JGChoi!T18</f>
        <v>0</v>
      </c>
      <c r="U18" s="34">
        <f t="shared" si="13"/>
        <v>0</v>
      </c>
      <c r="V18" s="34">
        <f t="shared" si="14"/>
        <v>0</v>
      </c>
    </row>
    <row r="19" spans="1:22" s="111" customFormat="1" ht="12.75" customHeight="1" outlineLevel="1">
      <c r="A19" s="465"/>
      <c r="B19" s="3"/>
      <c r="C19" s="116"/>
      <c r="D19" s="117" t="s">
        <v>173</v>
      </c>
      <c r="E19" s="7"/>
      <c r="F19" s="43">
        <f>'TST1'!F19+'TST2'!F19+MKT!F19+SYShin!F19+JGChoi!F19</f>
        <v>9090000</v>
      </c>
      <c r="G19" s="43">
        <f>'TST1'!G19+'TST2'!G19+MKT!G19+SYShin!G19+JGChoi!G19</f>
        <v>0</v>
      </c>
      <c r="H19" s="43">
        <f>'TST1'!H19+'TST2'!H19+MKT!H19+SYShin!H19+JGChoi!H19</f>
        <v>0</v>
      </c>
      <c r="I19" s="34">
        <f t="shared" si="10"/>
        <v>9090000</v>
      </c>
      <c r="J19" s="43">
        <f>'TST1'!J19+'TST2'!J19+MKT!J19+SYShin!J19+JGChoi!J19</f>
        <v>0</v>
      </c>
      <c r="K19" s="43">
        <f>'TST1'!K19+'TST2'!K19+MKT!K19+SYShin!K19+JGChoi!K19</f>
        <v>0</v>
      </c>
      <c r="L19" s="43">
        <f>'TST1'!L19+'TST2'!L19+MKT!L19+SYShin!L19+JGChoi!L19</f>
        <v>0</v>
      </c>
      <c r="M19" s="34">
        <f t="shared" si="11"/>
        <v>0</v>
      </c>
      <c r="N19" s="43">
        <f>'TST1'!N19+'TST2'!N19+MKT!N19+SYShin!N19+JGChoi!N19</f>
        <v>0</v>
      </c>
      <c r="O19" s="43">
        <f>'TST1'!O19+'TST2'!O19+MKT!O19+SYShin!O19+JGChoi!O19</f>
        <v>0</v>
      </c>
      <c r="P19" s="43">
        <f>'TST1'!P19+'TST2'!P19+MKT!P19+SYShin!P19+JGChoi!P19</f>
        <v>0</v>
      </c>
      <c r="Q19" s="34">
        <f t="shared" si="12"/>
        <v>0</v>
      </c>
      <c r="R19" s="43">
        <f>'TST1'!R19+'TST2'!R19+MKT!R19+SYShin!R19+JGChoi!R19</f>
        <v>0</v>
      </c>
      <c r="S19" s="43">
        <f>'TST1'!S19+'TST2'!S19+MKT!S19+SYShin!S19+JGChoi!S19</f>
        <v>0</v>
      </c>
      <c r="T19" s="43">
        <f>'TST1'!T19+'TST2'!T19+MKT!T19+SYShin!T19+JGChoi!T19</f>
        <v>0</v>
      </c>
      <c r="U19" s="34">
        <f t="shared" si="13"/>
        <v>0</v>
      </c>
      <c r="V19" s="34">
        <f t="shared" si="14"/>
        <v>9090000</v>
      </c>
    </row>
    <row r="20" spans="1:22" s="111" customFormat="1" ht="12.75" customHeight="1" outlineLevel="1">
      <c r="A20" s="465"/>
      <c r="B20" s="3"/>
      <c r="C20" s="116"/>
      <c r="D20" s="118" t="s">
        <v>174</v>
      </c>
      <c r="E20" s="7">
        <v>0</v>
      </c>
      <c r="F20" s="43">
        <f>'TST1'!F20+'TST2'!F20+MKT!F20+SYShin!F20+JGChoi!F20</f>
        <v>0</v>
      </c>
      <c r="G20" s="43">
        <f>'TST1'!G20+'TST2'!G20+MKT!G20+SYShin!G20+JGChoi!G20</f>
        <v>0</v>
      </c>
      <c r="H20" s="43">
        <f>'TST1'!H20+'TST2'!H20+MKT!H20+SYShin!H20+JGChoi!H20</f>
        <v>0</v>
      </c>
      <c r="I20" s="34">
        <f t="shared" si="10"/>
        <v>0</v>
      </c>
      <c r="J20" s="43">
        <f>'TST1'!J20+'TST2'!J20+MKT!J20+SYShin!J20+JGChoi!J20</f>
        <v>0</v>
      </c>
      <c r="K20" s="43">
        <f>'TST1'!K20+'TST2'!K20+MKT!K20+SYShin!K20+JGChoi!K20</f>
        <v>0</v>
      </c>
      <c r="L20" s="43">
        <f>'TST1'!L20+'TST2'!L20+MKT!L20+SYShin!L20+JGChoi!L20</f>
        <v>0</v>
      </c>
      <c r="M20" s="34">
        <f t="shared" si="11"/>
        <v>0</v>
      </c>
      <c r="N20" s="43">
        <f>'TST1'!N20+'TST2'!N20+MKT!N20+SYShin!N20+JGChoi!N20</f>
        <v>0</v>
      </c>
      <c r="O20" s="43">
        <f>'TST1'!O20+'TST2'!O20+MKT!O20+SYShin!O20+JGChoi!O20</f>
        <v>0</v>
      </c>
      <c r="P20" s="43">
        <f>'TST1'!P20+'TST2'!P20+MKT!P20+SYShin!P20+JGChoi!P20</f>
        <v>0</v>
      </c>
      <c r="Q20" s="34">
        <f t="shared" si="12"/>
        <v>0</v>
      </c>
      <c r="R20" s="43">
        <f>'TST1'!R20+'TST2'!R20+MKT!R20+SYShin!R20+JGChoi!R20</f>
        <v>0</v>
      </c>
      <c r="S20" s="43">
        <f>'TST1'!S20+'TST2'!S20+MKT!S20+SYShin!S20+JGChoi!S20</f>
        <v>0</v>
      </c>
      <c r="T20" s="43">
        <f>'TST1'!T20+'TST2'!T20+MKT!T20+SYShin!T20+JGChoi!T20</f>
        <v>0</v>
      </c>
      <c r="U20" s="34">
        <f t="shared" si="13"/>
        <v>0</v>
      </c>
      <c r="V20" s="34">
        <f t="shared" si="14"/>
        <v>0</v>
      </c>
    </row>
    <row r="21" spans="1:22" s="111" customFormat="1" ht="12.75" customHeight="1" outlineLevel="1">
      <c r="A21" s="465"/>
      <c r="B21" s="3"/>
      <c r="C21" s="468" t="s">
        <v>175</v>
      </c>
      <c r="D21" s="469"/>
      <c r="E21" s="7"/>
      <c r="F21" s="43">
        <f>'TST1'!F21+'TST2'!F21+MKT!F21+SYShin!F21+JGChoi!F21</f>
        <v>0</v>
      </c>
      <c r="G21" s="43">
        <f>'TST1'!G21+'TST2'!G21+MKT!G21+SYShin!G21+JGChoi!G21</f>
        <v>0</v>
      </c>
      <c r="H21" s="43">
        <f>'TST1'!H21+'TST2'!H21+MKT!H21+SYShin!H21+JGChoi!H21</f>
        <v>0</v>
      </c>
      <c r="I21" s="34">
        <f t="shared" si="10"/>
        <v>0</v>
      </c>
      <c r="J21" s="43">
        <f>'TST1'!J21+'TST2'!J21+MKT!J21+SYShin!J21+JGChoi!J21</f>
        <v>0</v>
      </c>
      <c r="K21" s="43">
        <f>'TST1'!K21+'TST2'!K21+MKT!K21+SYShin!K21+JGChoi!K21</f>
        <v>0</v>
      </c>
      <c r="L21" s="43">
        <f>'TST1'!L21+'TST2'!L21+MKT!L21+SYShin!L21+JGChoi!L21</f>
        <v>0</v>
      </c>
      <c r="M21" s="34">
        <f t="shared" si="11"/>
        <v>0</v>
      </c>
      <c r="N21" s="43">
        <f>'TST1'!N21+'TST2'!N21+MKT!N21+SYShin!N21+JGChoi!N21</f>
        <v>0</v>
      </c>
      <c r="O21" s="43">
        <f>'TST1'!O21+'TST2'!O21+MKT!O21+SYShin!O21+JGChoi!O21</f>
        <v>0</v>
      </c>
      <c r="P21" s="43">
        <f>'TST1'!P21+'TST2'!P21+MKT!P21+SYShin!P21+JGChoi!P21</f>
        <v>0</v>
      </c>
      <c r="Q21" s="34">
        <f t="shared" si="12"/>
        <v>0</v>
      </c>
      <c r="R21" s="43">
        <f>'TST1'!R21+'TST2'!R21+MKT!R21+SYShin!R21+JGChoi!R21</f>
        <v>0</v>
      </c>
      <c r="S21" s="43">
        <f>'TST1'!S21+'TST2'!S21+MKT!S21+SYShin!S21+JGChoi!S21</f>
        <v>0</v>
      </c>
      <c r="T21" s="43">
        <f>'TST1'!T21+'TST2'!T21+MKT!T21+SYShin!T21+JGChoi!T21</f>
        <v>0</v>
      </c>
      <c r="U21" s="34">
        <f t="shared" si="13"/>
        <v>0</v>
      </c>
      <c r="V21" s="34">
        <f t="shared" si="14"/>
        <v>0</v>
      </c>
    </row>
    <row r="22" spans="1:22" s="111" customFormat="1" ht="12.75" customHeight="1" outlineLevel="1">
      <c r="A22" s="465"/>
      <c r="B22" s="3"/>
      <c r="C22" s="468" t="s">
        <v>176</v>
      </c>
      <c r="D22" s="469"/>
      <c r="E22" s="7"/>
      <c r="F22" s="43">
        <f>'TST1'!F22+'TST2'!F22+MKT!F22+SYShin!F22+JGChoi!F22</f>
        <v>0</v>
      </c>
      <c r="G22" s="43">
        <f>'TST1'!G22+'TST2'!G22+MKT!G22+SYShin!G22+JGChoi!G22</f>
        <v>0</v>
      </c>
      <c r="H22" s="43">
        <f>'TST1'!H22+'TST2'!H22+MKT!H22+SYShin!H22+JGChoi!H22</f>
        <v>0</v>
      </c>
      <c r="I22" s="34">
        <f t="shared" si="10"/>
        <v>0</v>
      </c>
      <c r="J22" s="43">
        <f>'TST1'!J22+'TST2'!J22+MKT!J22+SYShin!J22+JGChoi!J22</f>
        <v>0</v>
      </c>
      <c r="K22" s="43">
        <f>'TST1'!K22+'TST2'!K22+MKT!K22+SYShin!K22+JGChoi!K22</f>
        <v>0</v>
      </c>
      <c r="L22" s="43">
        <f>'TST1'!L22+'TST2'!L22+MKT!L22+SYShin!L22+JGChoi!L22</f>
        <v>0</v>
      </c>
      <c r="M22" s="34">
        <f>L22+K22+J22</f>
        <v>0</v>
      </c>
      <c r="N22" s="43">
        <f>'TST1'!N22+'TST2'!N22+MKT!N22+SYShin!N22+JGChoi!N22</f>
        <v>0</v>
      </c>
      <c r="O22" s="43">
        <f>'TST1'!O22+'TST2'!O22+MKT!O22+SYShin!O22+JGChoi!O22</f>
        <v>0</v>
      </c>
      <c r="P22" s="43">
        <f>'TST1'!P22+'TST2'!P22+MKT!P22+SYShin!P22+JGChoi!P22</f>
        <v>0</v>
      </c>
      <c r="Q22" s="34">
        <f t="shared" si="12"/>
        <v>0</v>
      </c>
      <c r="R22" s="43">
        <f>'TST1'!R22+'TST2'!R22+MKT!R22+SYShin!R22+JGChoi!R22</f>
        <v>0</v>
      </c>
      <c r="S22" s="43">
        <f>'TST1'!S22+'TST2'!S22+MKT!S22+SYShin!S22+JGChoi!S22</f>
        <v>0</v>
      </c>
      <c r="T22" s="43">
        <f>'TST1'!T22+'TST2'!T22+MKT!T22+SYShin!T22+JGChoi!T22</f>
        <v>0</v>
      </c>
      <c r="U22" s="34">
        <f t="shared" si="13"/>
        <v>0</v>
      </c>
      <c r="V22" s="34">
        <f>U22+Q22+M22+I22</f>
        <v>0</v>
      </c>
    </row>
    <row r="23" spans="1:22" s="111" customFormat="1" ht="12.75" customHeight="1" outlineLevel="1">
      <c r="A23" s="465"/>
      <c r="B23" s="3"/>
      <c r="C23" s="457" t="s">
        <v>203</v>
      </c>
      <c r="D23" s="470"/>
      <c r="E23" s="7"/>
      <c r="F23" s="43">
        <f>'TST1'!F23+'TST2'!F23+MKT!F23+SYShin!F23+JGChoi!F23</f>
        <v>57000</v>
      </c>
      <c r="G23" s="43">
        <f>'TST1'!G23+'TST2'!G23+MKT!G23+SYShin!G23+JGChoi!G23</f>
        <v>57000</v>
      </c>
      <c r="H23" s="43">
        <f>'TST1'!H23+'TST2'!H23+MKT!H23+SYShin!H23+JGChoi!H23</f>
        <v>57000</v>
      </c>
      <c r="I23" s="34">
        <f t="shared" si="10"/>
        <v>171000</v>
      </c>
      <c r="J23" s="43">
        <f>'TST1'!J23+'TST2'!J23+MKT!J23+SYShin!J23+JGChoi!J23</f>
        <v>57000</v>
      </c>
      <c r="K23" s="43">
        <f>'TST1'!K23+'TST2'!K23+MKT!K23+SYShin!K23+JGChoi!K23</f>
        <v>57000</v>
      </c>
      <c r="L23" s="43">
        <f>'TST1'!L23+'TST2'!L23+MKT!L23+SYShin!L23+JGChoi!L23</f>
        <v>57000</v>
      </c>
      <c r="M23" s="34">
        <f>L23+K23+J23</f>
        <v>171000</v>
      </c>
      <c r="N23" s="43">
        <f>'TST1'!N23+'TST2'!N23+MKT!N23+SYShin!N23+JGChoi!N23</f>
        <v>57000</v>
      </c>
      <c r="O23" s="43">
        <f>'TST1'!O23+'TST2'!O23+MKT!O23+SYShin!O23+JGChoi!O23</f>
        <v>57000</v>
      </c>
      <c r="P23" s="43">
        <f>'TST1'!P23+'TST2'!P23+MKT!P23+SYShin!P23+JGChoi!P23</f>
        <v>57000</v>
      </c>
      <c r="Q23" s="54">
        <f t="shared" si="12"/>
        <v>171000</v>
      </c>
      <c r="R23" s="43">
        <f>'TST1'!R23+'TST2'!R23+MKT!R23+SYShin!R23+JGChoi!R23</f>
        <v>57000</v>
      </c>
      <c r="S23" s="43">
        <f>'TST1'!S23+'TST2'!S23+MKT!S23+SYShin!S23+JGChoi!S23</f>
        <v>57000</v>
      </c>
      <c r="T23" s="43">
        <f>'TST1'!T23+'TST2'!T23+MKT!T23+SYShin!T23+JGChoi!T23</f>
        <v>57000</v>
      </c>
      <c r="U23" s="34">
        <f t="shared" ref="U23" si="15">T23+S23+R23</f>
        <v>171000</v>
      </c>
      <c r="V23" s="34">
        <f>U23+Q23+M23+I23</f>
        <v>684000</v>
      </c>
    </row>
    <row r="24" spans="1:22" s="111" customFormat="1" ht="12.75" customHeight="1" outlineLevel="1">
      <c r="A24" s="465"/>
      <c r="B24" s="3"/>
      <c r="C24" s="457" t="s">
        <v>184</v>
      </c>
      <c r="D24" s="458"/>
      <c r="E24" s="7"/>
      <c r="F24" s="43">
        <f>'TST1'!F24+'TST2'!F24+MKT!F24+SYShin!F24+JGChoi!F24</f>
        <v>967000</v>
      </c>
      <c r="G24" s="43">
        <f>'TST1'!G24+'TST2'!G24+MKT!G24+SYShin!G24+JGChoi!G24</f>
        <v>967000</v>
      </c>
      <c r="H24" s="43">
        <f>'TST1'!H24+'TST2'!H24+MKT!H24+SYShin!H24+JGChoi!H24</f>
        <v>967000</v>
      </c>
      <c r="I24" s="34">
        <f t="shared" si="10"/>
        <v>2901000</v>
      </c>
      <c r="J24" s="43">
        <f>'TST1'!J24+'TST2'!J24+MKT!J24+SYShin!J24+JGChoi!J24</f>
        <v>967000</v>
      </c>
      <c r="K24" s="43">
        <f>'TST1'!K24+'TST2'!K24+MKT!K24+SYShin!K24+JGChoi!K24</f>
        <v>967000</v>
      </c>
      <c r="L24" s="43">
        <f>'TST1'!L24+'TST2'!L24+MKT!L24+SYShin!L24+JGChoi!L24</f>
        <v>967000</v>
      </c>
      <c r="M24" s="34">
        <f t="shared" ref="M24:M25" si="16">L24+K24+J24</f>
        <v>2901000</v>
      </c>
      <c r="N24" s="43">
        <f>'TST1'!N24+'TST2'!N24+MKT!N24+SYShin!N24+JGChoi!N24</f>
        <v>967000</v>
      </c>
      <c r="O24" s="43">
        <f>'TST1'!O24+'TST2'!O24+MKT!O24+SYShin!O24+JGChoi!O24</f>
        <v>967000</v>
      </c>
      <c r="P24" s="43">
        <f>'TST1'!P24+'TST2'!P24+MKT!P24+SYShin!P24+JGChoi!P24</f>
        <v>967000</v>
      </c>
      <c r="Q24" s="54">
        <f t="shared" ref="Q24:Q25" si="17">P24+O24+N24</f>
        <v>2901000</v>
      </c>
      <c r="R24" s="43">
        <f>'TST1'!R24+'TST2'!R24+MKT!R24+SYShin!R24+JGChoi!R24</f>
        <v>967000</v>
      </c>
      <c r="S24" s="43">
        <f>'TST1'!S24+'TST2'!S24+MKT!S24+SYShin!S24+JGChoi!S24</f>
        <v>967000</v>
      </c>
      <c r="T24" s="43">
        <f>'TST1'!T24+'TST2'!T24+MKT!T24+SYShin!T24+JGChoi!T24</f>
        <v>967000</v>
      </c>
      <c r="U24" s="34">
        <f t="shared" ref="U24:U25" si="18">T24+S24+R24</f>
        <v>2901000</v>
      </c>
      <c r="V24" s="34">
        <f t="shared" ref="V24:V25" si="19">U24+Q24+M24+I24</f>
        <v>11604000</v>
      </c>
    </row>
    <row r="25" spans="1:22" s="111" customFormat="1" ht="12.75" customHeight="1" outlineLevel="1">
      <c r="A25" s="465"/>
      <c r="B25" s="3"/>
      <c r="C25" s="457" t="s">
        <v>183</v>
      </c>
      <c r="D25" s="458"/>
      <c r="E25" s="7">
        <v>0</v>
      </c>
      <c r="F25" s="43">
        <f>'TST1'!F25+'TST2'!F25+MKT!F25+SYShin!F25+JGChoi!F25</f>
        <v>0</v>
      </c>
      <c r="G25" s="43">
        <f>'TST1'!G25+'TST2'!G25+MKT!G25+SYShin!G25+JGChoi!G25</f>
        <v>0</v>
      </c>
      <c r="H25" s="43">
        <f>'TST1'!H25+'TST2'!H25+MKT!H25+SYShin!H25+JGChoi!H25</f>
        <v>0</v>
      </c>
      <c r="I25" s="34">
        <f t="shared" si="10"/>
        <v>0</v>
      </c>
      <c r="J25" s="43">
        <f>'TST1'!J25+'TST2'!J25+MKT!J25+SYShin!J25+JGChoi!J25</f>
        <v>0</v>
      </c>
      <c r="K25" s="43">
        <f>'TST1'!K25+'TST2'!K25+MKT!K25+SYShin!K25+JGChoi!K25</f>
        <v>0</v>
      </c>
      <c r="L25" s="43">
        <f>'TST1'!L25+'TST2'!L25+MKT!L25+SYShin!L25+JGChoi!L25</f>
        <v>0</v>
      </c>
      <c r="M25" s="34">
        <f t="shared" si="16"/>
        <v>0</v>
      </c>
      <c r="N25" s="43">
        <f>'TST1'!N25+'TST2'!N25+MKT!N25+SYShin!N25+JGChoi!N25</f>
        <v>0</v>
      </c>
      <c r="O25" s="43">
        <f>'TST1'!O25+'TST2'!O25+MKT!O25+SYShin!O25+JGChoi!O25</f>
        <v>0</v>
      </c>
      <c r="P25" s="43">
        <f>'TST1'!P25+'TST2'!P25+MKT!P25+SYShin!P25+JGChoi!P25</f>
        <v>0</v>
      </c>
      <c r="Q25" s="54">
        <f t="shared" si="17"/>
        <v>0</v>
      </c>
      <c r="R25" s="43">
        <f>'TST1'!R25+'TST2'!R25+MKT!R25+SYShin!R25+JGChoi!R25</f>
        <v>0</v>
      </c>
      <c r="S25" s="43">
        <f>'TST1'!S25+'TST2'!S25+MKT!S25+SYShin!S25+JGChoi!S25</f>
        <v>0</v>
      </c>
      <c r="T25" s="43">
        <f>'TST1'!T25+'TST2'!T25+MKT!T25+SYShin!T25+JGChoi!T25</f>
        <v>0</v>
      </c>
      <c r="U25" s="34">
        <f t="shared" si="18"/>
        <v>0</v>
      </c>
      <c r="V25" s="34">
        <f t="shared" si="19"/>
        <v>0</v>
      </c>
    </row>
    <row r="26" spans="1:22" s="111" customFormat="1" ht="12.75" customHeight="1">
      <c r="A26" s="459" t="s">
        <v>177</v>
      </c>
      <c r="B26" s="460"/>
      <c r="C26" s="460"/>
      <c r="D26" s="461"/>
      <c r="E26" s="8"/>
      <c r="F26" s="44">
        <f t="shared" ref="F26:V26" si="20">SUM(F16:F25)</f>
        <v>336082000</v>
      </c>
      <c r="G26" s="44">
        <f t="shared" ref="G26:H26" si="21">SUM(G16:G25)</f>
        <v>109024000</v>
      </c>
      <c r="H26" s="44">
        <f t="shared" si="21"/>
        <v>109024000</v>
      </c>
      <c r="I26" s="35">
        <f t="shared" si="20"/>
        <v>554130000</v>
      </c>
      <c r="J26" s="44">
        <f t="shared" ref="J26:L26" si="22">SUM(J16:J25)</f>
        <v>109024000</v>
      </c>
      <c r="K26" s="44">
        <f t="shared" si="22"/>
        <v>109024000</v>
      </c>
      <c r="L26" s="44">
        <f t="shared" si="22"/>
        <v>109024000</v>
      </c>
      <c r="M26" s="35">
        <f t="shared" si="20"/>
        <v>327072000</v>
      </c>
      <c r="N26" s="44">
        <f t="shared" ref="N26:P26" si="23">SUM(N16:N25)</f>
        <v>109024000</v>
      </c>
      <c r="O26" s="44">
        <f t="shared" si="23"/>
        <v>109024000</v>
      </c>
      <c r="P26" s="44">
        <f t="shared" si="23"/>
        <v>109024000</v>
      </c>
      <c r="Q26" s="35">
        <f t="shared" si="20"/>
        <v>327072000</v>
      </c>
      <c r="R26" s="44">
        <f t="shared" ref="R26:T26" si="24">SUM(R16:R25)</f>
        <v>109024000</v>
      </c>
      <c r="S26" s="44">
        <f t="shared" si="24"/>
        <v>109024000</v>
      </c>
      <c r="T26" s="44">
        <f t="shared" si="24"/>
        <v>109024000</v>
      </c>
      <c r="U26" s="35">
        <f t="shared" si="20"/>
        <v>327072000</v>
      </c>
      <c r="V26" s="35">
        <f t="shared" si="20"/>
        <v>1535346000</v>
      </c>
    </row>
    <row r="27" spans="1:22" s="111" customFormat="1" ht="8.25" customHeight="1">
      <c r="A27" s="122"/>
      <c r="B27" s="123"/>
      <c r="C27" s="123"/>
      <c r="D27" s="124"/>
      <c r="E27" s="8"/>
      <c r="F27" s="43"/>
      <c r="G27" s="43"/>
      <c r="H27" s="43"/>
      <c r="I27" s="34"/>
      <c r="J27" s="43"/>
      <c r="K27" s="43"/>
      <c r="L27" s="43"/>
      <c r="M27" s="34"/>
      <c r="N27" s="43"/>
      <c r="O27" s="43"/>
      <c r="P27" s="43"/>
      <c r="Q27" s="34"/>
      <c r="R27" s="43"/>
      <c r="S27" s="43"/>
      <c r="T27" s="43"/>
      <c r="U27" s="34"/>
      <c r="V27" s="34"/>
    </row>
    <row r="28" spans="1:22" s="111" customFormat="1" ht="12.75" customHeight="1">
      <c r="A28" s="462" t="s">
        <v>178</v>
      </c>
      <c r="B28" s="463"/>
      <c r="C28" s="463"/>
      <c r="D28" s="464"/>
      <c r="E28" s="8"/>
      <c r="F28" s="43"/>
      <c r="G28" s="43"/>
      <c r="H28" s="43"/>
      <c r="I28" s="34"/>
      <c r="J28" s="43"/>
      <c r="K28" s="43"/>
      <c r="L28" s="43"/>
      <c r="M28" s="34"/>
      <c r="N28" s="43"/>
      <c r="O28" s="43"/>
      <c r="P28" s="43"/>
      <c r="Q28" s="34"/>
      <c r="R28" s="43"/>
      <c r="S28" s="43"/>
      <c r="T28" s="43"/>
      <c r="U28" s="34"/>
      <c r="V28" s="34"/>
    </row>
    <row r="29" spans="1:22" s="111" customFormat="1" ht="12.75" customHeight="1">
      <c r="A29" s="125"/>
      <c r="B29" s="4"/>
      <c r="C29" s="455" t="s">
        <v>179</v>
      </c>
      <c r="D29" s="456"/>
      <c r="E29" s="8"/>
      <c r="F29" s="44">
        <f t="shared" ref="F29:V29" si="25">F12-F26</f>
        <v>781385000</v>
      </c>
      <c r="G29" s="44">
        <f t="shared" ref="G29:H29" si="26">G12-G26</f>
        <v>113976000</v>
      </c>
      <c r="H29" s="44">
        <f t="shared" si="26"/>
        <v>113976000</v>
      </c>
      <c r="I29" s="35">
        <f t="shared" si="25"/>
        <v>1009337000</v>
      </c>
      <c r="J29" s="44">
        <f t="shared" ref="J29:L29" si="27">J12-J26</f>
        <v>113976000</v>
      </c>
      <c r="K29" s="44">
        <f t="shared" si="27"/>
        <v>113976000</v>
      </c>
      <c r="L29" s="44">
        <f t="shared" si="27"/>
        <v>113976000</v>
      </c>
      <c r="M29" s="35">
        <f t="shared" si="25"/>
        <v>341928000</v>
      </c>
      <c r="N29" s="44">
        <f t="shared" ref="N29:P29" si="28">N12-N26</f>
        <v>113976000</v>
      </c>
      <c r="O29" s="44">
        <f t="shared" si="28"/>
        <v>113976000</v>
      </c>
      <c r="P29" s="44">
        <f t="shared" si="28"/>
        <v>113976000</v>
      </c>
      <c r="Q29" s="35">
        <f t="shared" si="25"/>
        <v>341928000</v>
      </c>
      <c r="R29" s="44">
        <f t="shared" ref="R29:T29" si="29">R12-R26</f>
        <v>113976000</v>
      </c>
      <c r="S29" s="44">
        <f t="shared" si="29"/>
        <v>113976000</v>
      </c>
      <c r="T29" s="44">
        <f t="shared" si="29"/>
        <v>113976000</v>
      </c>
      <c r="U29" s="35">
        <f t="shared" si="25"/>
        <v>341928000</v>
      </c>
      <c r="V29" s="35">
        <f t="shared" si="25"/>
        <v>2035121000</v>
      </c>
    </row>
    <row r="30" spans="1:22" s="111" customFormat="1" ht="12.75" customHeight="1">
      <c r="A30" s="121"/>
      <c r="B30" s="3"/>
      <c r="C30" s="3"/>
      <c r="D30" s="118" t="s">
        <v>180</v>
      </c>
      <c r="E30" s="7"/>
      <c r="F30" s="126">
        <f t="shared" ref="F30:V30" si="30">IF(F12=0,0,F29/F12)</f>
        <v>0.6992465996758741</v>
      </c>
      <c r="G30" s="126">
        <f t="shared" ref="G30:H30" si="31">IF(G12=0,0,G29/G12)</f>
        <v>0.51110313901345295</v>
      </c>
      <c r="H30" s="126">
        <f t="shared" si="31"/>
        <v>0.51110313901345295</v>
      </c>
      <c r="I30" s="127">
        <f t="shared" si="30"/>
        <v>0.64557614583486567</v>
      </c>
      <c r="J30" s="126">
        <f t="shared" ref="J30:L30" si="32">IF(J12=0,0,J29/J12)</f>
        <v>0.51110313901345295</v>
      </c>
      <c r="K30" s="126">
        <f t="shared" si="32"/>
        <v>0.51110313901345295</v>
      </c>
      <c r="L30" s="126">
        <f t="shared" si="32"/>
        <v>0.51110313901345295</v>
      </c>
      <c r="M30" s="127">
        <f t="shared" si="30"/>
        <v>0.51110313901345295</v>
      </c>
      <c r="N30" s="126">
        <f t="shared" ref="N30:P30" si="33">IF(N12=0,0,N29/N12)</f>
        <v>0.51110313901345295</v>
      </c>
      <c r="O30" s="126">
        <f t="shared" si="33"/>
        <v>0.51110313901345295</v>
      </c>
      <c r="P30" s="126">
        <f t="shared" si="33"/>
        <v>0.51110313901345295</v>
      </c>
      <c r="Q30" s="127">
        <f t="shared" si="30"/>
        <v>0.51110313901345295</v>
      </c>
      <c r="R30" s="126">
        <f t="shared" ref="R30:T30" si="34">IF(R12=0,0,R29/R12)</f>
        <v>0.51110313901345295</v>
      </c>
      <c r="S30" s="126">
        <f t="shared" si="34"/>
        <v>0.51110313901345295</v>
      </c>
      <c r="T30" s="126">
        <f t="shared" si="34"/>
        <v>0.51110313901345295</v>
      </c>
      <c r="U30" s="127">
        <f t="shared" si="30"/>
        <v>0.51110313901345295</v>
      </c>
      <c r="V30" s="127">
        <f t="shared" si="30"/>
        <v>0.56998734339233492</v>
      </c>
    </row>
    <row r="31" spans="1:22" ht="13.15" outlineLevel="1">
      <c r="A31" s="21" t="s">
        <v>49</v>
      </c>
      <c r="B31" s="22"/>
      <c r="C31" s="22"/>
      <c r="D31" s="22"/>
      <c r="F31" s="43"/>
      <c r="G31" s="43"/>
      <c r="H31" s="43"/>
      <c r="I31" s="34"/>
      <c r="J31" s="43"/>
      <c r="K31" s="43"/>
      <c r="L31" s="43"/>
      <c r="M31" s="34"/>
      <c r="N31" s="43"/>
      <c r="O31" s="43"/>
      <c r="P31" s="43"/>
      <c r="Q31" s="34"/>
      <c r="R31" s="43"/>
      <c r="S31" s="43"/>
      <c r="T31" s="43"/>
      <c r="U31" s="34"/>
      <c r="V31" s="34"/>
    </row>
    <row r="32" spans="1:22" ht="13.5" outlineLevel="2">
      <c r="A32" s="22"/>
      <c r="B32" s="22"/>
      <c r="C32" s="23" t="s">
        <v>37</v>
      </c>
      <c r="D32" s="24"/>
      <c r="E32" s="8"/>
      <c r="F32" s="43"/>
      <c r="G32" s="43"/>
      <c r="H32" s="43"/>
      <c r="I32" s="34"/>
      <c r="J32" s="43"/>
      <c r="K32" s="43"/>
      <c r="L32" s="43"/>
      <c r="M32" s="34"/>
      <c r="N32" s="43"/>
      <c r="O32" s="43"/>
      <c r="P32" s="43"/>
      <c r="Q32" s="34"/>
      <c r="R32" s="43"/>
      <c r="S32" s="43"/>
      <c r="T32" s="43"/>
      <c r="U32" s="34"/>
      <c r="V32" s="34"/>
    </row>
    <row r="33" spans="1:22" ht="13.15" outlineLevel="2">
      <c r="A33" s="22"/>
      <c r="B33" s="22"/>
      <c r="C33" s="22"/>
      <c r="D33" s="25" t="s">
        <v>27</v>
      </c>
      <c r="E33" s="7">
        <v>0</v>
      </c>
      <c r="F33" s="43">
        <f>'TST1'!F33+'TST2'!F33+MKT!F33+SYShin!F33+JGChoi!F33</f>
        <v>58000000</v>
      </c>
      <c r="G33" s="43">
        <f>'TST1'!G33+'TST2'!G33+MKT!G33+SYShin!G33+JGChoi!G33</f>
        <v>58000000</v>
      </c>
      <c r="H33" s="43">
        <f>'TST1'!H33+'TST2'!H33+MKT!H33+SYShin!H33+JGChoi!H33</f>
        <v>58000000</v>
      </c>
      <c r="I33" s="34">
        <f>SUM(F33:H33)</f>
        <v>174000000</v>
      </c>
      <c r="J33" s="43">
        <f>'TST1'!J33+'TST2'!J33+MKT!J33+SYShin!J33+JGChoi!J33</f>
        <v>58000000</v>
      </c>
      <c r="K33" s="43">
        <f>'TST1'!K33+'TST2'!K33+MKT!K33+SYShin!K33+JGChoi!K33</f>
        <v>58000000</v>
      </c>
      <c r="L33" s="43">
        <f>'TST1'!L33+'TST2'!L33+MKT!L33+SYShin!L33+JGChoi!L33</f>
        <v>58000000</v>
      </c>
      <c r="M33" s="34">
        <f>SUM(J33:L33)</f>
        <v>174000000</v>
      </c>
      <c r="N33" s="43">
        <f>'TST1'!N33+'TST2'!N33+MKT!N33+SYShin!N33+JGChoi!N33</f>
        <v>58000000</v>
      </c>
      <c r="O33" s="43">
        <f>'TST1'!O33+'TST2'!O33+MKT!O33+SYShin!O33+JGChoi!O33</f>
        <v>58000000</v>
      </c>
      <c r="P33" s="43">
        <f>'TST1'!P33+'TST2'!P33+MKT!P33+SYShin!P33+JGChoi!P33</f>
        <v>58000000</v>
      </c>
      <c r="Q33" s="34">
        <f>SUM(N33:P33)</f>
        <v>174000000</v>
      </c>
      <c r="R33" s="43">
        <f>'TST1'!R33+'TST2'!R33+MKT!R33+SYShin!R33+JGChoi!R33</f>
        <v>58000000</v>
      </c>
      <c r="S33" s="43">
        <f>'TST1'!S33+'TST2'!S33+MKT!S33+SYShin!S33+JGChoi!S33</f>
        <v>58000000</v>
      </c>
      <c r="T33" s="43">
        <f>'TST1'!T33+'TST2'!T33+MKT!T33+SYShin!T33+JGChoi!T33</f>
        <v>58000000</v>
      </c>
      <c r="U33" s="34">
        <f>SUM(R33:T33)</f>
        <v>174000000</v>
      </c>
      <c r="V33" s="34">
        <f t="shared" ref="V33:V37" si="35">I33+M33+Q33+U33</f>
        <v>696000000</v>
      </c>
    </row>
    <row r="34" spans="1:22" ht="13.15" outlineLevel="2">
      <c r="A34" s="22"/>
      <c r="B34" s="22"/>
      <c r="C34" s="22"/>
      <c r="D34" s="25" t="s">
        <v>73</v>
      </c>
      <c r="F34" s="43">
        <f>'TST1'!F34+'TST2'!F34+MKT!F34+SYShin!F34+JGChoi!F34</f>
        <v>0</v>
      </c>
      <c r="G34" s="43">
        <f>'TST1'!G34+'TST2'!G34+MKT!G34+SYShin!G34+JGChoi!G34</f>
        <v>0</v>
      </c>
      <c r="H34" s="43">
        <f>'TST1'!H34+'TST2'!H34+MKT!H34+SYShin!H34+JGChoi!H34</f>
        <v>0</v>
      </c>
      <c r="I34" s="34">
        <f>SUM(F34:H34)</f>
        <v>0</v>
      </c>
      <c r="J34" s="43">
        <f>'TST1'!J34+'TST2'!J34+MKT!J34+SYShin!J34+JGChoi!J34</f>
        <v>0</v>
      </c>
      <c r="K34" s="43">
        <f>'TST1'!K34+'TST2'!K34+MKT!K34+SYShin!K34+JGChoi!K34</f>
        <v>0</v>
      </c>
      <c r="L34" s="43">
        <f>'TST1'!L34+'TST2'!L34+MKT!L34+SYShin!L34+JGChoi!L34</f>
        <v>0</v>
      </c>
      <c r="M34" s="34">
        <f>SUM(J34:L34)</f>
        <v>0</v>
      </c>
      <c r="N34" s="43">
        <f>'TST1'!N34+'TST2'!N34+MKT!N34+SYShin!N34+JGChoi!N34</f>
        <v>0</v>
      </c>
      <c r="O34" s="43">
        <f>'TST1'!O34+'TST2'!O34+MKT!O34+SYShin!O34+JGChoi!O34</f>
        <v>0</v>
      </c>
      <c r="P34" s="43">
        <f>'TST1'!P34+'TST2'!P34+MKT!P34+SYShin!P34+JGChoi!P34</f>
        <v>0</v>
      </c>
      <c r="Q34" s="34">
        <f>SUM(N34:P34)</f>
        <v>0</v>
      </c>
      <c r="R34" s="43">
        <f>'TST1'!R34+'TST2'!R34+MKT!R34+SYShin!R34+JGChoi!R34</f>
        <v>0</v>
      </c>
      <c r="S34" s="43">
        <f>'TST1'!S34+'TST2'!S34+MKT!S34+SYShin!S34+JGChoi!S34</f>
        <v>0</v>
      </c>
      <c r="T34" s="43">
        <f>'TST1'!T34+'TST2'!T34+MKT!T34+SYShin!T34+JGChoi!T34</f>
        <v>0</v>
      </c>
      <c r="U34" s="34">
        <f>SUM(R34:T34)</f>
        <v>0</v>
      </c>
      <c r="V34" s="34">
        <f t="shared" si="35"/>
        <v>0</v>
      </c>
    </row>
    <row r="35" spans="1:22" ht="13.15" outlineLevel="2">
      <c r="A35" s="22"/>
      <c r="B35" s="22"/>
      <c r="C35" s="22"/>
      <c r="D35" s="25" t="s">
        <v>55</v>
      </c>
      <c r="E35" s="7">
        <v>0</v>
      </c>
      <c r="F35" s="43">
        <f>'TST1'!F35+'TST2'!F35+MKT!F35+SYShin!F35+JGChoi!F35</f>
        <v>0</v>
      </c>
      <c r="G35" s="43">
        <f>'TST1'!G35+'TST2'!G35+MKT!G35+SYShin!G35+JGChoi!G35</f>
        <v>0</v>
      </c>
      <c r="H35" s="43">
        <f>'TST1'!H35+'TST2'!H35+MKT!H35+SYShin!H35+JGChoi!H35</f>
        <v>0</v>
      </c>
      <c r="I35" s="34">
        <f>SUM(F35:H35)</f>
        <v>0</v>
      </c>
      <c r="J35" s="43">
        <f>'TST1'!J35+'TST2'!J35+MKT!J35+SYShin!J35+JGChoi!J35</f>
        <v>0</v>
      </c>
      <c r="K35" s="43">
        <f>'TST1'!K35+'TST2'!K35+MKT!K35+SYShin!K35+JGChoi!K35</f>
        <v>0</v>
      </c>
      <c r="L35" s="43">
        <f>'TST1'!L35+'TST2'!L35+MKT!L35+SYShin!L35+JGChoi!L35</f>
        <v>0</v>
      </c>
      <c r="M35" s="34">
        <f>SUM(J35:L35)</f>
        <v>0</v>
      </c>
      <c r="N35" s="43">
        <f>'TST1'!N35+'TST2'!N35+MKT!N35+SYShin!N35+JGChoi!N35</f>
        <v>0</v>
      </c>
      <c r="O35" s="43">
        <f>'TST1'!O35+'TST2'!O35+MKT!O35+SYShin!O35+JGChoi!O35</f>
        <v>0</v>
      </c>
      <c r="P35" s="43">
        <f>'TST1'!P35+'TST2'!P35+MKT!P35+SYShin!P35+JGChoi!P35</f>
        <v>0</v>
      </c>
      <c r="Q35" s="34">
        <f>SUM(N35:P35)</f>
        <v>0</v>
      </c>
      <c r="R35" s="43">
        <f>'TST1'!R35+'TST2'!R35+MKT!R35+SYShin!R35+JGChoi!R35</f>
        <v>0</v>
      </c>
      <c r="S35" s="43">
        <f>'TST1'!S35+'TST2'!S35+MKT!S35+SYShin!S35+JGChoi!S35</f>
        <v>0</v>
      </c>
      <c r="T35" s="43">
        <f>'TST1'!T35+'TST2'!T35+MKT!T35+SYShin!T35+JGChoi!T35</f>
        <v>0</v>
      </c>
      <c r="U35" s="34">
        <f>SUM(R35:T35)</f>
        <v>0</v>
      </c>
      <c r="V35" s="34">
        <f t="shared" si="35"/>
        <v>0</v>
      </c>
    </row>
    <row r="36" spans="1:22" ht="13.15" outlineLevel="2">
      <c r="A36" s="22"/>
      <c r="B36" s="22"/>
      <c r="C36" s="22"/>
      <c r="D36" s="25" t="s">
        <v>96</v>
      </c>
      <c r="E36" s="7">
        <v>0</v>
      </c>
      <c r="F36" s="43">
        <f>'TST1'!F36+'TST2'!F36+MKT!F36+SYShin!F36+JGChoi!F36</f>
        <v>7000000</v>
      </c>
      <c r="G36" s="43">
        <f>'TST1'!G36+'TST2'!G36+MKT!G36+SYShin!G36+JGChoi!G36</f>
        <v>7000000</v>
      </c>
      <c r="H36" s="43">
        <f>'TST1'!H36+'TST2'!H36+MKT!H36+SYShin!H36+JGChoi!H36</f>
        <v>7000000</v>
      </c>
      <c r="I36" s="34">
        <f>SUM(F36:H36)</f>
        <v>21000000</v>
      </c>
      <c r="J36" s="43">
        <f>'TST1'!J36+'TST2'!J36+MKT!J36+SYShin!J36+JGChoi!J36</f>
        <v>7000000</v>
      </c>
      <c r="K36" s="43">
        <f>'TST1'!K36+'TST2'!K36+MKT!K36+SYShin!K36+JGChoi!K36</f>
        <v>7000000</v>
      </c>
      <c r="L36" s="43">
        <f>'TST1'!L36+'TST2'!L36+MKT!L36+SYShin!L36+JGChoi!L36</f>
        <v>7000000</v>
      </c>
      <c r="M36" s="34">
        <f>SUM(J36:L36)</f>
        <v>21000000</v>
      </c>
      <c r="N36" s="43">
        <f>'TST1'!N36+'TST2'!N36+MKT!N36+SYShin!N36+JGChoi!N36</f>
        <v>7000000</v>
      </c>
      <c r="O36" s="43">
        <f>'TST1'!O36+'TST2'!O36+MKT!O36+SYShin!O36+JGChoi!O36</f>
        <v>7000000</v>
      </c>
      <c r="P36" s="43">
        <f>'TST1'!P36+'TST2'!P36+MKT!P36+SYShin!P36+JGChoi!P36</f>
        <v>7000000</v>
      </c>
      <c r="Q36" s="34">
        <f>SUM(N36:P36)</f>
        <v>21000000</v>
      </c>
      <c r="R36" s="43">
        <f>'TST1'!R36+'TST2'!R36+MKT!R36+SYShin!R36+JGChoi!R36</f>
        <v>7000000</v>
      </c>
      <c r="S36" s="43">
        <f>'TST1'!S36+'TST2'!S36+MKT!S36+SYShin!S36+JGChoi!S36</f>
        <v>7000000</v>
      </c>
      <c r="T36" s="43">
        <f>'TST1'!T36+'TST2'!T36+MKT!T36+SYShin!T36+JGChoi!T36</f>
        <v>7000000</v>
      </c>
      <c r="U36" s="34">
        <f>SUM(R36:T36)</f>
        <v>21000000</v>
      </c>
      <c r="V36" s="34">
        <f t="shared" si="35"/>
        <v>84000000</v>
      </c>
    </row>
    <row r="37" spans="1:22" ht="13.15" outlineLevel="1">
      <c r="A37" s="24"/>
      <c r="B37" s="24" t="s">
        <v>0</v>
      </c>
      <c r="C37" s="24"/>
      <c r="D37" s="24"/>
      <c r="E37" s="8"/>
      <c r="F37" s="44">
        <f>SUM(F33:F36)</f>
        <v>65000000</v>
      </c>
      <c r="G37" s="44">
        <f t="shared" ref="G37" si="36">SUM(G33:G36)</f>
        <v>65000000</v>
      </c>
      <c r="H37" s="44">
        <f t="shared" ref="H37" si="37">SUM(H33:H36)</f>
        <v>65000000</v>
      </c>
      <c r="I37" s="35">
        <f>SUM(I33:I36)</f>
        <v>195000000</v>
      </c>
      <c r="J37" s="44">
        <f t="shared" ref="J37:L37" si="38">SUM(J33:J36)</f>
        <v>65000000</v>
      </c>
      <c r="K37" s="44">
        <f t="shared" si="38"/>
        <v>65000000</v>
      </c>
      <c r="L37" s="44">
        <f t="shared" si="38"/>
        <v>65000000</v>
      </c>
      <c r="M37" s="35">
        <f>SUM(M33:M36)</f>
        <v>195000000</v>
      </c>
      <c r="N37" s="44">
        <f t="shared" ref="N37:P37" si="39">SUM(N33:N36)</f>
        <v>65000000</v>
      </c>
      <c r="O37" s="44">
        <f t="shared" si="39"/>
        <v>65000000</v>
      </c>
      <c r="P37" s="44">
        <f t="shared" si="39"/>
        <v>65000000</v>
      </c>
      <c r="Q37" s="35">
        <f>SUM(Q33:Q36)</f>
        <v>195000000</v>
      </c>
      <c r="R37" s="44">
        <f t="shared" ref="R37:T37" si="40">SUM(R33:R36)</f>
        <v>65000000</v>
      </c>
      <c r="S37" s="44">
        <f t="shared" si="40"/>
        <v>65000000</v>
      </c>
      <c r="T37" s="44">
        <f t="shared" si="40"/>
        <v>65000000</v>
      </c>
      <c r="U37" s="35">
        <f>SUM(U33:U36)</f>
        <v>195000000</v>
      </c>
      <c r="V37" s="35">
        <f t="shared" si="35"/>
        <v>780000000</v>
      </c>
    </row>
    <row r="38" spans="1:22" ht="13.15" outlineLevel="2">
      <c r="A38" s="22"/>
      <c r="B38" s="22"/>
      <c r="C38" s="23" t="s">
        <v>38</v>
      </c>
      <c r="D38" s="22"/>
      <c r="F38" s="43"/>
      <c r="G38" s="43"/>
      <c r="H38" s="43"/>
      <c r="I38" s="34"/>
      <c r="J38" s="43"/>
      <c r="K38" s="43"/>
      <c r="L38" s="43"/>
      <c r="M38" s="34"/>
      <c r="N38" s="43"/>
      <c r="O38" s="43"/>
      <c r="P38" s="43"/>
      <c r="Q38" s="34"/>
      <c r="R38" s="43"/>
      <c r="S38" s="43"/>
      <c r="T38" s="43"/>
      <c r="U38" s="34"/>
      <c r="V38" s="34"/>
    </row>
    <row r="39" spans="1:22" ht="13.15" outlineLevel="2">
      <c r="A39" s="22"/>
      <c r="B39" s="22"/>
      <c r="C39" s="22"/>
      <c r="D39" s="25" t="s">
        <v>30</v>
      </c>
      <c r="E39" s="7">
        <v>0</v>
      </c>
      <c r="F39" s="43">
        <f>'TST1'!F39+'TST2'!F39+MKT!F39+SYShin!F39+JGChoi!F39</f>
        <v>2100000</v>
      </c>
      <c r="G39" s="43">
        <f>'TST1'!G39+'TST2'!G39+MKT!G39+SYShin!G39+JGChoi!G39</f>
        <v>2100000</v>
      </c>
      <c r="H39" s="43">
        <f>'TST1'!H39+'TST2'!H39+MKT!H39+SYShin!H39+JGChoi!H39</f>
        <v>2100000</v>
      </c>
      <c r="I39" s="34">
        <f t="shared" ref="I39:I50" si="41">SUM(F39:H39)</f>
        <v>6300000</v>
      </c>
      <c r="J39" s="43">
        <f>'TST1'!J39+'TST2'!J39+MKT!J39+SYShin!J39+JGChoi!J39</f>
        <v>2100000</v>
      </c>
      <c r="K39" s="43">
        <f>'TST1'!K39+'TST2'!K39+MKT!K39+SYShin!K39+JGChoi!K39</f>
        <v>2100000</v>
      </c>
      <c r="L39" s="43">
        <f>'TST1'!L39+'TST2'!L39+MKT!L39+SYShin!L39+JGChoi!L39</f>
        <v>2100000</v>
      </c>
      <c r="M39" s="34">
        <f t="shared" ref="M39:M50" si="42">SUM(J39:L39)</f>
        <v>6300000</v>
      </c>
      <c r="N39" s="43">
        <f>'TST1'!N39+'TST2'!N39+MKT!N39+SYShin!N39+JGChoi!N39</f>
        <v>2100000</v>
      </c>
      <c r="O39" s="43">
        <f>'TST1'!O39+'TST2'!O39+MKT!O39+SYShin!O39+JGChoi!O39</f>
        <v>2100000</v>
      </c>
      <c r="P39" s="43">
        <f>'TST1'!P39+'TST2'!P39+MKT!P39+SYShin!P39+JGChoi!P39</f>
        <v>2100000</v>
      </c>
      <c r="Q39" s="34">
        <f t="shared" ref="Q39:Q50" si="43">SUM(N39:P39)</f>
        <v>6300000</v>
      </c>
      <c r="R39" s="43">
        <f>'TST1'!R39+'TST2'!R39+MKT!R39+SYShin!R39+JGChoi!R39</f>
        <v>2100000</v>
      </c>
      <c r="S39" s="43">
        <f>'TST1'!S39+'TST2'!S39+MKT!S39+SYShin!S39+JGChoi!S39</f>
        <v>2100000</v>
      </c>
      <c r="T39" s="43">
        <f>'TST1'!T39+'TST2'!T39+MKT!T39+SYShin!T39+JGChoi!T39</f>
        <v>2100000</v>
      </c>
      <c r="U39" s="34">
        <f t="shared" ref="U39:U50" si="44">SUM(R39:T39)</f>
        <v>6300000</v>
      </c>
      <c r="V39" s="34">
        <f t="shared" ref="V39:V53" si="45">I39+M39+Q39+U39</f>
        <v>25200000</v>
      </c>
    </row>
    <row r="40" spans="1:22" ht="13.15" outlineLevel="2">
      <c r="A40" s="22"/>
      <c r="B40" s="22"/>
      <c r="C40" s="22"/>
      <c r="D40" s="25" t="s">
        <v>31</v>
      </c>
      <c r="E40" s="7">
        <v>0</v>
      </c>
      <c r="F40" s="43">
        <f>'TST1'!F40+'TST2'!F40+MKT!F40+SYShin!F40+JGChoi!F40</f>
        <v>2300000</v>
      </c>
      <c r="G40" s="43">
        <f>'TST1'!G40+'TST2'!G40+MKT!G40+SYShin!G40+JGChoi!G40</f>
        <v>2300000</v>
      </c>
      <c r="H40" s="43">
        <f>'TST1'!H40+'TST2'!H40+MKT!H40+SYShin!H40+JGChoi!H40</f>
        <v>2300000</v>
      </c>
      <c r="I40" s="34">
        <f t="shared" si="41"/>
        <v>6900000</v>
      </c>
      <c r="J40" s="43">
        <f>'TST1'!J40+'TST2'!J40+MKT!J40+SYShin!J40+JGChoi!J40</f>
        <v>2300000</v>
      </c>
      <c r="K40" s="43">
        <f>'TST1'!K40+'TST2'!K40+MKT!K40+SYShin!K40+JGChoi!K40</f>
        <v>2300000</v>
      </c>
      <c r="L40" s="43">
        <f>'TST1'!L40+'TST2'!L40+MKT!L40+SYShin!L40+JGChoi!L40</f>
        <v>2300000</v>
      </c>
      <c r="M40" s="34">
        <f t="shared" si="42"/>
        <v>6900000</v>
      </c>
      <c r="N40" s="43">
        <f>'TST1'!N40+'TST2'!N40+MKT!N40+SYShin!N40+JGChoi!N40</f>
        <v>2300000</v>
      </c>
      <c r="O40" s="43">
        <f>'TST1'!O40+'TST2'!O40+MKT!O40+SYShin!O40+JGChoi!O40</f>
        <v>2300000</v>
      </c>
      <c r="P40" s="43">
        <f>'TST1'!P40+'TST2'!P40+MKT!P40+SYShin!P40+JGChoi!P40</f>
        <v>2300000</v>
      </c>
      <c r="Q40" s="34">
        <f t="shared" si="43"/>
        <v>6900000</v>
      </c>
      <c r="R40" s="43">
        <f>'TST1'!R40+'TST2'!R40+MKT!R40+SYShin!R40+JGChoi!R40</f>
        <v>2300000</v>
      </c>
      <c r="S40" s="43">
        <f>'TST1'!S40+'TST2'!S40+MKT!S40+SYShin!S40+JGChoi!S40</f>
        <v>2300000</v>
      </c>
      <c r="T40" s="43">
        <f>'TST1'!T40+'TST2'!T40+MKT!T40+SYShin!T40+JGChoi!T40</f>
        <v>2300000</v>
      </c>
      <c r="U40" s="34">
        <f t="shared" si="44"/>
        <v>6900000</v>
      </c>
      <c r="V40" s="34">
        <f t="shared" si="45"/>
        <v>27600000</v>
      </c>
    </row>
    <row r="41" spans="1:22" ht="13.15" outlineLevel="2">
      <c r="A41" s="22"/>
      <c r="B41" s="22"/>
      <c r="C41" s="22"/>
      <c r="D41" s="25" t="s">
        <v>32</v>
      </c>
      <c r="E41" s="7">
        <v>0</v>
      </c>
      <c r="F41" s="43">
        <f>'TST1'!F41+'TST2'!F41+MKT!F41+SYShin!F41+JGChoi!F41</f>
        <v>750000</v>
      </c>
      <c r="G41" s="43">
        <f>'TST1'!G41+'TST2'!G41+MKT!G41+SYShin!G41+JGChoi!G41</f>
        <v>750000</v>
      </c>
      <c r="H41" s="43">
        <f>'TST1'!H41+'TST2'!H41+MKT!H41+SYShin!H41+JGChoi!H41</f>
        <v>750000</v>
      </c>
      <c r="I41" s="34">
        <f t="shared" si="41"/>
        <v>2250000</v>
      </c>
      <c r="J41" s="43">
        <f>'TST1'!J41+'TST2'!J41+MKT!J41+SYShin!J41+JGChoi!J41</f>
        <v>750000</v>
      </c>
      <c r="K41" s="43">
        <f>'TST1'!K41+'TST2'!K41+MKT!K41+SYShin!K41+JGChoi!K41</f>
        <v>750000</v>
      </c>
      <c r="L41" s="43">
        <f>'TST1'!L41+'TST2'!L41+MKT!L41+SYShin!L41+JGChoi!L41</f>
        <v>750000</v>
      </c>
      <c r="M41" s="34">
        <f t="shared" si="42"/>
        <v>2250000</v>
      </c>
      <c r="N41" s="43">
        <f>'TST1'!N41+'TST2'!N41+MKT!N41+SYShin!N41+JGChoi!N41</f>
        <v>750000</v>
      </c>
      <c r="O41" s="43">
        <f>'TST1'!O41+'TST2'!O41+MKT!O41+SYShin!O41+JGChoi!O41</f>
        <v>750000</v>
      </c>
      <c r="P41" s="43">
        <f>'TST1'!P41+'TST2'!P41+MKT!P41+SYShin!P41+JGChoi!P41</f>
        <v>750000</v>
      </c>
      <c r="Q41" s="34">
        <f t="shared" si="43"/>
        <v>2250000</v>
      </c>
      <c r="R41" s="43">
        <f>'TST1'!R41+'TST2'!R41+MKT!R41+SYShin!R41+JGChoi!R41</f>
        <v>750000</v>
      </c>
      <c r="S41" s="43">
        <f>'TST1'!S41+'TST2'!S41+MKT!S41+SYShin!S41+JGChoi!S41</f>
        <v>750000</v>
      </c>
      <c r="T41" s="43">
        <f>'TST1'!T41+'TST2'!T41+MKT!T41+SYShin!T41+JGChoi!T41</f>
        <v>750000</v>
      </c>
      <c r="U41" s="34">
        <f t="shared" si="44"/>
        <v>2250000</v>
      </c>
      <c r="V41" s="34">
        <f t="shared" si="45"/>
        <v>9000000</v>
      </c>
    </row>
    <row r="42" spans="1:22" ht="13.15" outlineLevel="2">
      <c r="A42" s="22"/>
      <c r="B42" s="22"/>
      <c r="C42" s="22"/>
      <c r="D42" s="25" t="s">
        <v>98</v>
      </c>
      <c r="E42" s="7">
        <v>0</v>
      </c>
      <c r="F42" s="43">
        <f>'TST1'!F42+'TST2'!F42+MKT!F42+SYShin!F42+JGChoi!F42</f>
        <v>358000</v>
      </c>
      <c r="G42" s="43">
        <f>'TST1'!G42+'TST2'!G42+MKT!G42+SYShin!G42+JGChoi!G42</f>
        <v>358000</v>
      </c>
      <c r="H42" s="43">
        <f>'TST1'!H42+'TST2'!H42+MKT!H42+SYShin!H42+JGChoi!H42</f>
        <v>358000</v>
      </c>
      <c r="I42" s="34">
        <f t="shared" si="41"/>
        <v>1074000</v>
      </c>
      <c r="J42" s="43">
        <f>'TST1'!J42+'TST2'!J42+MKT!J42+SYShin!J42+JGChoi!J42</f>
        <v>358000</v>
      </c>
      <c r="K42" s="43">
        <f>'TST1'!K42+'TST2'!K42+MKT!K42+SYShin!K42+JGChoi!K42</f>
        <v>358000</v>
      </c>
      <c r="L42" s="43">
        <f>'TST1'!L42+'TST2'!L42+MKT!L42+SYShin!L42+JGChoi!L42</f>
        <v>358000</v>
      </c>
      <c r="M42" s="34">
        <f t="shared" si="42"/>
        <v>1074000</v>
      </c>
      <c r="N42" s="43">
        <f>'TST1'!N42+'TST2'!N42+MKT!N42+SYShin!N42+JGChoi!N42</f>
        <v>358000</v>
      </c>
      <c r="O42" s="43">
        <f>'TST1'!O42+'TST2'!O42+MKT!O42+SYShin!O42+JGChoi!O42</f>
        <v>358000</v>
      </c>
      <c r="P42" s="43">
        <f>'TST1'!P42+'TST2'!P42+MKT!P42+SYShin!P42+JGChoi!P42</f>
        <v>358000</v>
      </c>
      <c r="Q42" s="34">
        <f t="shared" si="43"/>
        <v>1074000</v>
      </c>
      <c r="R42" s="43">
        <f>'TST1'!R42+'TST2'!R42+MKT!R42+SYShin!R42+JGChoi!R42</f>
        <v>358000</v>
      </c>
      <c r="S42" s="43">
        <f>'TST1'!S42+'TST2'!S42+MKT!S42+SYShin!S42+JGChoi!S42</f>
        <v>358000</v>
      </c>
      <c r="T42" s="43">
        <f>'TST1'!T42+'TST2'!T42+MKT!T42+SYShin!T42+JGChoi!T42</f>
        <v>358000</v>
      </c>
      <c r="U42" s="34">
        <f t="shared" si="44"/>
        <v>1074000</v>
      </c>
      <c r="V42" s="34">
        <f t="shared" si="45"/>
        <v>4296000</v>
      </c>
    </row>
    <row r="43" spans="1:22" ht="13.15" outlineLevel="2">
      <c r="A43" s="22"/>
      <c r="B43" s="22"/>
      <c r="C43" s="22"/>
      <c r="D43" s="25" t="s">
        <v>56</v>
      </c>
      <c r="E43" s="7">
        <v>0</v>
      </c>
      <c r="F43" s="43">
        <f>'TST1'!F43+'TST2'!F43+MKT!F43+SYShin!F43+JGChoi!F43</f>
        <v>162000</v>
      </c>
      <c r="G43" s="43">
        <f>'TST1'!G43+'TST2'!G43+MKT!G43+SYShin!G43+JGChoi!G43</f>
        <v>162000</v>
      </c>
      <c r="H43" s="43">
        <f>'TST1'!H43+'TST2'!H43+MKT!H43+SYShin!H43+JGChoi!H43</f>
        <v>162000</v>
      </c>
      <c r="I43" s="34">
        <f t="shared" si="41"/>
        <v>486000</v>
      </c>
      <c r="J43" s="43">
        <f>'TST1'!J43+'TST2'!J43+MKT!J43+SYShin!J43+JGChoi!J43</f>
        <v>162000</v>
      </c>
      <c r="K43" s="43">
        <f>'TST1'!K43+'TST2'!K43+MKT!K43+SYShin!K43+JGChoi!K43</f>
        <v>162000</v>
      </c>
      <c r="L43" s="43">
        <f>'TST1'!L43+'TST2'!L43+MKT!L43+SYShin!L43+JGChoi!L43</f>
        <v>162000</v>
      </c>
      <c r="M43" s="34">
        <f t="shared" si="42"/>
        <v>486000</v>
      </c>
      <c r="N43" s="43">
        <f>'TST1'!N43+'TST2'!N43+MKT!N43+SYShin!N43+JGChoi!N43</f>
        <v>162000</v>
      </c>
      <c r="O43" s="43">
        <f>'TST1'!O43+'TST2'!O43+MKT!O43+SYShin!O43+JGChoi!O43</f>
        <v>162000</v>
      </c>
      <c r="P43" s="43">
        <f>'TST1'!P43+'TST2'!P43+MKT!P43+SYShin!P43+JGChoi!P43</f>
        <v>162000</v>
      </c>
      <c r="Q43" s="34">
        <f t="shared" si="43"/>
        <v>486000</v>
      </c>
      <c r="R43" s="43">
        <f>'TST1'!R43+'TST2'!R43+MKT!R43+SYShin!R43+JGChoi!R43</f>
        <v>162000</v>
      </c>
      <c r="S43" s="43">
        <f>'TST1'!S43+'TST2'!S43+MKT!S43+SYShin!S43+JGChoi!S43</f>
        <v>162000</v>
      </c>
      <c r="T43" s="43">
        <f>'TST1'!T43+'TST2'!T43+MKT!T43+SYShin!T43+JGChoi!T43</f>
        <v>162000</v>
      </c>
      <c r="U43" s="34">
        <f t="shared" si="44"/>
        <v>486000</v>
      </c>
      <c r="V43" s="34">
        <f t="shared" si="45"/>
        <v>1944000</v>
      </c>
    </row>
    <row r="44" spans="1:22" ht="13.15" outlineLevel="2">
      <c r="A44" s="22"/>
      <c r="B44" s="22"/>
      <c r="C44" s="22"/>
      <c r="D44" s="25" t="s">
        <v>57</v>
      </c>
      <c r="F44" s="43">
        <f>'TST1'!F44+'TST2'!F44+MKT!F44+SYShin!F44+JGChoi!F44</f>
        <v>227000</v>
      </c>
      <c r="G44" s="43">
        <f>'TST1'!G44+'TST2'!G44+MKT!G44+SYShin!G44+JGChoi!G44</f>
        <v>437000</v>
      </c>
      <c r="H44" s="43">
        <f>'TST1'!H44+'TST2'!H44+MKT!H44+SYShin!H44+JGChoi!H44</f>
        <v>437000</v>
      </c>
      <c r="I44" s="34">
        <f t="shared" si="41"/>
        <v>1101000</v>
      </c>
      <c r="J44" s="43">
        <f>'TST1'!J44+'TST2'!J44+MKT!J44+SYShin!J44+JGChoi!J44</f>
        <v>437000</v>
      </c>
      <c r="K44" s="43">
        <f>'TST1'!K44+'TST2'!K44+MKT!K44+SYShin!K44+JGChoi!K44</f>
        <v>437000</v>
      </c>
      <c r="L44" s="43">
        <f>'TST1'!L44+'TST2'!L44+MKT!L44+SYShin!L44+JGChoi!L44</f>
        <v>437000</v>
      </c>
      <c r="M44" s="34">
        <f t="shared" si="42"/>
        <v>1311000</v>
      </c>
      <c r="N44" s="43">
        <f>'TST1'!N44+'TST2'!N44+MKT!N44+SYShin!N44+JGChoi!N44</f>
        <v>437000</v>
      </c>
      <c r="O44" s="43">
        <f>'TST1'!O44+'TST2'!O44+MKT!O44+SYShin!O44+JGChoi!O44</f>
        <v>437000</v>
      </c>
      <c r="P44" s="43">
        <f>'TST1'!P44+'TST2'!P44+MKT!P44+SYShin!P44+JGChoi!P44</f>
        <v>437000</v>
      </c>
      <c r="Q44" s="34">
        <f t="shared" si="43"/>
        <v>1311000</v>
      </c>
      <c r="R44" s="43">
        <f>'TST1'!R44+'TST2'!R44+MKT!R44+SYShin!R44+JGChoi!R44</f>
        <v>437000</v>
      </c>
      <c r="S44" s="43">
        <f>'TST1'!S44+'TST2'!S44+MKT!S44+SYShin!S44+JGChoi!S44</f>
        <v>437000</v>
      </c>
      <c r="T44" s="43">
        <f>'TST1'!T44+'TST2'!T44+MKT!T44+SYShin!T44+JGChoi!T44</f>
        <v>437000</v>
      </c>
      <c r="U44" s="34">
        <f t="shared" si="44"/>
        <v>1311000</v>
      </c>
      <c r="V44" s="34">
        <f t="shared" si="45"/>
        <v>5034000</v>
      </c>
    </row>
    <row r="45" spans="1:22" ht="13.15" outlineLevel="2">
      <c r="A45" s="22"/>
      <c r="B45" s="22"/>
      <c r="C45" s="22"/>
      <c r="D45" s="25" t="s">
        <v>54</v>
      </c>
      <c r="E45" s="7">
        <v>0</v>
      </c>
      <c r="F45" s="43">
        <f>'TST1'!F45+'TST2'!F45+MKT!F45+SYShin!F45+JGChoi!F45</f>
        <v>100000</v>
      </c>
      <c r="G45" s="43">
        <f>'TST1'!G45+'TST2'!G45+MKT!G45+SYShin!G45+JGChoi!G45</f>
        <v>100000</v>
      </c>
      <c r="H45" s="43">
        <f>'TST1'!H45+'TST2'!H45+MKT!H45+SYShin!H45+JGChoi!H45</f>
        <v>100000</v>
      </c>
      <c r="I45" s="34">
        <f t="shared" si="41"/>
        <v>300000</v>
      </c>
      <c r="J45" s="43">
        <f>'TST1'!J45+'TST2'!J45+MKT!J45+SYShin!J45+JGChoi!J45</f>
        <v>100000</v>
      </c>
      <c r="K45" s="43">
        <f>'TST1'!K45+'TST2'!K45+MKT!K45+SYShin!K45+JGChoi!K45</f>
        <v>100000</v>
      </c>
      <c r="L45" s="43">
        <f>'TST1'!L45+'TST2'!L45+MKT!L45+SYShin!L45+JGChoi!L45</f>
        <v>100000</v>
      </c>
      <c r="M45" s="34">
        <f t="shared" si="42"/>
        <v>300000</v>
      </c>
      <c r="N45" s="43">
        <f>'TST1'!N45+'TST2'!N45+MKT!N45+SYShin!N45+JGChoi!N45</f>
        <v>100000</v>
      </c>
      <c r="O45" s="43">
        <f>'TST1'!O45+'TST2'!O45+MKT!O45+SYShin!O45+JGChoi!O45</f>
        <v>100000</v>
      </c>
      <c r="P45" s="43">
        <f>'TST1'!P45+'TST2'!P45+MKT!P45+SYShin!P45+JGChoi!P45</f>
        <v>100000</v>
      </c>
      <c r="Q45" s="34">
        <f t="shared" si="43"/>
        <v>300000</v>
      </c>
      <c r="R45" s="43">
        <f>'TST1'!R45+'TST2'!R45+MKT!R45+SYShin!R45+JGChoi!R45</f>
        <v>100000</v>
      </c>
      <c r="S45" s="43">
        <f>'TST1'!S45+'TST2'!S45+MKT!S45+SYShin!S45+JGChoi!S45</f>
        <v>100000</v>
      </c>
      <c r="T45" s="43">
        <f>'TST1'!T45+'TST2'!T45+MKT!T45+SYShin!T45+JGChoi!T45</f>
        <v>100000</v>
      </c>
      <c r="U45" s="34">
        <f t="shared" si="44"/>
        <v>300000</v>
      </c>
      <c r="V45" s="34">
        <f t="shared" si="45"/>
        <v>1200000</v>
      </c>
    </row>
    <row r="46" spans="1:22" ht="13.15" outlineLevel="2">
      <c r="A46" s="22"/>
      <c r="B46" s="22"/>
      <c r="C46" s="22"/>
      <c r="D46" s="25" t="s">
        <v>34</v>
      </c>
      <c r="E46" s="7">
        <v>0</v>
      </c>
      <c r="F46" s="43">
        <f>'TST1'!F46+'TST2'!F46+MKT!F46+SYShin!F46+JGChoi!F46</f>
        <v>0</v>
      </c>
      <c r="G46" s="43">
        <f>'TST1'!G46+'TST2'!G46+MKT!G46+SYShin!G46+JGChoi!G46</f>
        <v>0</v>
      </c>
      <c r="H46" s="43">
        <f>'TST1'!H46+'TST2'!H46+MKT!H46+SYShin!H46+JGChoi!H46</f>
        <v>0</v>
      </c>
      <c r="I46" s="34">
        <f t="shared" si="41"/>
        <v>0</v>
      </c>
      <c r="J46" s="43">
        <f>'TST1'!J46+'TST2'!J46+MKT!J46+SYShin!J46+JGChoi!J46</f>
        <v>0</v>
      </c>
      <c r="K46" s="43">
        <f>'TST1'!K46+'TST2'!K46+MKT!K46+SYShin!K46+JGChoi!K46</f>
        <v>0</v>
      </c>
      <c r="L46" s="43">
        <f>'TST1'!L46+'TST2'!L46+MKT!L46+SYShin!L46+JGChoi!L46</f>
        <v>0</v>
      </c>
      <c r="M46" s="34">
        <f t="shared" si="42"/>
        <v>0</v>
      </c>
      <c r="N46" s="43">
        <f>'TST1'!N46+'TST2'!N46+MKT!N46+SYShin!N46+JGChoi!N46</f>
        <v>0</v>
      </c>
      <c r="O46" s="43">
        <f>'TST1'!O46+'TST2'!O46+MKT!O46+SYShin!O46+JGChoi!O46</f>
        <v>0</v>
      </c>
      <c r="P46" s="43">
        <f>'TST1'!P46+'TST2'!P46+MKT!P46+SYShin!P46+JGChoi!P46</f>
        <v>0</v>
      </c>
      <c r="Q46" s="34">
        <f t="shared" si="43"/>
        <v>0</v>
      </c>
      <c r="R46" s="43">
        <f>'TST1'!R46+'TST2'!R46+MKT!R46+SYShin!R46+JGChoi!R46</f>
        <v>0</v>
      </c>
      <c r="S46" s="43">
        <f>'TST1'!S46+'TST2'!S46+MKT!S46+SYShin!S46+JGChoi!S46</f>
        <v>0</v>
      </c>
      <c r="T46" s="43">
        <f>'TST1'!T46+'TST2'!T46+MKT!T46+SYShin!T46+JGChoi!T46</f>
        <v>0</v>
      </c>
      <c r="U46" s="34">
        <f t="shared" si="44"/>
        <v>0</v>
      </c>
      <c r="V46" s="34">
        <f t="shared" si="45"/>
        <v>0</v>
      </c>
    </row>
    <row r="47" spans="1:22" ht="13.15" outlineLevel="2">
      <c r="A47" s="22"/>
      <c r="B47" s="22"/>
      <c r="C47" s="22"/>
      <c r="D47" s="25" t="s">
        <v>65</v>
      </c>
      <c r="E47" s="7">
        <v>0</v>
      </c>
      <c r="F47" s="43">
        <f>'TST1'!F47+'TST2'!F47+MKT!F47+SYShin!F47+JGChoi!F47</f>
        <v>0</v>
      </c>
      <c r="G47" s="43">
        <f>'TST1'!G47+'TST2'!G47+MKT!G47+SYShin!G47+JGChoi!G47</f>
        <v>0</v>
      </c>
      <c r="H47" s="43">
        <f>'TST1'!H47+'TST2'!H47+MKT!H47+SYShin!H47+JGChoi!H47</f>
        <v>0</v>
      </c>
      <c r="I47" s="34">
        <f t="shared" si="41"/>
        <v>0</v>
      </c>
      <c r="J47" s="43">
        <f>'TST1'!J47+'TST2'!J47+MKT!J47+SYShin!J47+JGChoi!J47</f>
        <v>0</v>
      </c>
      <c r="K47" s="43">
        <f>'TST1'!K47+'TST2'!K47+MKT!K47+SYShin!K47+JGChoi!K47</f>
        <v>0</v>
      </c>
      <c r="L47" s="43">
        <f>'TST1'!L47+'TST2'!L47+MKT!L47+SYShin!L47+JGChoi!L47</f>
        <v>0</v>
      </c>
      <c r="M47" s="34">
        <f t="shared" si="42"/>
        <v>0</v>
      </c>
      <c r="N47" s="43">
        <f>'TST1'!N47+'TST2'!N47+MKT!N47+SYShin!N47+JGChoi!N47</f>
        <v>0</v>
      </c>
      <c r="O47" s="43">
        <f>'TST1'!O47+'TST2'!O47+MKT!O47+SYShin!O47+JGChoi!O47</f>
        <v>0</v>
      </c>
      <c r="P47" s="43">
        <f>'TST1'!P47+'TST2'!P47+MKT!P47+SYShin!P47+JGChoi!P47</f>
        <v>0</v>
      </c>
      <c r="Q47" s="34">
        <f t="shared" si="43"/>
        <v>0</v>
      </c>
      <c r="R47" s="43">
        <f>'TST1'!R47+'TST2'!R47+MKT!R47+SYShin!R47+JGChoi!R47</f>
        <v>0</v>
      </c>
      <c r="S47" s="43">
        <f>'TST1'!S47+'TST2'!S47+MKT!S47+SYShin!S47+JGChoi!S47</f>
        <v>0</v>
      </c>
      <c r="T47" s="43">
        <f>'TST1'!T47+'TST2'!T47+MKT!T47+SYShin!T47+JGChoi!T47</f>
        <v>0</v>
      </c>
      <c r="U47" s="34">
        <f t="shared" si="44"/>
        <v>0</v>
      </c>
      <c r="V47" s="34">
        <f t="shared" si="45"/>
        <v>0</v>
      </c>
    </row>
    <row r="48" spans="1:22" ht="13.15" outlineLevel="2">
      <c r="A48" s="22"/>
      <c r="B48" s="22"/>
      <c r="C48" s="22"/>
      <c r="D48" s="25" t="s">
        <v>64</v>
      </c>
      <c r="E48" s="7">
        <v>0</v>
      </c>
      <c r="F48" s="43">
        <f>'TST1'!F48+'TST2'!F48+MKT!F48+SYShin!F48+JGChoi!F48</f>
        <v>0</v>
      </c>
      <c r="G48" s="43">
        <f>'TST1'!G48+'TST2'!G48+MKT!G48+SYShin!G48+JGChoi!G48</f>
        <v>0</v>
      </c>
      <c r="H48" s="43">
        <f>'TST1'!H48+'TST2'!H48+MKT!H48+SYShin!H48+JGChoi!H48</f>
        <v>0</v>
      </c>
      <c r="I48" s="34">
        <f t="shared" si="41"/>
        <v>0</v>
      </c>
      <c r="J48" s="43">
        <f>'TST1'!J48+'TST2'!J48+MKT!J48+SYShin!J48+JGChoi!J48</f>
        <v>0</v>
      </c>
      <c r="K48" s="43">
        <f>'TST1'!K48+'TST2'!K48+MKT!K48+SYShin!K48+JGChoi!K48</f>
        <v>0</v>
      </c>
      <c r="L48" s="43">
        <f>'TST1'!L48+'TST2'!L48+MKT!L48+SYShin!L48+JGChoi!L48</f>
        <v>0</v>
      </c>
      <c r="M48" s="34">
        <f t="shared" si="42"/>
        <v>0</v>
      </c>
      <c r="N48" s="43">
        <f>'TST1'!N48+'TST2'!N48+MKT!N48+SYShin!N48+JGChoi!N48</f>
        <v>0</v>
      </c>
      <c r="O48" s="43">
        <f>'TST1'!O48+'TST2'!O48+MKT!O48+SYShin!O48+JGChoi!O48</f>
        <v>0</v>
      </c>
      <c r="P48" s="43">
        <f>'TST1'!P48+'TST2'!P48+MKT!P48+SYShin!P48+JGChoi!P48</f>
        <v>0</v>
      </c>
      <c r="Q48" s="34">
        <f t="shared" si="43"/>
        <v>0</v>
      </c>
      <c r="R48" s="43">
        <f>'TST1'!R48+'TST2'!R48+MKT!R48+SYShin!R48+JGChoi!R48</f>
        <v>0</v>
      </c>
      <c r="S48" s="43">
        <f>'TST1'!S48+'TST2'!S48+MKT!S48+SYShin!S48+JGChoi!S48</f>
        <v>0</v>
      </c>
      <c r="T48" s="43">
        <f>'TST1'!T48+'TST2'!T48+MKT!T48+SYShin!T48+JGChoi!T48</f>
        <v>0</v>
      </c>
      <c r="U48" s="34">
        <f t="shared" si="44"/>
        <v>0</v>
      </c>
      <c r="V48" s="34">
        <f t="shared" si="45"/>
        <v>0</v>
      </c>
    </row>
    <row r="49" spans="1:22" ht="13.15" outlineLevel="2">
      <c r="A49" s="22"/>
      <c r="B49" s="22"/>
      <c r="C49" s="22"/>
      <c r="D49" s="25" t="s">
        <v>112</v>
      </c>
      <c r="F49" s="43">
        <f>'TST1'!F49+'TST2'!F49+MKT!F49+SYShin!F49+JGChoi!F49</f>
        <v>545000</v>
      </c>
      <c r="G49" s="43">
        <f>'TST1'!G49+'TST2'!G49+MKT!G49+SYShin!G49+JGChoi!G49</f>
        <v>545000</v>
      </c>
      <c r="H49" s="43">
        <f>'TST1'!H49+'TST2'!H49+MKT!H49+SYShin!H49+JGChoi!H49</f>
        <v>545000</v>
      </c>
      <c r="I49" s="34">
        <f t="shared" si="41"/>
        <v>1635000</v>
      </c>
      <c r="J49" s="43">
        <f>'TST1'!J49+'TST2'!J49+MKT!J49+SYShin!J49+JGChoi!J49</f>
        <v>545000</v>
      </c>
      <c r="K49" s="43">
        <f>'TST1'!K49+'TST2'!K49+MKT!K49+SYShin!K49+JGChoi!K49</f>
        <v>545000</v>
      </c>
      <c r="L49" s="43">
        <f>'TST1'!L49+'TST2'!L49+MKT!L49+SYShin!L49+JGChoi!L49</f>
        <v>545000</v>
      </c>
      <c r="M49" s="34">
        <f t="shared" si="42"/>
        <v>1635000</v>
      </c>
      <c r="N49" s="43">
        <f>'TST1'!N49+'TST2'!N49+MKT!N49+SYShin!N49+JGChoi!N49</f>
        <v>545000</v>
      </c>
      <c r="O49" s="43">
        <f>'TST1'!O49+'TST2'!O49+MKT!O49+SYShin!O49+JGChoi!O49</f>
        <v>545000</v>
      </c>
      <c r="P49" s="43">
        <f>'TST1'!P49+'TST2'!P49+MKT!P49+SYShin!P49+JGChoi!P49</f>
        <v>545000</v>
      </c>
      <c r="Q49" s="34">
        <f t="shared" si="43"/>
        <v>1635000</v>
      </c>
      <c r="R49" s="43">
        <f>'TST1'!R49+'TST2'!R49+MKT!R49+SYShin!R49+JGChoi!R49</f>
        <v>545000</v>
      </c>
      <c r="S49" s="43">
        <f>'TST1'!S49+'TST2'!S49+MKT!S49+SYShin!S49+JGChoi!S49</f>
        <v>545000</v>
      </c>
      <c r="T49" s="43">
        <f>'TST1'!T49+'TST2'!T49+MKT!T49+SYShin!T49+JGChoi!T49</f>
        <v>545000</v>
      </c>
      <c r="U49" s="34">
        <f t="shared" si="44"/>
        <v>1635000</v>
      </c>
      <c r="V49" s="34">
        <f t="shared" si="45"/>
        <v>6540000</v>
      </c>
    </row>
    <row r="50" spans="1:22" ht="13.15" outlineLevel="2">
      <c r="A50" s="22"/>
      <c r="B50" s="22"/>
      <c r="C50" s="22"/>
      <c r="D50" s="25" t="s">
        <v>119</v>
      </c>
      <c r="F50" s="43">
        <f>'TST1'!F50+'TST2'!F50+MKT!F50+SYShin!F50+JGChoi!F50</f>
        <v>188000</v>
      </c>
      <c r="G50" s="43">
        <f>'TST1'!G50+'TST2'!G50+MKT!G50+SYShin!G50+JGChoi!G50</f>
        <v>188000</v>
      </c>
      <c r="H50" s="43">
        <f>'TST1'!H50+'TST2'!H50+MKT!H50+SYShin!H50+JGChoi!H50</f>
        <v>188000</v>
      </c>
      <c r="I50" s="34">
        <f t="shared" si="41"/>
        <v>564000</v>
      </c>
      <c r="J50" s="43">
        <f>'TST1'!J50+'TST2'!J50+MKT!J50+SYShin!J50+JGChoi!J50</f>
        <v>188000</v>
      </c>
      <c r="K50" s="43">
        <f>'TST1'!K50+'TST2'!K50+MKT!K50+SYShin!K50+JGChoi!K50</f>
        <v>188000</v>
      </c>
      <c r="L50" s="43">
        <f>'TST1'!L50+'TST2'!L50+MKT!L50+SYShin!L50+JGChoi!L50</f>
        <v>188000</v>
      </c>
      <c r="M50" s="34">
        <f t="shared" si="42"/>
        <v>564000</v>
      </c>
      <c r="N50" s="43">
        <f>'TST1'!N50+'TST2'!N50+MKT!N50+SYShin!N50+JGChoi!N50</f>
        <v>188000</v>
      </c>
      <c r="O50" s="43">
        <f>'TST1'!O50+'TST2'!O50+MKT!O50+SYShin!O50+JGChoi!O50</f>
        <v>188000</v>
      </c>
      <c r="P50" s="43">
        <f>'TST1'!P50+'TST2'!P50+MKT!P50+SYShin!P50+JGChoi!P50</f>
        <v>188000</v>
      </c>
      <c r="Q50" s="34">
        <f t="shared" si="43"/>
        <v>564000</v>
      </c>
      <c r="R50" s="43">
        <f>'TST1'!R50+'TST2'!R50+MKT!R50+SYShin!R50+JGChoi!R50</f>
        <v>188000</v>
      </c>
      <c r="S50" s="43">
        <f>'TST1'!S50+'TST2'!S50+MKT!S50+SYShin!S50+JGChoi!S50</f>
        <v>188000</v>
      </c>
      <c r="T50" s="43">
        <f>'TST1'!T50+'TST2'!T50+MKT!T50+SYShin!T50+JGChoi!T50</f>
        <v>188000</v>
      </c>
      <c r="U50" s="34">
        <f t="shared" si="44"/>
        <v>564000</v>
      </c>
      <c r="V50" s="34">
        <f t="shared" si="45"/>
        <v>2256000</v>
      </c>
    </row>
    <row r="51" spans="1:22" ht="13.15" outlineLevel="1">
      <c r="A51" s="24"/>
      <c r="B51" s="24" t="s">
        <v>1</v>
      </c>
      <c r="C51" s="24"/>
      <c r="D51" s="24"/>
      <c r="E51" s="8"/>
      <c r="F51" s="44">
        <f>SUM(F39:F50)</f>
        <v>6730000</v>
      </c>
      <c r="G51" s="44">
        <f t="shared" ref="G51:H51" si="46">SUM(G39:G50)</f>
        <v>6940000</v>
      </c>
      <c r="H51" s="44">
        <f t="shared" si="46"/>
        <v>6940000</v>
      </c>
      <c r="I51" s="35">
        <f>SUM(I39:I50)</f>
        <v>20610000</v>
      </c>
      <c r="J51" s="44">
        <f t="shared" ref="J51:L51" si="47">SUM(J39:J50)</f>
        <v>6940000</v>
      </c>
      <c r="K51" s="44">
        <f t="shared" si="47"/>
        <v>6940000</v>
      </c>
      <c r="L51" s="44">
        <f t="shared" si="47"/>
        <v>6940000</v>
      </c>
      <c r="M51" s="35">
        <f>SUM(M39:M50)</f>
        <v>20820000</v>
      </c>
      <c r="N51" s="44">
        <f t="shared" ref="N51:P51" si="48">SUM(N39:N50)</f>
        <v>6940000</v>
      </c>
      <c r="O51" s="44">
        <f t="shared" si="48"/>
        <v>6940000</v>
      </c>
      <c r="P51" s="44">
        <f t="shared" si="48"/>
        <v>6940000</v>
      </c>
      <c r="Q51" s="35">
        <f>SUM(Q39:Q50)</f>
        <v>20820000</v>
      </c>
      <c r="R51" s="44">
        <f t="shared" ref="R51:T51" si="49">SUM(R39:R50)</f>
        <v>6940000</v>
      </c>
      <c r="S51" s="44">
        <f t="shared" si="49"/>
        <v>6940000</v>
      </c>
      <c r="T51" s="44">
        <f t="shared" si="49"/>
        <v>6940000</v>
      </c>
      <c r="U51" s="35">
        <f>SUM(U39:U50)</f>
        <v>20820000</v>
      </c>
      <c r="V51" s="35">
        <f t="shared" si="45"/>
        <v>83070000</v>
      </c>
    </row>
    <row r="52" spans="1:22" ht="13.15" outlineLevel="1">
      <c r="A52" s="24"/>
      <c r="B52" s="24" t="s">
        <v>2</v>
      </c>
      <c r="C52" s="24"/>
      <c r="D52" s="24"/>
      <c r="E52" s="8"/>
      <c r="F52" s="44">
        <f>F37+F51</f>
        <v>71730000</v>
      </c>
      <c r="G52" s="44">
        <f>G37+G51</f>
        <v>71940000</v>
      </c>
      <c r="H52" s="44">
        <f>H37+H51</f>
        <v>71940000</v>
      </c>
      <c r="I52" s="35">
        <f>I51+I37</f>
        <v>215610000</v>
      </c>
      <c r="J52" s="44">
        <f>J37+J51</f>
        <v>71940000</v>
      </c>
      <c r="K52" s="44">
        <f>K37+K51</f>
        <v>71940000</v>
      </c>
      <c r="L52" s="44">
        <f>L37+L51</f>
        <v>71940000</v>
      </c>
      <c r="M52" s="35">
        <f>M51+M37</f>
        <v>215820000</v>
      </c>
      <c r="N52" s="44">
        <f>N37+N51</f>
        <v>71940000</v>
      </c>
      <c r="O52" s="44">
        <f>O37+O51</f>
        <v>71940000</v>
      </c>
      <c r="P52" s="44">
        <f>P37+P51</f>
        <v>71940000</v>
      </c>
      <c r="Q52" s="35">
        <f>Q51+Q37</f>
        <v>215820000</v>
      </c>
      <c r="R52" s="44">
        <f>R37+R51</f>
        <v>71940000</v>
      </c>
      <c r="S52" s="44">
        <f>S37+S51</f>
        <v>71940000</v>
      </c>
      <c r="T52" s="44">
        <f>T37+T51</f>
        <v>71940000</v>
      </c>
      <c r="U52" s="35">
        <f>U51+U37</f>
        <v>215820000</v>
      </c>
      <c r="V52" s="35">
        <f t="shared" si="45"/>
        <v>863070000</v>
      </c>
    </row>
    <row r="53" spans="1:22" s="4" customFormat="1" ht="13.15" outlineLevel="1">
      <c r="A53" s="24"/>
      <c r="B53" s="24" t="s">
        <v>3</v>
      </c>
      <c r="C53" s="24"/>
      <c r="D53" s="24"/>
      <c r="E53" s="8">
        <v>0</v>
      </c>
      <c r="F53" s="44">
        <v>0</v>
      </c>
      <c r="G53" s="44">
        <v>0</v>
      </c>
      <c r="H53" s="44">
        <v>0</v>
      </c>
      <c r="I53" s="35">
        <v>0</v>
      </c>
      <c r="J53" s="44">
        <v>0</v>
      </c>
      <c r="K53" s="44">
        <v>0</v>
      </c>
      <c r="L53" s="44">
        <v>0</v>
      </c>
      <c r="M53" s="35">
        <v>0</v>
      </c>
      <c r="N53" s="44">
        <v>0</v>
      </c>
      <c r="O53" s="44">
        <v>0</v>
      </c>
      <c r="P53" s="44">
        <v>0</v>
      </c>
      <c r="Q53" s="35">
        <v>0</v>
      </c>
      <c r="R53" s="44">
        <v>0</v>
      </c>
      <c r="S53" s="44">
        <v>0</v>
      </c>
      <c r="T53" s="44">
        <v>0</v>
      </c>
      <c r="U53" s="35">
        <v>0</v>
      </c>
      <c r="V53" s="35">
        <f t="shared" si="45"/>
        <v>0</v>
      </c>
    </row>
    <row r="54" spans="1:22" ht="13.15" outlineLevel="2">
      <c r="A54" s="22"/>
      <c r="B54" s="23" t="s">
        <v>39</v>
      </c>
      <c r="C54" s="22"/>
      <c r="D54" s="22"/>
      <c r="F54" s="43"/>
      <c r="G54" s="43"/>
      <c r="H54" s="43"/>
      <c r="I54" s="34"/>
      <c r="J54" s="43"/>
      <c r="K54" s="43"/>
      <c r="L54" s="43"/>
      <c r="M54" s="34"/>
      <c r="N54" s="43"/>
      <c r="O54" s="43"/>
      <c r="P54" s="43"/>
      <c r="Q54" s="34"/>
      <c r="R54" s="43"/>
      <c r="S54" s="43"/>
      <c r="T54" s="43"/>
      <c r="U54" s="34"/>
      <c r="V54" s="34"/>
    </row>
    <row r="55" spans="1:22" ht="13.15" outlineLevel="2">
      <c r="A55" s="22"/>
      <c r="B55" s="22"/>
      <c r="C55" s="25" t="s">
        <v>58</v>
      </c>
      <c r="D55" s="22"/>
      <c r="E55" s="7">
        <v>0</v>
      </c>
      <c r="F55" s="43">
        <f>'TST1'!F55+'TST2'!F55+MKT!F55+SYShin!F55+JGChoi!F55</f>
        <v>0</v>
      </c>
      <c r="G55" s="43">
        <f>'TST1'!G55+'TST2'!G55+MKT!G55+SYShin!G55+JGChoi!G55</f>
        <v>0</v>
      </c>
      <c r="H55" s="43">
        <f>'TST1'!H55+'TST2'!H55+MKT!H55+SYShin!H55+JGChoi!H55</f>
        <v>0</v>
      </c>
      <c r="I55" s="34">
        <f t="shared" ref="I55:I65" si="50">SUM(F55:H55)</f>
        <v>0</v>
      </c>
      <c r="J55" s="43">
        <f>'TST1'!J55+'TST2'!J55+MKT!J55+SYShin!J55+JGChoi!J55</f>
        <v>0</v>
      </c>
      <c r="K55" s="43">
        <f>'TST1'!K55+'TST2'!K55+MKT!K55+SYShin!K55+JGChoi!K55</f>
        <v>0</v>
      </c>
      <c r="L55" s="43">
        <f>'TST1'!L55+'TST2'!L55+MKT!L55+SYShin!L55+JGChoi!L55</f>
        <v>0</v>
      </c>
      <c r="M55" s="34">
        <f t="shared" ref="M55:M65" si="51">SUM(J55:L55)</f>
        <v>0</v>
      </c>
      <c r="N55" s="43">
        <f>'TST1'!N55+'TST2'!N55+MKT!N55+SYShin!N55+JGChoi!N55</f>
        <v>0</v>
      </c>
      <c r="O55" s="43">
        <f>'TST1'!O55+'TST2'!O55+MKT!O55+SYShin!O55+JGChoi!O55</f>
        <v>0</v>
      </c>
      <c r="P55" s="43">
        <f>'TST1'!P55+'TST2'!P55+MKT!P55+SYShin!P55+JGChoi!P55</f>
        <v>0</v>
      </c>
      <c r="Q55" s="34">
        <f t="shared" ref="Q55:Q65" si="52">SUM(N55:P55)</f>
        <v>0</v>
      </c>
      <c r="R55" s="43">
        <f>'TST1'!R55+'TST2'!R55+MKT!R55+SYShin!R55+JGChoi!R55</f>
        <v>0</v>
      </c>
      <c r="S55" s="43">
        <f>'TST1'!S55+'TST2'!S55+MKT!S55+SYShin!S55+JGChoi!S55</f>
        <v>0</v>
      </c>
      <c r="T55" s="43">
        <f>'TST1'!T55+'TST2'!T55+MKT!T55+SYShin!T55+JGChoi!T55</f>
        <v>0</v>
      </c>
      <c r="U55" s="34">
        <f t="shared" ref="U55:U65" si="53">SUM(R55:T55)</f>
        <v>0</v>
      </c>
      <c r="V55" s="34">
        <f t="shared" ref="V55:V66" si="54">I55+M55+Q55+U55</f>
        <v>0</v>
      </c>
    </row>
    <row r="56" spans="1:22" ht="13.15" outlineLevel="2">
      <c r="A56" s="22"/>
      <c r="B56" s="22"/>
      <c r="C56" s="25" t="s">
        <v>59</v>
      </c>
      <c r="D56" s="22"/>
      <c r="F56" s="43">
        <f>'TST1'!F56+'TST2'!F56+MKT!F56+SYShin!F56+JGChoi!F56</f>
        <v>697000</v>
      </c>
      <c r="G56" s="43">
        <f>'TST1'!G56+'TST2'!G56+MKT!G56+SYShin!G56+JGChoi!G56</f>
        <v>697000</v>
      </c>
      <c r="H56" s="43">
        <f>'TST1'!H56+'TST2'!H56+MKT!H56+SYShin!H56+JGChoi!H56</f>
        <v>697000</v>
      </c>
      <c r="I56" s="34">
        <f t="shared" si="50"/>
        <v>2091000</v>
      </c>
      <c r="J56" s="43">
        <f>'TST1'!J56+'TST2'!J56+MKT!J56+SYShin!J56+JGChoi!J56</f>
        <v>697000</v>
      </c>
      <c r="K56" s="43">
        <f>'TST1'!K56+'TST2'!K56+MKT!K56+SYShin!K56+JGChoi!K56</f>
        <v>697000</v>
      </c>
      <c r="L56" s="43">
        <f>'TST1'!L56+'TST2'!L56+MKT!L56+SYShin!L56+JGChoi!L56</f>
        <v>697000</v>
      </c>
      <c r="M56" s="34">
        <f t="shared" si="51"/>
        <v>2091000</v>
      </c>
      <c r="N56" s="43">
        <f>'TST1'!N56+'TST2'!N56+MKT!N56+SYShin!N56+JGChoi!N56</f>
        <v>697000</v>
      </c>
      <c r="O56" s="43">
        <f>'TST1'!O56+'TST2'!O56+MKT!O56+SYShin!O56+JGChoi!O56</f>
        <v>697000</v>
      </c>
      <c r="P56" s="43">
        <f>'TST1'!P56+'TST2'!P56+MKT!P56+SYShin!P56+JGChoi!P56</f>
        <v>697000</v>
      </c>
      <c r="Q56" s="34">
        <f t="shared" si="52"/>
        <v>2091000</v>
      </c>
      <c r="R56" s="43">
        <f>'TST1'!R56+'TST2'!R56+MKT!R56+SYShin!R56+JGChoi!R56</f>
        <v>697000</v>
      </c>
      <c r="S56" s="43">
        <f>'TST1'!S56+'TST2'!S56+MKT!S56+SYShin!S56+JGChoi!S56</f>
        <v>697000</v>
      </c>
      <c r="T56" s="43">
        <f>'TST1'!T56+'TST2'!T56+MKT!T56+SYShin!T56+JGChoi!T56</f>
        <v>697000</v>
      </c>
      <c r="U56" s="34">
        <f t="shared" si="53"/>
        <v>2091000</v>
      </c>
      <c r="V56" s="34">
        <f t="shared" si="54"/>
        <v>8364000</v>
      </c>
    </row>
    <row r="57" spans="1:22" ht="13.15" outlineLevel="2">
      <c r="A57" s="22"/>
      <c r="B57" s="22"/>
      <c r="C57" s="25" t="s">
        <v>60</v>
      </c>
      <c r="D57" s="22"/>
      <c r="F57" s="43">
        <f>'TST1'!F57+'TST2'!F57+MKT!F57+SYShin!F57+JGChoi!F57</f>
        <v>343000</v>
      </c>
      <c r="G57" s="43">
        <f>'TST1'!G57+'TST2'!G57+MKT!G57+SYShin!G57+JGChoi!G57</f>
        <v>343000</v>
      </c>
      <c r="H57" s="43">
        <f>'TST1'!H57+'TST2'!H57+MKT!H57+SYShin!H57+JGChoi!H57</f>
        <v>343000</v>
      </c>
      <c r="I57" s="34">
        <f t="shared" si="50"/>
        <v>1029000</v>
      </c>
      <c r="J57" s="43">
        <f>'TST1'!J57+'TST2'!J57+MKT!J57+SYShin!J57+JGChoi!J57</f>
        <v>343000</v>
      </c>
      <c r="K57" s="43">
        <f>'TST1'!K57+'TST2'!K57+MKT!K57+SYShin!K57+JGChoi!K57</f>
        <v>343000</v>
      </c>
      <c r="L57" s="43">
        <f>'TST1'!L57+'TST2'!L57+MKT!L57+SYShin!L57+JGChoi!L57</f>
        <v>343000</v>
      </c>
      <c r="M57" s="34">
        <f t="shared" si="51"/>
        <v>1029000</v>
      </c>
      <c r="N57" s="43">
        <f>'TST1'!N57+'TST2'!N57+MKT!N57+SYShin!N57+JGChoi!N57</f>
        <v>343000</v>
      </c>
      <c r="O57" s="43">
        <f>'TST1'!O57+'TST2'!O57+MKT!O57+SYShin!O57+JGChoi!O57</f>
        <v>343000</v>
      </c>
      <c r="P57" s="43">
        <f>'TST1'!P57+'TST2'!P57+MKT!P57+SYShin!P57+JGChoi!P57</f>
        <v>343000</v>
      </c>
      <c r="Q57" s="34">
        <f t="shared" si="52"/>
        <v>1029000</v>
      </c>
      <c r="R57" s="43">
        <f>'TST1'!R57+'TST2'!R57+MKT!R57+SYShin!R57+JGChoi!R57</f>
        <v>343000</v>
      </c>
      <c r="S57" s="43">
        <f>'TST1'!S57+'TST2'!S57+MKT!S57+SYShin!S57+JGChoi!S57</f>
        <v>343000</v>
      </c>
      <c r="T57" s="43">
        <f>'TST1'!T57+'TST2'!T57+MKT!T57+SYShin!T57+JGChoi!T57</f>
        <v>343000</v>
      </c>
      <c r="U57" s="34">
        <f t="shared" si="53"/>
        <v>1029000</v>
      </c>
      <c r="V57" s="34">
        <f>I57+M57+Q57+U57</f>
        <v>4116000</v>
      </c>
    </row>
    <row r="58" spans="1:22" ht="13.15" outlineLevel="2">
      <c r="A58" s="22"/>
      <c r="B58" s="22"/>
      <c r="C58" s="25" t="s">
        <v>61</v>
      </c>
      <c r="D58" s="22"/>
      <c r="F58" s="43">
        <f>'TST1'!F58+'TST2'!F58+MKT!F58+SYShin!F58+JGChoi!F58</f>
        <v>1359000</v>
      </c>
      <c r="G58" s="43">
        <f>'TST1'!G58+'TST2'!G58+MKT!G58+SYShin!G58+JGChoi!G58</f>
        <v>1359000</v>
      </c>
      <c r="H58" s="43">
        <f>'TST1'!H58+'TST2'!H58+MKT!H58+SYShin!H58+JGChoi!H58</f>
        <v>1359000</v>
      </c>
      <c r="I58" s="34">
        <f t="shared" si="50"/>
        <v>4077000</v>
      </c>
      <c r="J58" s="43">
        <f>'TST1'!J58+'TST2'!J58+MKT!J58+SYShin!J58+JGChoi!J58</f>
        <v>1359000</v>
      </c>
      <c r="K58" s="43">
        <f>'TST1'!K58+'TST2'!K58+MKT!K58+SYShin!K58+JGChoi!K58</f>
        <v>1359000</v>
      </c>
      <c r="L58" s="43">
        <f>'TST1'!L58+'TST2'!L58+MKT!L58+SYShin!L58+JGChoi!L58</f>
        <v>1359000</v>
      </c>
      <c r="M58" s="34">
        <f t="shared" si="51"/>
        <v>4077000</v>
      </c>
      <c r="N58" s="43">
        <f>'TST1'!N58+'TST2'!N58+MKT!N58+SYShin!N58+JGChoi!N58</f>
        <v>1359000</v>
      </c>
      <c r="O58" s="43">
        <f>'TST1'!O58+'TST2'!O58+MKT!O58+SYShin!O58+JGChoi!O58</f>
        <v>1359000</v>
      </c>
      <c r="P58" s="43">
        <f>'TST1'!P58+'TST2'!P58+MKT!P58+SYShin!P58+JGChoi!P58</f>
        <v>1359000</v>
      </c>
      <c r="Q58" s="34">
        <f t="shared" si="52"/>
        <v>4077000</v>
      </c>
      <c r="R58" s="43">
        <f>'TST1'!R58+'TST2'!R58+MKT!R58+SYShin!R58+JGChoi!R58</f>
        <v>1359000</v>
      </c>
      <c r="S58" s="43">
        <f>'TST1'!S58+'TST2'!S58+MKT!S58+SYShin!S58+JGChoi!S58</f>
        <v>1359000</v>
      </c>
      <c r="T58" s="43">
        <f>'TST1'!T58+'TST2'!T58+MKT!T58+SYShin!T58+JGChoi!T58</f>
        <v>1359000</v>
      </c>
      <c r="U58" s="34">
        <f t="shared" si="53"/>
        <v>4077000</v>
      </c>
      <c r="V58" s="34">
        <f t="shared" si="54"/>
        <v>16308000</v>
      </c>
    </row>
    <row r="59" spans="1:22" ht="13.15" outlineLevel="2">
      <c r="A59" s="22"/>
      <c r="B59" s="22"/>
      <c r="C59" s="25" t="s">
        <v>62</v>
      </c>
      <c r="D59" s="22"/>
      <c r="F59" s="43">
        <f>'TST1'!F59+'TST2'!F59+MKT!F59+SYShin!F59+JGChoi!F59</f>
        <v>808000</v>
      </c>
      <c r="G59" s="43">
        <f>'TST1'!G59+'TST2'!G59+MKT!G59+SYShin!G59+JGChoi!G59</f>
        <v>808000</v>
      </c>
      <c r="H59" s="43">
        <f>'TST1'!H59+'TST2'!H59+MKT!H59+SYShin!H59+JGChoi!H59</f>
        <v>808000</v>
      </c>
      <c r="I59" s="34">
        <f t="shared" si="50"/>
        <v>2424000</v>
      </c>
      <c r="J59" s="43">
        <f>'TST1'!J59+'TST2'!J59+MKT!J59+SYShin!J59+JGChoi!J59</f>
        <v>808000</v>
      </c>
      <c r="K59" s="43">
        <f>'TST1'!K59+'TST2'!K59+MKT!K59+SYShin!K59+JGChoi!K59</f>
        <v>808000</v>
      </c>
      <c r="L59" s="43">
        <f>'TST1'!L59+'TST2'!L59+MKT!L59+SYShin!L59+JGChoi!L59</f>
        <v>808000</v>
      </c>
      <c r="M59" s="34">
        <f t="shared" si="51"/>
        <v>2424000</v>
      </c>
      <c r="N59" s="43">
        <f>'TST1'!N59+'TST2'!N59+MKT!N59+SYShin!N59+JGChoi!N59</f>
        <v>808000</v>
      </c>
      <c r="O59" s="43">
        <f>'TST1'!O59+'TST2'!O59+MKT!O59+SYShin!O59+JGChoi!O59</f>
        <v>808000</v>
      </c>
      <c r="P59" s="43">
        <f>'TST1'!P59+'TST2'!P59+MKT!P59+SYShin!P59+JGChoi!P59</f>
        <v>808000</v>
      </c>
      <c r="Q59" s="34">
        <f t="shared" si="52"/>
        <v>2424000</v>
      </c>
      <c r="R59" s="43">
        <f>'TST1'!R59+'TST2'!R59+MKT!R59+SYShin!R59+JGChoi!R59</f>
        <v>808000</v>
      </c>
      <c r="S59" s="43">
        <f>'TST1'!S59+'TST2'!S59+MKT!S59+SYShin!S59+JGChoi!S59</f>
        <v>808000</v>
      </c>
      <c r="T59" s="43">
        <f>'TST1'!T59+'TST2'!T59+MKT!T59+SYShin!T59+JGChoi!T59</f>
        <v>808000</v>
      </c>
      <c r="U59" s="34">
        <f t="shared" si="53"/>
        <v>2424000</v>
      </c>
      <c r="V59" s="34">
        <f t="shared" si="54"/>
        <v>9696000</v>
      </c>
    </row>
    <row r="60" spans="1:22" ht="13.15" outlineLevel="2">
      <c r="A60" s="22"/>
      <c r="B60" s="22"/>
      <c r="C60" s="25" t="s">
        <v>118</v>
      </c>
      <c r="D60" s="22"/>
      <c r="F60" s="43">
        <f>'TST1'!F60+'TST2'!F60+MKT!F60+SYShin!F60+JGChoi!F60</f>
        <v>1398000</v>
      </c>
      <c r="G60" s="43">
        <f>'TST1'!G60+'TST2'!G60+MKT!G60+SYShin!G60+JGChoi!G60</f>
        <v>1398000</v>
      </c>
      <c r="H60" s="43">
        <f>'TST1'!H60+'TST2'!H60+MKT!H60+SYShin!H60+JGChoi!H60</f>
        <v>1398000</v>
      </c>
      <c r="I60" s="34">
        <f t="shared" si="50"/>
        <v>4194000</v>
      </c>
      <c r="J60" s="43">
        <f>'TST1'!J60+'TST2'!J60+MKT!J60+SYShin!J60+JGChoi!J60</f>
        <v>1398000</v>
      </c>
      <c r="K60" s="43">
        <f>'TST1'!K60+'TST2'!K60+MKT!K60+SYShin!K60+JGChoi!K60</f>
        <v>1398000</v>
      </c>
      <c r="L60" s="43">
        <f>'TST1'!L60+'TST2'!L60+MKT!L60+SYShin!L60+JGChoi!L60</f>
        <v>1398000</v>
      </c>
      <c r="M60" s="34">
        <f t="shared" si="51"/>
        <v>4194000</v>
      </c>
      <c r="N60" s="43">
        <f>'TST1'!N60+'TST2'!N60+MKT!N60+SYShin!N60+JGChoi!N60</f>
        <v>1398000</v>
      </c>
      <c r="O60" s="43">
        <f>'TST1'!O60+'TST2'!O60+MKT!O60+SYShin!O60+JGChoi!O60</f>
        <v>1398000</v>
      </c>
      <c r="P60" s="43">
        <f>'TST1'!P60+'TST2'!P60+MKT!P60+SYShin!P60+JGChoi!P60</f>
        <v>1398000</v>
      </c>
      <c r="Q60" s="34">
        <f t="shared" si="52"/>
        <v>4194000</v>
      </c>
      <c r="R60" s="43">
        <f>'TST1'!R60+'TST2'!R60+MKT!R60+SYShin!R60+JGChoi!R60</f>
        <v>1398000</v>
      </c>
      <c r="S60" s="43">
        <f>'TST1'!S60+'TST2'!S60+MKT!S60+SYShin!S60+JGChoi!S60</f>
        <v>1398000</v>
      </c>
      <c r="T60" s="43">
        <f>'TST1'!T60+'TST2'!T60+MKT!T60+SYShin!T60+JGChoi!T60</f>
        <v>1398000</v>
      </c>
      <c r="U60" s="34">
        <f t="shared" si="53"/>
        <v>4194000</v>
      </c>
      <c r="V60" s="34">
        <f t="shared" si="54"/>
        <v>16776000</v>
      </c>
    </row>
    <row r="61" spans="1:22" ht="13.15" outlineLevel="2">
      <c r="A61" s="22"/>
      <c r="B61" s="22"/>
      <c r="C61" s="25" t="s">
        <v>157</v>
      </c>
      <c r="D61" s="22"/>
      <c r="F61" s="43">
        <f>'TST1'!F61+'TST2'!F61+MKT!F61+SYShin!F61+JGChoi!F61</f>
        <v>0</v>
      </c>
      <c r="G61" s="43">
        <f>'TST1'!G61+'TST2'!G61+MKT!G61+SYShin!G61+JGChoi!G61</f>
        <v>0</v>
      </c>
      <c r="H61" s="43">
        <f>'TST1'!H61+'TST2'!H61+MKT!H61+SYShin!H61+JGChoi!H61</f>
        <v>0</v>
      </c>
      <c r="I61" s="34">
        <f t="shared" si="50"/>
        <v>0</v>
      </c>
      <c r="J61" s="43">
        <f>'TST1'!J61+'TST2'!J61+MKT!J61+SYShin!J61+JGChoi!J61</f>
        <v>0</v>
      </c>
      <c r="K61" s="43">
        <f>'TST1'!K61+'TST2'!K61+MKT!K61+SYShin!K61+JGChoi!K61</f>
        <v>0</v>
      </c>
      <c r="L61" s="43">
        <f>'TST1'!L61+'TST2'!L61+MKT!L61+SYShin!L61+JGChoi!L61</f>
        <v>0</v>
      </c>
      <c r="M61" s="34">
        <f t="shared" si="51"/>
        <v>0</v>
      </c>
      <c r="N61" s="43">
        <f>'TST1'!N61+'TST2'!N61+MKT!N61+SYShin!N61+JGChoi!N61</f>
        <v>0</v>
      </c>
      <c r="O61" s="43">
        <f>'TST1'!O61+'TST2'!O61+MKT!O61+SYShin!O61+JGChoi!O61</f>
        <v>0</v>
      </c>
      <c r="P61" s="43">
        <f>'TST1'!P61+'TST2'!P61+MKT!P61+SYShin!P61+JGChoi!P61</f>
        <v>0</v>
      </c>
      <c r="Q61" s="34">
        <f t="shared" si="52"/>
        <v>0</v>
      </c>
      <c r="R61" s="43">
        <f>'TST1'!R61+'TST2'!R61+MKT!R61+SYShin!R61+JGChoi!R61</f>
        <v>0</v>
      </c>
      <c r="S61" s="43">
        <f>'TST1'!S61+'TST2'!S61+MKT!S61+SYShin!S61+JGChoi!S61</f>
        <v>0</v>
      </c>
      <c r="T61" s="43">
        <f>'TST1'!T61+'TST2'!T61+MKT!T61+SYShin!T61+JGChoi!T61</f>
        <v>0</v>
      </c>
      <c r="U61" s="34">
        <f t="shared" si="53"/>
        <v>0</v>
      </c>
      <c r="V61" s="34">
        <f t="shared" si="54"/>
        <v>0</v>
      </c>
    </row>
    <row r="62" spans="1:22" ht="13.15" outlineLevel="2">
      <c r="A62" s="22"/>
      <c r="B62" s="22"/>
      <c r="C62" s="25" t="s">
        <v>28</v>
      </c>
      <c r="D62" s="22"/>
      <c r="E62" s="7">
        <v>0</v>
      </c>
      <c r="F62" s="43">
        <f>'TST1'!F62+'TST2'!F62+MKT!F62+SYShin!F62+JGChoi!F62</f>
        <v>504000</v>
      </c>
      <c r="G62" s="43">
        <f>'TST1'!G62+'TST2'!G62+MKT!G62+SYShin!G62+JGChoi!G62</f>
        <v>504000</v>
      </c>
      <c r="H62" s="43">
        <f>'TST1'!H62+'TST2'!H62+MKT!H62+SYShin!H62+JGChoi!H62</f>
        <v>504000</v>
      </c>
      <c r="I62" s="34">
        <f t="shared" si="50"/>
        <v>1512000</v>
      </c>
      <c r="J62" s="43">
        <f>'TST1'!J62+'TST2'!J62+MKT!J62+SYShin!J62+JGChoi!J62</f>
        <v>504000</v>
      </c>
      <c r="K62" s="43">
        <f>'TST1'!K62+'TST2'!K62+MKT!K62+SYShin!K62+JGChoi!K62</f>
        <v>504000</v>
      </c>
      <c r="L62" s="43">
        <f>'TST1'!L62+'TST2'!L62+MKT!L62+SYShin!L62+JGChoi!L62</f>
        <v>504000</v>
      </c>
      <c r="M62" s="34">
        <f t="shared" si="51"/>
        <v>1512000</v>
      </c>
      <c r="N62" s="43">
        <f>'TST1'!N62+'TST2'!N62+MKT!N62+SYShin!N62+JGChoi!N62</f>
        <v>504000</v>
      </c>
      <c r="O62" s="43">
        <f>'TST1'!O62+'TST2'!O62+MKT!O62+SYShin!O62+JGChoi!O62</f>
        <v>504000</v>
      </c>
      <c r="P62" s="43">
        <f>'TST1'!P62+'TST2'!P62+MKT!P62+SYShin!P62+JGChoi!P62</f>
        <v>504000</v>
      </c>
      <c r="Q62" s="34">
        <f t="shared" si="52"/>
        <v>1512000</v>
      </c>
      <c r="R62" s="43">
        <f>'TST1'!R62+'TST2'!R62+MKT!R62+SYShin!R62+JGChoi!R62</f>
        <v>504000</v>
      </c>
      <c r="S62" s="43">
        <f>'TST1'!S62+'TST2'!S62+MKT!S62+SYShin!S62+JGChoi!S62</f>
        <v>504000</v>
      </c>
      <c r="T62" s="43">
        <f>'TST1'!T62+'TST2'!T62+MKT!T62+SYShin!T62+JGChoi!T62</f>
        <v>504000</v>
      </c>
      <c r="U62" s="34">
        <f t="shared" si="53"/>
        <v>1512000</v>
      </c>
      <c r="V62" s="34">
        <f t="shared" si="54"/>
        <v>6048000</v>
      </c>
    </row>
    <row r="63" spans="1:22" ht="13.15" outlineLevel="2">
      <c r="A63" s="22"/>
      <c r="B63" s="22"/>
      <c r="C63" s="25" t="s">
        <v>35</v>
      </c>
      <c r="D63" s="22"/>
      <c r="E63" s="7">
        <v>0</v>
      </c>
      <c r="F63" s="43">
        <f>'TST1'!F63+'TST2'!F63+MKT!F63+SYShin!F63+JGChoi!F63</f>
        <v>1448000</v>
      </c>
      <c r="G63" s="43">
        <f>'TST1'!G63+'TST2'!G63+MKT!G63+SYShin!G63+JGChoi!G63</f>
        <v>1448000</v>
      </c>
      <c r="H63" s="43">
        <f>'TST1'!H63+'TST2'!H63+MKT!H63+SYShin!H63+JGChoi!H63</f>
        <v>1448000</v>
      </c>
      <c r="I63" s="34">
        <f t="shared" si="50"/>
        <v>4344000</v>
      </c>
      <c r="J63" s="43">
        <f>'TST1'!J63+'TST2'!J63+MKT!J63+SYShin!J63+JGChoi!J63</f>
        <v>1448000</v>
      </c>
      <c r="K63" s="43">
        <f>'TST1'!K63+'TST2'!K63+MKT!K63+SYShin!K63+JGChoi!K63</f>
        <v>1448000</v>
      </c>
      <c r="L63" s="43">
        <f>'TST1'!L63+'TST2'!L63+MKT!L63+SYShin!L63+JGChoi!L63</f>
        <v>1448000</v>
      </c>
      <c r="M63" s="34">
        <f t="shared" si="51"/>
        <v>4344000</v>
      </c>
      <c r="N63" s="43">
        <f>'TST1'!N63+'TST2'!N63+MKT!N63+SYShin!N63+JGChoi!N63</f>
        <v>1448000</v>
      </c>
      <c r="O63" s="43">
        <f>'TST1'!O63+'TST2'!O63+MKT!O63+SYShin!O63+JGChoi!O63</f>
        <v>1448000</v>
      </c>
      <c r="P63" s="43">
        <f>'TST1'!P63+'TST2'!P63+MKT!P63+SYShin!P63+JGChoi!P63</f>
        <v>1448000</v>
      </c>
      <c r="Q63" s="34">
        <f t="shared" si="52"/>
        <v>4344000</v>
      </c>
      <c r="R63" s="43">
        <f>'TST1'!R63+'TST2'!R63+MKT!R63+SYShin!R63+JGChoi!R63</f>
        <v>1448000</v>
      </c>
      <c r="S63" s="43">
        <f>'TST1'!S63+'TST2'!S63+MKT!S63+SYShin!S63+JGChoi!S63</f>
        <v>1448000</v>
      </c>
      <c r="T63" s="43">
        <f>'TST1'!T63+'TST2'!T63+MKT!T63+SYShin!T63+JGChoi!T63</f>
        <v>1448000</v>
      </c>
      <c r="U63" s="34">
        <f t="shared" si="53"/>
        <v>4344000</v>
      </c>
      <c r="V63" s="34">
        <f t="shared" si="54"/>
        <v>17376000</v>
      </c>
    </row>
    <row r="64" spans="1:22" ht="13.15" outlineLevel="2">
      <c r="A64" s="22"/>
      <c r="B64" s="22"/>
      <c r="C64" s="25" t="s">
        <v>52</v>
      </c>
      <c r="D64" s="22"/>
      <c r="E64" s="7">
        <v>0</v>
      </c>
      <c r="F64" s="43">
        <f>'TST1'!F64+'TST2'!F64+MKT!F64+SYShin!F64+JGChoi!F64</f>
        <v>774000</v>
      </c>
      <c r="G64" s="43">
        <f>'TST1'!G64+'TST2'!G64+MKT!G64+SYShin!G64+JGChoi!G64</f>
        <v>769000</v>
      </c>
      <c r="H64" s="43">
        <f>'TST1'!H64+'TST2'!H64+MKT!H64+SYShin!H64+JGChoi!H64</f>
        <v>769000</v>
      </c>
      <c r="I64" s="34">
        <f t="shared" si="50"/>
        <v>2312000</v>
      </c>
      <c r="J64" s="43">
        <f>'TST1'!J64+'TST2'!J64+MKT!J64+SYShin!J64+JGChoi!J64</f>
        <v>769000</v>
      </c>
      <c r="K64" s="43">
        <f>'TST1'!K64+'TST2'!K64+MKT!K64+SYShin!K64+JGChoi!K64</f>
        <v>769000</v>
      </c>
      <c r="L64" s="43">
        <f>'TST1'!L64+'TST2'!L64+MKT!L64+SYShin!L64+JGChoi!L64</f>
        <v>769000</v>
      </c>
      <c r="M64" s="34">
        <f t="shared" si="51"/>
        <v>2307000</v>
      </c>
      <c r="N64" s="43">
        <f>'TST1'!N64+'TST2'!N64+MKT!N64+SYShin!N64+JGChoi!N64</f>
        <v>769000</v>
      </c>
      <c r="O64" s="43">
        <f>'TST1'!O64+'TST2'!O64+MKT!O64+SYShin!O64+JGChoi!O64</f>
        <v>769000</v>
      </c>
      <c r="P64" s="43">
        <f>'TST1'!P64+'TST2'!P64+MKT!P64+SYShin!P64+JGChoi!P64</f>
        <v>769000</v>
      </c>
      <c r="Q64" s="34">
        <f t="shared" si="52"/>
        <v>2307000</v>
      </c>
      <c r="R64" s="43">
        <f>'TST1'!R64+'TST2'!R64+MKT!R64+SYShin!R64+JGChoi!R64</f>
        <v>769000</v>
      </c>
      <c r="S64" s="43">
        <f>'TST1'!S64+'TST2'!S64+MKT!S64+SYShin!S64+JGChoi!S64</f>
        <v>769000</v>
      </c>
      <c r="T64" s="43">
        <f>'TST1'!T64+'TST2'!T64+MKT!T64+SYShin!T64+JGChoi!T64</f>
        <v>769000</v>
      </c>
      <c r="U64" s="34">
        <f t="shared" si="53"/>
        <v>2307000</v>
      </c>
      <c r="V64" s="34">
        <f t="shared" si="54"/>
        <v>9233000</v>
      </c>
    </row>
    <row r="65" spans="1:22" ht="13.15" outlineLevel="2">
      <c r="A65" s="22"/>
      <c r="B65" s="22"/>
      <c r="C65" s="25" t="s">
        <v>36</v>
      </c>
      <c r="D65" s="22"/>
      <c r="E65" s="7">
        <v>0</v>
      </c>
      <c r="F65" s="43">
        <f>'TST1'!F65+'TST2'!F65+MKT!F65+SYShin!F65+JGChoi!F65</f>
        <v>2116000</v>
      </c>
      <c r="G65" s="43">
        <f>'TST1'!G65+'TST2'!G65+MKT!G65+SYShin!G65+JGChoi!G65</f>
        <v>2041000</v>
      </c>
      <c r="H65" s="43">
        <f>'TST1'!H65+'TST2'!H65+MKT!H65+SYShin!H65+JGChoi!H65</f>
        <v>2041000</v>
      </c>
      <c r="I65" s="34">
        <f t="shared" si="50"/>
        <v>6198000</v>
      </c>
      <c r="J65" s="43">
        <f>'TST1'!J65+'TST2'!J65+MKT!J65+SYShin!J65+JGChoi!J65</f>
        <v>2041000</v>
      </c>
      <c r="K65" s="43">
        <f>'TST1'!K65+'TST2'!K65+MKT!K65+SYShin!K65+JGChoi!K65</f>
        <v>2041000</v>
      </c>
      <c r="L65" s="43">
        <f>'TST1'!L65+'TST2'!L65+MKT!L65+SYShin!L65+JGChoi!L65</f>
        <v>2041000</v>
      </c>
      <c r="M65" s="34">
        <f t="shared" si="51"/>
        <v>6123000</v>
      </c>
      <c r="N65" s="43">
        <f>'TST1'!N65+'TST2'!N65+MKT!N65+SYShin!N65+JGChoi!N65</f>
        <v>2041000</v>
      </c>
      <c r="O65" s="43">
        <f>'TST1'!O65+'TST2'!O65+MKT!O65+SYShin!O65+JGChoi!O65</f>
        <v>2041000</v>
      </c>
      <c r="P65" s="43">
        <f>'TST1'!P65+'TST2'!P65+MKT!P65+SYShin!P65+JGChoi!P65</f>
        <v>2041000</v>
      </c>
      <c r="Q65" s="34">
        <f t="shared" si="52"/>
        <v>6123000</v>
      </c>
      <c r="R65" s="43">
        <f>'TST1'!R65+'TST2'!R65+MKT!R65+SYShin!R65+JGChoi!R65</f>
        <v>2041000</v>
      </c>
      <c r="S65" s="43">
        <f>'TST1'!S65+'TST2'!S65+MKT!S65+SYShin!S65+JGChoi!S65</f>
        <v>2041000</v>
      </c>
      <c r="T65" s="43">
        <f>'TST1'!T65+'TST2'!T65+MKT!T65+SYShin!T65+JGChoi!T65</f>
        <v>2041000</v>
      </c>
      <c r="U65" s="34">
        <f t="shared" si="53"/>
        <v>6123000</v>
      </c>
      <c r="V65" s="34">
        <f t="shared" si="54"/>
        <v>24567000</v>
      </c>
    </row>
    <row r="66" spans="1:22" ht="13.15" outlineLevel="1">
      <c r="A66" s="24"/>
      <c r="B66" s="24" t="s">
        <v>4</v>
      </c>
      <c r="C66" s="24"/>
      <c r="D66" s="24"/>
      <c r="E66" s="8"/>
      <c r="F66" s="44">
        <f>SUM(F55:F65)</f>
        <v>9447000</v>
      </c>
      <c r="G66" s="44">
        <f t="shared" ref="G66:H66" si="55">SUM(G55:G65)</f>
        <v>9367000</v>
      </c>
      <c r="H66" s="44">
        <f t="shared" si="55"/>
        <v>9367000</v>
      </c>
      <c r="I66" s="35">
        <f>SUM(I55:I65)</f>
        <v>28181000</v>
      </c>
      <c r="J66" s="44">
        <f t="shared" ref="J66:L66" si="56">SUM(J55:J65)</f>
        <v>9367000</v>
      </c>
      <c r="K66" s="44">
        <f t="shared" si="56"/>
        <v>9367000</v>
      </c>
      <c r="L66" s="44">
        <f t="shared" si="56"/>
        <v>9367000</v>
      </c>
      <c r="M66" s="35">
        <f>SUM(M55:M65)</f>
        <v>28101000</v>
      </c>
      <c r="N66" s="44">
        <f t="shared" ref="N66:P66" si="57">SUM(N55:N65)</f>
        <v>9367000</v>
      </c>
      <c r="O66" s="44">
        <f t="shared" si="57"/>
        <v>9367000</v>
      </c>
      <c r="P66" s="44">
        <f t="shared" si="57"/>
        <v>9367000</v>
      </c>
      <c r="Q66" s="35">
        <f>SUM(Q55:Q65)</f>
        <v>28101000</v>
      </c>
      <c r="R66" s="44">
        <f t="shared" ref="R66:T66" si="58">SUM(R55:R65)</f>
        <v>9367000</v>
      </c>
      <c r="S66" s="44">
        <f t="shared" si="58"/>
        <v>9367000</v>
      </c>
      <c r="T66" s="44">
        <f t="shared" si="58"/>
        <v>9367000</v>
      </c>
      <c r="U66" s="35">
        <f>SUM(U55:U65)</f>
        <v>28101000</v>
      </c>
      <c r="V66" s="35">
        <f t="shared" si="54"/>
        <v>112484000</v>
      </c>
    </row>
    <row r="67" spans="1:22" ht="13.15" outlineLevel="2">
      <c r="A67" s="24"/>
      <c r="B67" s="26" t="s">
        <v>5</v>
      </c>
      <c r="C67" s="27"/>
      <c r="D67" s="27"/>
      <c r="E67" s="9"/>
      <c r="F67" s="129"/>
      <c r="G67" s="129"/>
      <c r="H67" s="129"/>
      <c r="I67" s="36"/>
      <c r="J67" s="129"/>
      <c r="K67" s="129"/>
      <c r="L67" s="129"/>
      <c r="M67" s="36"/>
      <c r="N67" s="129"/>
      <c r="O67" s="129"/>
      <c r="P67" s="129"/>
      <c r="Q67" s="36"/>
      <c r="R67" s="129"/>
      <c r="S67" s="129"/>
      <c r="T67" s="129"/>
      <c r="U67" s="36"/>
      <c r="V67" s="35" t="s">
        <v>86</v>
      </c>
    </row>
    <row r="68" spans="1:22" ht="13.15" outlineLevel="2">
      <c r="A68" s="24"/>
      <c r="B68" s="27"/>
      <c r="C68" s="28" t="s">
        <v>47</v>
      </c>
      <c r="D68" s="27"/>
      <c r="E68" s="9">
        <v>0</v>
      </c>
      <c r="F68" s="43">
        <f>'TST1'!F68+'TST2'!F68+MKT!F68+SYShin!F68+JGChoi!F68</f>
        <v>0</v>
      </c>
      <c r="G68" s="43">
        <f>'TST1'!G68+'TST2'!G68+MKT!G68+SYShin!G68+JGChoi!G68</f>
        <v>0</v>
      </c>
      <c r="H68" s="43">
        <f>'TST1'!H68+'TST2'!H68+MKT!H68+SYShin!H68+JGChoi!H68</f>
        <v>0</v>
      </c>
      <c r="I68" s="34">
        <f>SUM(F68:H68)</f>
        <v>0</v>
      </c>
      <c r="J68" s="43">
        <f>'TST1'!J68+'TST2'!J68+MKT!J68+SYShin!J68+JGChoi!J68</f>
        <v>0</v>
      </c>
      <c r="K68" s="43">
        <f>'TST1'!K68+'TST2'!K68+MKT!K68+SYShin!K68+JGChoi!K68</f>
        <v>0</v>
      </c>
      <c r="L68" s="43">
        <f>'TST1'!L68+'TST2'!L68+MKT!L68+SYShin!L68+JGChoi!L68</f>
        <v>0</v>
      </c>
      <c r="M68" s="34">
        <f>SUM(J68:L68)</f>
        <v>0</v>
      </c>
      <c r="N68" s="43">
        <f>'TST1'!N68+'TST2'!N68+MKT!N68+SYShin!N68+JGChoi!N68</f>
        <v>0</v>
      </c>
      <c r="O68" s="43">
        <f>'TST1'!O68+'TST2'!O68+MKT!O68+SYShin!O68+JGChoi!O68</f>
        <v>0</v>
      </c>
      <c r="P68" s="43">
        <f>'TST1'!P68+'TST2'!P68+MKT!P68+SYShin!P68+JGChoi!P68</f>
        <v>0</v>
      </c>
      <c r="Q68" s="34">
        <f>SUM(N68:P68)</f>
        <v>0</v>
      </c>
      <c r="R68" s="43">
        <f>'TST1'!R68+'TST2'!R68+MKT!R68+SYShin!R68+JGChoi!R68</f>
        <v>0</v>
      </c>
      <c r="S68" s="43">
        <f>'TST1'!S68+'TST2'!S68+MKT!S68+SYShin!S68+JGChoi!S68</f>
        <v>0</v>
      </c>
      <c r="T68" s="43">
        <f>'TST1'!T68+'TST2'!T68+MKT!T68+SYShin!T68+JGChoi!T68</f>
        <v>0</v>
      </c>
      <c r="U68" s="34">
        <f>SUM(R68:T68)</f>
        <v>0</v>
      </c>
      <c r="V68" s="34">
        <f>I68+M68+Q68+U68</f>
        <v>0</v>
      </c>
    </row>
    <row r="69" spans="1:22" ht="13.15" outlineLevel="2">
      <c r="A69" s="24"/>
      <c r="B69" s="27"/>
      <c r="C69" s="28" t="s">
        <v>48</v>
      </c>
      <c r="D69" s="27"/>
      <c r="E69" s="9">
        <v>0</v>
      </c>
      <c r="F69" s="43">
        <f>'TST1'!F69+'TST2'!F69+MKT!F69+SYShin!F69+JGChoi!F69</f>
        <v>15000</v>
      </c>
      <c r="G69" s="43">
        <f>'TST1'!G69+'TST2'!G69+MKT!G69+SYShin!G69+JGChoi!G69</f>
        <v>1000000</v>
      </c>
      <c r="H69" s="43">
        <f>'TST1'!H69+'TST2'!H69+MKT!H69+SYShin!H69+JGChoi!H69</f>
        <v>1000000</v>
      </c>
      <c r="I69" s="34">
        <f>SUM(F69:H69)</f>
        <v>2015000</v>
      </c>
      <c r="J69" s="43">
        <f>'TST1'!J69+'TST2'!J69+MKT!J69+SYShin!J69+JGChoi!J69</f>
        <v>1000000</v>
      </c>
      <c r="K69" s="43">
        <f>'TST1'!K69+'TST2'!K69+MKT!K69+SYShin!K69+JGChoi!K69</f>
        <v>1000000</v>
      </c>
      <c r="L69" s="43">
        <f>'TST1'!L69+'TST2'!L69+MKT!L69+SYShin!L69+JGChoi!L69</f>
        <v>1000000</v>
      </c>
      <c r="M69" s="34">
        <f>SUM(J69:L69)</f>
        <v>3000000</v>
      </c>
      <c r="N69" s="43">
        <f>'TST1'!N69+'TST2'!N69+MKT!N69+SYShin!N69+JGChoi!N69</f>
        <v>1000000</v>
      </c>
      <c r="O69" s="43">
        <f>'TST1'!O69+'TST2'!O69+MKT!O69+SYShin!O69+JGChoi!O69</f>
        <v>1000000</v>
      </c>
      <c r="P69" s="43">
        <f>'TST1'!P69+'TST2'!P69+MKT!P69+SYShin!P69+JGChoi!P69</f>
        <v>1000000</v>
      </c>
      <c r="Q69" s="34">
        <f>SUM(N69:P69)</f>
        <v>3000000</v>
      </c>
      <c r="R69" s="43">
        <f>'TST1'!R69+'TST2'!R69+MKT!R69+SYShin!R69+JGChoi!R69</f>
        <v>1000000</v>
      </c>
      <c r="S69" s="43">
        <f>'TST1'!S69+'TST2'!S69+MKT!S69+SYShin!S69+JGChoi!S69</f>
        <v>1000000</v>
      </c>
      <c r="T69" s="43">
        <f>'TST1'!T69+'TST2'!T69+MKT!T69+SYShin!T69+JGChoi!T69</f>
        <v>1000000</v>
      </c>
      <c r="U69" s="34">
        <f>SUM(R69:T69)</f>
        <v>3000000</v>
      </c>
      <c r="V69" s="34">
        <f>I69+M69+Q69+U69</f>
        <v>11015000</v>
      </c>
    </row>
    <row r="70" spans="1:22" ht="13.15" outlineLevel="2">
      <c r="A70" s="24"/>
      <c r="B70" s="27"/>
      <c r="C70" s="28" t="s">
        <v>26</v>
      </c>
      <c r="D70" s="27"/>
      <c r="E70" s="9">
        <v>0</v>
      </c>
      <c r="F70" s="43">
        <f>'TST1'!F70+'TST2'!F70+MKT!F70+SYShin!F70+JGChoi!F70</f>
        <v>0</v>
      </c>
      <c r="G70" s="43">
        <f>'TST1'!G70+'TST2'!G70+MKT!G70+SYShin!G70+JGChoi!G70</f>
        <v>0</v>
      </c>
      <c r="H70" s="43">
        <f>'TST1'!H70+'TST2'!H70+MKT!H70+SYShin!H70+JGChoi!H70</f>
        <v>0</v>
      </c>
      <c r="I70" s="34">
        <f>SUM(F70:H70)</f>
        <v>0</v>
      </c>
      <c r="J70" s="43">
        <f>'TST1'!J70+'TST2'!J70+MKT!J70+SYShin!J70+JGChoi!J70</f>
        <v>0</v>
      </c>
      <c r="K70" s="43">
        <f>'TST1'!K70+'TST2'!K70+MKT!K70+SYShin!K70+JGChoi!K70</f>
        <v>0</v>
      </c>
      <c r="L70" s="43">
        <f>'TST1'!L70+'TST2'!L70+MKT!L70+SYShin!L70+JGChoi!L70</f>
        <v>0</v>
      </c>
      <c r="M70" s="34">
        <f>SUM(J70:L70)</f>
        <v>0</v>
      </c>
      <c r="N70" s="43">
        <f>'TST1'!N70+'TST2'!N70+MKT!N70+SYShin!N70+JGChoi!N70</f>
        <v>0</v>
      </c>
      <c r="O70" s="43">
        <f>'TST1'!O70+'TST2'!O70+MKT!O70+SYShin!O70+JGChoi!O70</f>
        <v>0</v>
      </c>
      <c r="P70" s="43">
        <f>'TST1'!P70+'TST2'!P70+MKT!P70+SYShin!P70+JGChoi!P70</f>
        <v>0</v>
      </c>
      <c r="Q70" s="34">
        <f>SUM(N70:P70)</f>
        <v>0</v>
      </c>
      <c r="R70" s="43">
        <f>'TST1'!R70+'TST2'!R70+MKT!R70+SYShin!R70+JGChoi!R70</f>
        <v>0</v>
      </c>
      <c r="S70" s="43">
        <f>'TST1'!S70+'TST2'!S70+MKT!S70+SYShin!S70+JGChoi!S70</f>
        <v>0</v>
      </c>
      <c r="T70" s="43">
        <f>'TST1'!T70+'TST2'!T70+MKT!T70+SYShin!T70+JGChoi!T70</f>
        <v>0</v>
      </c>
      <c r="U70" s="34">
        <f>SUM(R70:T70)</f>
        <v>0</v>
      </c>
      <c r="V70" s="34">
        <f>I70+M70+Q70+U70</f>
        <v>0</v>
      </c>
    </row>
    <row r="71" spans="1:22" ht="13.15" outlineLevel="1">
      <c r="A71" s="24"/>
      <c r="B71" s="29" t="s">
        <v>6</v>
      </c>
      <c r="C71" s="30"/>
      <c r="D71" s="30"/>
      <c r="E71" s="10"/>
      <c r="F71" s="45">
        <f t="shared" ref="F71:U71" si="59">SUM(F68:F70)</f>
        <v>15000</v>
      </c>
      <c r="G71" s="45">
        <f t="shared" ref="G71:H71" si="60">SUM(G68:G70)</f>
        <v>1000000</v>
      </c>
      <c r="H71" s="45">
        <f t="shared" si="60"/>
        <v>1000000</v>
      </c>
      <c r="I71" s="35">
        <f t="shared" si="59"/>
        <v>2015000</v>
      </c>
      <c r="J71" s="45">
        <f t="shared" ref="J71:L71" si="61">SUM(J68:J70)</f>
        <v>1000000</v>
      </c>
      <c r="K71" s="45">
        <f t="shared" si="61"/>
        <v>1000000</v>
      </c>
      <c r="L71" s="45">
        <f t="shared" si="61"/>
        <v>1000000</v>
      </c>
      <c r="M71" s="35">
        <f t="shared" si="59"/>
        <v>3000000</v>
      </c>
      <c r="N71" s="45">
        <f t="shared" ref="N71:P71" si="62">SUM(N68:N70)</f>
        <v>1000000</v>
      </c>
      <c r="O71" s="45">
        <f t="shared" si="62"/>
        <v>1000000</v>
      </c>
      <c r="P71" s="45">
        <f t="shared" si="62"/>
        <v>1000000</v>
      </c>
      <c r="Q71" s="35">
        <f t="shared" si="59"/>
        <v>3000000</v>
      </c>
      <c r="R71" s="45">
        <f t="shared" ref="R71:T71" si="63">SUM(R68:R70)</f>
        <v>1000000</v>
      </c>
      <c r="S71" s="45">
        <f t="shared" si="63"/>
        <v>1000000</v>
      </c>
      <c r="T71" s="45">
        <f t="shared" si="63"/>
        <v>1000000</v>
      </c>
      <c r="U71" s="35">
        <f t="shared" si="59"/>
        <v>3000000</v>
      </c>
      <c r="V71" s="35">
        <f>I71+M71+Q71+U71</f>
        <v>11015000</v>
      </c>
    </row>
    <row r="72" spans="1:22" ht="13.15" outlineLevel="2">
      <c r="A72" s="24"/>
      <c r="B72" s="26" t="s">
        <v>7</v>
      </c>
      <c r="C72" s="27"/>
      <c r="D72" s="27"/>
      <c r="E72" s="9"/>
      <c r="F72" s="129"/>
      <c r="G72" s="129"/>
      <c r="H72" s="129"/>
      <c r="I72" s="36"/>
      <c r="J72" s="129"/>
      <c r="K72" s="129"/>
      <c r="L72" s="129"/>
      <c r="M72" s="36"/>
      <c r="N72" s="129"/>
      <c r="O72" s="129"/>
      <c r="P72" s="129"/>
      <c r="Q72" s="36"/>
      <c r="R72" s="129"/>
      <c r="S72" s="129"/>
      <c r="T72" s="129"/>
      <c r="U72" s="36"/>
      <c r="V72" s="36"/>
    </row>
    <row r="73" spans="1:22" ht="13.15" outlineLevel="2">
      <c r="A73" s="24"/>
      <c r="B73" s="27"/>
      <c r="C73" s="28" t="s">
        <v>40</v>
      </c>
      <c r="D73" s="27"/>
      <c r="E73" s="9">
        <v>0</v>
      </c>
      <c r="F73" s="43">
        <f>'TST1'!F73+'TST2'!F73+MKT!F73+SYShin!F73+JGChoi!F73</f>
        <v>0</v>
      </c>
      <c r="G73" s="43">
        <f>'TST1'!G73+'TST2'!G73+MKT!G73+SYShin!G73+JGChoi!G73</f>
        <v>0</v>
      </c>
      <c r="H73" s="43">
        <f>'TST1'!H73+'TST2'!H73+MKT!H73+SYShin!H73+JGChoi!H73</f>
        <v>0</v>
      </c>
      <c r="I73" s="34">
        <f>SUM(F73:H73)</f>
        <v>0</v>
      </c>
      <c r="J73" s="43">
        <f>'TST1'!J73+'TST2'!J73+MKT!J73+SYShin!J73+JGChoi!J73</f>
        <v>0</v>
      </c>
      <c r="K73" s="43">
        <f>'TST1'!K73+'TST2'!K73+MKT!K73+SYShin!K73+JGChoi!K73</f>
        <v>0</v>
      </c>
      <c r="L73" s="43">
        <f>'TST1'!L73+'TST2'!L73+MKT!L73+SYShin!L73+JGChoi!L73</f>
        <v>0</v>
      </c>
      <c r="M73" s="34">
        <f>SUM(J73:L73)</f>
        <v>0</v>
      </c>
      <c r="N73" s="43">
        <f>'TST1'!N73+'TST2'!N73+MKT!N73+SYShin!N73+JGChoi!N73</f>
        <v>0</v>
      </c>
      <c r="O73" s="43">
        <f>'TST1'!O73+'TST2'!O73+MKT!O73+SYShin!O73+JGChoi!O73</f>
        <v>0</v>
      </c>
      <c r="P73" s="43">
        <f>'TST1'!P73+'TST2'!P73+MKT!P73+SYShin!P73+JGChoi!P73</f>
        <v>0</v>
      </c>
      <c r="Q73" s="34">
        <f>SUM(N73:P73)</f>
        <v>0</v>
      </c>
      <c r="R73" s="43">
        <f>'TST1'!R73+'TST2'!R73+MKT!R73+SYShin!R73+JGChoi!R73</f>
        <v>0</v>
      </c>
      <c r="S73" s="43">
        <f>'TST1'!S73+'TST2'!S73+MKT!S73+SYShin!S73+JGChoi!S73</f>
        <v>0</v>
      </c>
      <c r="T73" s="43">
        <f>'TST1'!T73+'TST2'!T73+MKT!T73+SYShin!T73+JGChoi!T73</f>
        <v>0</v>
      </c>
      <c r="U73" s="34">
        <f>SUM(R73:T73)</f>
        <v>0</v>
      </c>
      <c r="V73" s="34">
        <f>I73+M73+Q73+U73</f>
        <v>0</v>
      </c>
    </row>
    <row r="74" spans="1:22" ht="13.15" outlineLevel="2">
      <c r="A74" s="24"/>
      <c r="B74" s="27"/>
      <c r="C74" s="27" t="s">
        <v>8</v>
      </c>
      <c r="D74" s="27"/>
      <c r="E74" s="9">
        <v>0</v>
      </c>
      <c r="F74" s="43">
        <f>'TST1'!F74+'TST2'!F74+MKT!F74+SYShin!F74+JGChoi!F74</f>
        <v>0</v>
      </c>
      <c r="G74" s="43">
        <f>'TST1'!G74+'TST2'!G74+MKT!G74+SYShin!G74+JGChoi!G74</f>
        <v>0</v>
      </c>
      <c r="H74" s="43">
        <f>'TST1'!H74+'TST2'!H74+MKT!H74+SYShin!H74+JGChoi!H74</f>
        <v>0</v>
      </c>
      <c r="I74" s="34">
        <f>SUM(F74:H74)</f>
        <v>0</v>
      </c>
      <c r="J74" s="43">
        <f>'TST1'!J74+'TST2'!J74+MKT!J74+SYShin!J74+JGChoi!J74</f>
        <v>0</v>
      </c>
      <c r="K74" s="43">
        <f>'TST1'!K74+'TST2'!K74+MKT!K74+SYShin!K74+JGChoi!K74</f>
        <v>0</v>
      </c>
      <c r="L74" s="43">
        <f>'TST1'!L74+'TST2'!L74+MKT!L74+SYShin!L74+JGChoi!L74</f>
        <v>0</v>
      </c>
      <c r="M74" s="34">
        <f>SUM(J74:L74)</f>
        <v>0</v>
      </c>
      <c r="N74" s="43">
        <f>'TST1'!N74+'TST2'!N74+MKT!N74+SYShin!N74+JGChoi!N74</f>
        <v>0</v>
      </c>
      <c r="O74" s="43">
        <f>'TST1'!O74+'TST2'!O74+MKT!O74+SYShin!O74+JGChoi!O74</f>
        <v>0</v>
      </c>
      <c r="P74" s="43">
        <f>'TST1'!P74+'TST2'!P74+MKT!P74+SYShin!P74+JGChoi!P74</f>
        <v>0</v>
      </c>
      <c r="Q74" s="34">
        <f>SUM(N74:P74)</f>
        <v>0</v>
      </c>
      <c r="R74" s="43">
        <f>'TST1'!R74+'TST2'!R74+MKT!R74+SYShin!R74+JGChoi!R74</f>
        <v>0</v>
      </c>
      <c r="S74" s="43">
        <f>'TST1'!S74+'TST2'!S74+MKT!S74+SYShin!S74+JGChoi!S74</f>
        <v>0</v>
      </c>
      <c r="T74" s="43">
        <f>'TST1'!T74+'TST2'!T74+MKT!T74+SYShin!T74+JGChoi!T74</f>
        <v>0</v>
      </c>
      <c r="U74" s="34">
        <f>SUM(R74:T74)</f>
        <v>0</v>
      </c>
      <c r="V74" s="34">
        <f>I74+M74+Q74+U74</f>
        <v>0</v>
      </c>
    </row>
    <row r="75" spans="1:22" ht="13.15" outlineLevel="2">
      <c r="A75" s="24"/>
      <c r="B75" s="27"/>
      <c r="C75" s="27" t="s">
        <v>9</v>
      </c>
      <c r="D75" s="27"/>
      <c r="E75" s="9">
        <v>0</v>
      </c>
      <c r="F75" s="43">
        <f>'TST1'!F75+'TST2'!F75+MKT!F75+SYShin!F75+JGChoi!F75</f>
        <v>0</v>
      </c>
      <c r="G75" s="43">
        <f>'TST1'!G75+'TST2'!G75+MKT!G75+SYShin!G75+JGChoi!G75</f>
        <v>0</v>
      </c>
      <c r="H75" s="43">
        <f>'TST1'!H75+'TST2'!H75+MKT!H75+SYShin!H75+JGChoi!H75</f>
        <v>0</v>
      </c>
      <c r="I75" s="34">
        <f>SUM(F75:H75)</f>
        <v>0</v>
      </c>
      <c r="J75" s="43">
        <f>'TST1'!J75+'TST2'!J75+MKT!J75+SYShin!J75+JGChoi!J75</f>
        <v>0</v>
      </c>
      <c r="K75" s="43">
        <f>'TST1'!K75+'TST2'!K75+MKT!K75+SYShin!K75+JGChoi!K75</f>
        <v>0</v>
      </c>
      <c r="L75" s="43">
        <f>'TST1'!L75+'TST2'!L75+MKT!L75+SYShin!L75+JGChoi!L75</f>
        <v>0</v>
      </c>
      <c r="M75" s="34">
        <f>SUM(J75:L75)</f>
        <v>0</v>
      </c>
      <c r="N75" s="43">
        <f>'TST1'!N75+'TST2'!N75+MKT!N75+SYShin!N75+JGChoi!N75</f>
        <v>0</v>
      </c>
      <c r="O75" s="43">
        <f>'TST1'!O75+'TST2'!O75+MKT!O75+SYShin!O75+JGChoi!O75</f>
        <v>0</v>
      </c>
      <c r="P75" s="43">
        <f>'TST1'!P75+'TST2'!P75+MKT!P75+SYShin!P75+JGChoi!P75</f>
        <v>0</v>
      </c>
      <c r="Q75" s="34">
        <f>SUM(N75:P75)</f>
        <v>0</v>
      </c>
      <c r="R75" s="43">
        <f>'TST1'!R75+'TST2'!R75+MKT!R75+SYShin!R75+JGChoi!R75</f>
        <v>0</v>
      </c>
      <c r="S75" s="43">
        <f>'TST1'!S75+'TST2'!S75+MKT!S75+SYShin!S75+JGChoi!S75</f>
        <v>0</v>
      </c>
      <c r="T75" s="43">
        <f>'TST1'!T75+'TST2'!T75+MKT!T75+SYShin!T75+JGChoi!T75</f>
        <v>0</v>
      </c>
      <c r="U75" s="34">
        <f>SUM(R75:T75)</f>
        <v>0</v>
      </c>
      <c r="V75" s="34">
        <f>I75+M75+Q75+U75</f>
        <v>0</v>
      </c>
    </row>
    <row r="76" spans="1:22" ht="13.15" outlineLevel="1">
      <c r="A76" s="24"/>
      <c r="B76" s="29" t="s">
        <v>10</v>
      </c>
      <c r="C76" s="30"/>
      <c r="D76" s="30"/>
      <c r="E76" s="10"/>
      <c r="F76" s="45">
        <f t="shared" ref="F76:G76" si="64">SUM(F73:F75)</f>
        <v>0</v>
      </c>
      <c r="G76" s="45">
        <f t="shared" si="64"/>
        <v>0</v>
      </c>
      <c r="H76" s="45">
        <f t="shared" ref="H76" si="65">SUM(H73:H75)</f>
        <v>0</v>
      </c>
      <c r="I76" s="35">
        <f>SUM(I73:I75)</f>
        <v>0</v>
      </c>
      <c r="J76" s="45">
        <f t="shared" ref="J76:L76" si="66">SUM(J73:J75)</f>
        <v>0</v>
      </c>
      <c r="K76" s="45">
        <f t="shared" si="66"/>
        <v>0</v>
      </c>
      <c r="L76" s="45">
        <f t="shared" si="66"/>
        <v>0</v>
      </c>
      <c r="M76" s="35">
        <f>SUM(M73:M75)</f>
        <v>0</v>
      </c>
      <c r="N76" s="45">
        <f t="shared" ref="N76:P76" si="67">SUM(N73:N75)</f>
        <v>0</v>
      </c>
      <c r="O76" s="45">
        <f t="shared" si="67"/>
        <v>0</v>
      </c>
      <c r="P76" s="45">
        <f t="shared" si="67"/>
        <v>0</v>
      </c>
      <c r="Q76" s="35">
        <f>SUM(Q73:Q75)</f>
        <v>0</v>
      </c>
      <c r="R76" s="45">
        <f t="shared" ref="R76:T76" si="68">SUM(R73:R75)</f>
        <v>0</v>
      </c>
      <c r="S76" s="45">
        <f t="shared" si="68"/>
        <v>0</v>
      </c>
      <c r="T76" s="45">
        <f t="shared" si="68"/>
        <v>0</v>
      </c>
      <c r="U76" s="35">
        <f>SUM(U73:U75)</f>
        <v>0</v>
      </c>
      <c r="V76" s="35">
        <f>I76+M76+Q76+U76</f>
        <v>0</v>
      </c>
    </row>
    <row r="77" spans="1:22" ht="13.15">
      <c r="A77" s="31"/>
      <c r="B77" s="32"/>
      <c r="C77" s="31"/>
      <c r="D77" s="32" t="s">
        <v>11</v>
      </c>
      <c r="E77" s="9"/>
      <c r="F77" s="139">
        <f>F52+F53+F66+F71+F76</f>
        <v>81192000</v>
      </c>
      <c r="G77" s="139">
        <f>G52+G53+G66+G71+G76</f>
        <v>82307000</v>
      </c>
      <c r="H77" s="139">
        <f>H52+H53+H66+H71+H76</f>
        <v>82307000</v>
      </c>
      <c r="I77" s="139">
        <f>I76+I71+I66+I53+I52</f>
        <v>245806000</v>
      </c>
      <c r="J77" s="139">
        <f>J52+J53+J66+J71+J76</f>
        <v>82307000</v>
      </c>
      <c r="K77" s="139">
        <f>K52+K53+K66+K71+K76</f>
        <v>82307000</v>
      </c>
      <c r="L77" s="139">
        <f>L52+L53+L66+L71+L76</f>
        <v>82307000</v>
      </c>
      <c r="M77" s="139">
        <f>M76+M71+M66+M53+M52</f>
        <v>246921000</v>
      </c>
      <c r="N77" s="139">
        <f>N52+N53+N66+N71+N76</f>
        <v>82307000</v>
      </c>
      <c r="O77" s="139">
        <f>O52+O53+O66+O71+O76</f>
        <v>82307000</v>
      </c>
      <c r="P77" s="139">
        <f>P52+P53+P66+P71+P76</f>
        <v>82307000</v>
      </c>
      <c r="Q77" s="139">
        <f>Q76+Q71+Q66+Q53+Q52</f>
        <v>246921000</v>
      </c>
      <c r="R77" s="139">
        <f>R52+R53+R66+R71+R76</f>
        <v>82307000</v>
      </c>
      <c r="S77" s="139">
        <f>S52+S53+S66+S71+S76</f>
        <v>82307000</v>
      </c>
      <c r="T77" s="139">
        <f>T52+T53+T66+T71+T76</f>
        <v>82307000</v>
      </c>
      <c r="U77" s="139">
        <f>U76+U71+U66+U53+U52</f>
        <v>246921000</v>
      </c>
      <c r="V77" s="139">
        <f>I77+M77+Q77+U77</f>
        <v>986569000</v>
      </c>
    </row>
    <row r="78" spans="1:22" ht="13.15" outlineLevel="1">
      <c r="A78" s="32" t="s">
        <v>12</v>
      </c>
      <c r="B78" s="32"/>
      <c r="C78" s="33"/>
      <c r="D78" s="33"/>
      <c r="E78" s="9"/>
      <c r="F78" s="44"/>
      <c r="G78" s="44"/>
      <c r="H78" s="44"/>
      <c r="I78" s="35"/>
      <c r="J78" s="44"/>
      <c r="K78" s="44"/>
      <c r="L78" s="44"/>
      <c r="M78" s="35"/>
      <c r="N78" s="44"/>
      <c r="O78" s="44"/>
      <c r="P78" s="44"/>
      <c r="Q78" s="35"/>
      <c r="R78" s="44"/>
      <c r="S78" s="44"/>
      <c r="T78" s="44"/>
      <c r="U78" s="35"/>
      <c r="V78" s="35"/>
    </row>
    <row r="79" spans="1:22" ht="13.15" outlineLevel="2">
      <c r="A79" s="24"/>
      <c r="B79" s="26" t="s">
        <v>13</v>
      </c>
      <c r="C79" s="27"/>
      <c r="D79" s="27"/>
      <c r="E79" s="9"/>
      <c r="F79" s="129"/>
      <c r="G79" s="129"/>
      <c r="H79" s="129"/>
      <c r="I79" s="36"/>
      <c r="J79" s="129"/>
      <c r="K79" s="129"/>
      <c r="L79" s="129"/>
      <c r="M79" s="36"/>
      <c r="N79" s="129"/>
      <c r="O79" s="129"/>
      <c r="P79" s="129"/>
      <c r="Q79" s="36"/>
      <c r="R79" s="129"/>
      <c r="S79" s="129"/>
      <c r="T79" s="129"/>
      <c r="U79" s="36"/>
      <c r="V79" s="36"/>
    </row>
    <row r="80" spans="1:22" ht="13.15" outlineLevel="2">
      <c r="A80" s="24"/>
      <c r="B80" s="27"/>
      <c r="C80" s="28" t="s">
        <v>66</v>
      </c>
      <c r="D80" s="27"/>
      <c r="E80" s="9">
        <v>0</v>
      </c>
      <c r="F80" s="43">
        <f>'TST1'!F80+'TST2'!F80+MKT!F80+SYShin!F80+JGChoi!F80</f>
        <v>0</v>
      </c>
      <c r="G80" s="43">
        <f>'TST1'!G80+'TST2'!G80+MKT!G80+SYShin!G80+JGChoi!G80</f>
        <v>0</v>
      </c>
      <c r="H80" s="43">
        <f>'TST1'!H80+'TST2'!H80+MKT!H80+SYShin!H80+JGChoi!H80</f>
        <v>0</v>
      </c>
      <c r="I80" s="34">
        <f t="shared" ref="I80:I87" si="69">SUM(F80:H80)</f>
        <v>0</v>
      </c>
      <c r="J80" s="43">
        <f>'TST1'!J80+'TST2'!J80+MKT!J80+SYShin!J80+JGChoi!J80</f>
        <v>0</v>
      </c>
      <c r="K80" s="43">
        <f>'TST1'!K80+'TST2'!K80+MKT!K80+SYShin!K80+JGChoi!K80</f>
        <v>0</v>
      </c>
      <c r="L80" s="43">
        <f>'TST1'!L80+'TST2'!L80+MKT!L80+SYShin!L80+JGChoi!L80</f>
        <v>0</v>
      </c>
      <c r="M80" s="34">
        <f t="shared" ref="M80:M87" si="70">SUM(J80:L80)</f>
        <v>0</v>
      </c>
      <c r="N80" s="43">
        <f>'TST1'!N80+'TST2'!N80+MKT!N80+SYShin!N80+JGChoi!N80</f>
        <v>0</v>
      </c>
      <c r="O80" s="43">
        <f>'TST1'!O80+'TST2'!O80+MKT!O80+SYShin!O80+JGChoi!O80</f>
        <v>0</v>
      </c>
      <c r="P80" s="43">
        <f>'TST1'!P80+'TST2'!P80+MKT!P80+SYShin!P80+JGChoi!P80</f>
        <v>0</v>
      </c>
      <c r="Q80" s="34">
        <f t="shared" ref="Q80:Q87" si="71">SUM(N80:P80)</f>
        <v>0</v>
      </c>
      <c r="R80" s="43">
        <f>'TST1'!R80+'TST2'!R80+MKT!R80+SYShin!R80+JGChoi!R80</f>
        <v>0</v>
      </c>
      <c r="S80" s="43">
        <f>'TST1'!S80+'TST2'!S80+MKT!S80+SYShin!S80+JGChoi!S80</f>
        <v>0</v>
      </c>
      <c r="T80" s="43">
        <f>'TST1'!T80+'TST2'!T80+MKT!T80+SYShin!T80+JGChoi!T80</f>
        <v>0</v>
      </c>
      <c r="U80" s="34">
        <f t="shared" ref="U80:U87" si="72">SUM(R80:T80)</f>
        <v>0</v>
      </c>
      <c r="V80" s="34">
        <f t="shared" ref="V80:V97" si="73">I80+M80+Q80+U80</f>
        <v>0</v>
      </c>
    </row>
    <row r="81" spans="1:22" ht="13.15" outlineLevel="2">
      <c r="A81" s="24"/>
      <c r="B81" s="27"/>
      <c r="C81" s="28" t="s">
        <v>67</v>
      </c>
      <c r="D81" s="27"/>
      <c r="E81" s="9">
        <v>0</v>
      </c>
      <c r="F81" s="43">
        <f>'TST1'!F81+'TST2'!F81+MKT!F81+SYShin!F81+JGChoi!F81</f>
        <v>0</v>
      </c>
      <c r="G81" s="43">
        <f>'TST1'!G81+'TST2'!G81+MKT!G81+SYShin!G81+JGChoi!G81</f>
        <v>0</v>
      </c>
      <c r="H81" s="43">
        <f>'TST1'!H81+'TST2'!H81+MKT!H81+SYShin!H81+JGChoi!H81</f>
        <v>0</v>
      </c>
      <c r="I81" s="34">
        <f t="shared" si="69"/>
        <v>0</v>
      </c>
      <c r="J81" s="43">
        <f>'TST1'!J81+'TST2'!J81+MKT!J81+SYShin!J81+JGChoi!J81</f>
        <v>0</v>
      </c>
      <c r="K81" s="43">
        <f>'TST1'!K81+'TST2'!K81+MKT!K81+SYShin!K81+JGChoi!K81</f>
        <v>0</v>
      </c>
      <c r="L81" s="43">
        <f>'TST1'!L81+'TST2'!L81+MKT!L81+SYShin!L81+JGChoi!L81</f>
        <v>0</v>
      </c>
      <c r="M81" s="34">
        <f t="shared" si="70"/>
        <v>0</v>
      </c>
      <c r="N81" s="43">
        <f>'TST1'!N81+'TST2'!N81+MKT!N81+SYShin!N81+JGChoi!N81</f>
        <v>0</v>
      </c>
      <c r="O81" s="43">
        <f>'TST1'!O81+'TST2'!O81+MKT!O81+SYShin!O81+JGChoi!O81</f>
        <v>0</v>
      </c>
      <c r="P81" s="43">
        <f>'TST1'!P81+'TST2'!P81+MKT!P81+SYShin!P81+JGChoi!P81</f>
        <v>0</v>
      </c>
      <c r="Q81" s="34">
        <f t="shared" si="71"/>
        <v>0</v>
      </c>
      <c r="R81" s="43">
        <f>'TST1'!R81+'TST2'!R81+MKT!R81+SYShin!R81+JGChoi!R81</f>
        <v>0</v>
      </c>
      <c r="S81" s="43">
        <f>'TST1'!S81+'TST2'!S81+MKT!S81+SYShin!S81+JGChoi!S81</f>
        <v>0</v>
      </c>
      <c r="T81" s="43">
        <f>'TST1'!T81+'TST2'!T81+MKT!T81+SYShin!T81+JGChoi!T81</f>
        <v>0</v>
      </c>
      <c r="U81" s="34">
        <f t="shared" si="72"/>
        <v>0</v>
      </c>
      <c r="V81" s="34">
        <f t="shared" si="73"/>
        <v>0</v>
      </c>
    </row>
    <row r="82" spans="1:22" ht="13.15" outlineLevel="2">
      <c r="A82" s="24"/>
      <c r="B82" s="27"/>
      <c r="C82" s="28" t="s">
        <v>100</v>
      </c>
      <c r="D82" s="27"/>
      <c r="E82" s="9">
        <v>0</v>
      </c>
      <c r="F82" s="43">
        <f>'TST1'!F82+'TST2'!F82+MKT!F82+SYShin!F82+JGChoi!F82</f>
        <v>0</v>
      </c>
      <c r="G82" s="43">
        <f>'TST1'!G82+'TST2'!G82+MKT!G82+SYShin!G82+JGChoi!G82</f>
        <v>0</v>
      </c>
      <c r="H82" s="43">
        <f>'TST1'!H82+'TST2'!H82+MKT!H82+SYShin!H82+JGChoi!H82</f>
        <v>0</v>
      </c>
      <c r="I82" s="34">
        <f t="shared" si="69"/>
        <v>0</v>
      </c>
      <c r="J82" s="43">
        <f>'TST1'!J82+'TST2'!J82+MKT!J82+SYShin!J82+JGChoi!J82</f>
        <v>0</v>
      </c>
      <c r="K82" s="43">
        <f>'TST1'!K82+'TST2'!K82+MKT!K82+SYShin!K82+JGChoi!K82</f>
        <v>0</v>
      </c>
      <c r="L82" s="43">
        <f>'TST1'!L82+'TST2'!L82+MKT!L82+SYShin!L82+JGChoi!L82</f>
        <v>0</v>
      </c>
      <c r="M82" s="34">
        <f t="shared" si="70"/>
        <v>0</v>
      </c>
      <c r="N82" s="43">
        <f>'TST1'!N82+'TST2'!N82+MKT!N82+SYShin!N82+JGChoi!N82</f>
        <v>0</v>
      </c>
      <c r="O82" s="43">
        <f>'TST1'!O82+'TST2'!O82+MKT!O82+SYShin!O82+JGChoi!O82</f>
        <v>0</v>
      </c>
      <c r="P82" s="43">
        <f>'TST1'!P82+'TST2'!P82+MKT!P82+SYShin!P82+JGChoi!P82</f>
        <v>0</v>
      </c>
      <c r="Q82" s="34">
        <f t="shared" si="71"/>
        <v>0</v>
      </c>
      <c r="R82" s="43">
        <f>'TST1'!R82+'TST2'!R82+MKT!R82+SYShin!R82+JGChoi!R82</f>
        <v>0</v>
      </c>
      <c r="S82" s="43">
        <f>'TST1'!S82+'TST2'!S82+MKT!S82+SYShin!S82+JGChoi!S82</f>
        <v>0</v>
      </c>
      <c r="T82" s="43">
        <f>'TST1'!T82+'TST2'!T82+MKT!T82+SYShin!T82+JGChoi!T82</f>
        <v>0</v>
      </c>
      <c r="U82" s="34">
        <f t="shared" si="72"/>
        <v>0</v>
      </c>
      <c r="V82" s="34">
        <f t="shared" si="73"/>
        <v>0</v>
      </c>
    </row>
    <row r="83" spans="1:22" ht="13.15" outlineLevel="2">
      <c r="A83" s="24"/>
      <c r="B83" s="27"/>
      <c r="C83" s="28" t="s">
        <v>99</v>
      </c>
      <c r="D83" s="27"/>
      <c r="E83" s="9"/>
      <c r="F83" s="43">
        <f>'TST1'!F83+'TST2'!F83+MKT!F83+SYShin!F83+JGChoi!F83</f>
        <v>0</v>
      </c>
      <c r="G83" s="43">
        <f>'TST1'!G83+'TST2'!G83+MKT!G83+SYShin!G83+JGChoi!G83</f>
        <v>0</v>
      </c>
      <c r="H83" s="43">
        <f>'TST1'!H83+'TST2'!H83+MKT!H83+SYShin!H83+JGChoi!H83</f>
        <v>0</v>
      </c>
      <c r="I83" s="34">
        <f t="shared" si="69"/>
        <v>0</v>
      </c>
      <c r="J83" s="43">
        <f>'TST1'!J83+'TST2'!J83+MKT!J83+SYShin!J83+JGChoi!J83</f>
        <v>0</v>
      </c>
      <c r="K83" s="43">
        <f>'TST1'!K83+'TST2'!K83+MKT!K83+SYShin!K83+JGChoi!K83</f>
        <v>0</v>
      </c>
      <c r="L83" s="43">
        <f>'TST1'!L83+'TST2'!L83+MKT!L83+SYShin!L83+JGChoi!L83</f>
        <v>0</v>
      </c>
      <c r="M83" s="34">
        <f t="shared" si="70"/>
        <v>0</v>
      </c>
      <c r="N83" s="43">
        <f>'TST1'!N83+'TST2'!N83+MKT!N83+SYShin!N83+JGChoi!N83</f>
        <v>0</v>
      </c>
      <c r="O83" s="43">
        <f>'TST1'!O83+'TST2'!O83+MKT!O83+SYShin!O83+JGChoi!O83</f>
        <v>0</v>
      </c>
      <c r="P83" s="43">
        <f>'TST1'!P83+'TST2'!P83+MKT!P83+SYShin!P83+JGChoi!P83</f>
        <v>0</v>
      </c>
      <c r="Q83" s="34">
        <f t="shared" si="71"/>
        <v>0</v>
      </c>
      <c r="R83" s="43">
        <f>'TST1'!R83+'TST2'!R83+MKT!R83+SYShin!R83+JGChoi!R83</f>
        <v>0</v>
      </c>
      <c r="S83" s="43">
        <f>'TST1'!S83+'TST2'!S83+MKT!S83+SYShin!S83+JGChoi!S83</f>
        <v>0</v>
      </c>
      <c r="T83" s="43">
        <f>'TST1'!T83+'TST2'!T83+MKT!T83+SYShin!T83+JGChoi!T83</f>
        <v>0</v>
      </c>
      <c r="U83" s="34">
        <f t="shared" si="72"/>
        <v>0</v>
      </c>
      <c r="V83" s="34">
        <f t="shared" si="73"/>
        <v>0</v>
      </c>
    </row>
    <row r="84" spans="1:22" ht="13.15" outlineLevel="2">
      <c r="A84" s="24"/>
      <c r="B84" s="27"/>
      <c r="C84" s="28" t="s">
        <v>101</v>
      </c>
      <c r="D84" s="27"/>
      <c r="E84" s="9"/>
      <c r="F84" s="43">
        <f>'TST1'!F84+'TST2'!F84+MKT!F84+SYShin!F84+JGChoi!F84</f>
        <v>0</v>
      </c>
      <c r="G84" s="43">
        <f>'TST1'!G84+'TST2'!G84+MKT!G84+SYShin!G84+JGChoi!G84</f>
        <v>0</v>
      </c>
      <c r="H84" s="43">
        <f>'TST1'!H84+'TST2'!H84+MKT!H84+SYShin!H84+JGChoi!H84</f>
        <v>0</v>
      </c>
      <c r="I84" s="34">
        <f t="shared" si="69"/>
        <v>0</v>
      </c>
      <c r="J84" s="43">
        <f>'TST1'!J84+'TST2'!J84+MKT!J84+SYShin!J84+JGChoi!J84</f>
        <v>0</v>
      </c>
      <c r="K84" s="43">
        <f>'TST1'!K84+'TST2'!K84+MKT!K84+SYShin!K84+JGChoi!K84</f>
        <v>0</v>
      </c>
      <c r="L84" s="43">
        <f>'TST1'!L84+'TST2'!L84+MKT!L84+SYShin!L84+JGChoi!L84</f>
        <v>0</v>
      </c>
      <c r="M84" s="34">
        <f t="shared" si="70"/>
        <v>0</v>
      </c>
      <c r="N84" s="43">
        <f>'TST1'!N84+'TST2'!N84+MKT!N84+SYShin!N84+JGChoi!N84</f>
        <v>0</v>
      </c>
      <c r="O84" s="43">
        <f>'TST1'!O84+'TST2'!O84+MKT!O84+SYShin!O84+JGChoi!O84</f>
        <v>0</v>
      </c>
      <c r="P84" s="43">
        <f>'TST1'!P84+'TST2'!P84+MKT!P84+SYShin!P84+JGChoi!P84</f>
        <v>0</v>
      </c>
      <c r="Q84" s="34">
        <f t="shared" si="71"/>
        <v>0</v>
      </c>
      <c r="R84" s="43">
        <f>'TST1'!R84+'TST2'!R84+MKT!R84+SYShin!R84+JGChoi!R84</f>
        <v>0</v>
      </c>
      <c r="S84" s="43">
        <f>'TST1'!S84+'TST2'!S84+MKT!S84+SYShin!S84+JGChoi!S84</f>
        <v>0</v>
      </c>
      <c r="T84" s="43">
        <f>'TST1'!T84+'TST2'!T84+MKT!T84+SYShin!T84+JGChoi!T84</f>
        <v>0</v>
      </c>
      <c r="U84" s="34">
        <f t="shared" si="72"/>
        <v>0</v>
      </c>
      <c r="V84" s="34">
        <f t="shared" si="73"/>
        <v>0</v>
      </c>
    </row>
    <row r="85" spans="1:22" ht="13.15" outlineLevel="2">
      <c r="A85" s="24"/>
      <c r="B85" s="27"/>
      <c r="C85" s="28" t="s">
        <v>41</v>
      </c>
      <c r="D85" s="27"/>
      <c r="E85" s="9">
        <v>0</v>
      </c>
      <c r="F85" s="43">
        <f>'TST1'!F85+'TST2'!F85+MKT!F85+SYShin!F85+JGChoi!F85</f>
        <v>0</v>
      </c>
      <c r="G85" s="43">
        <f>'TST1'!G85+'TST2'!G85+MKT!G85+SYShin!G85+JGChoi!G85</f>
        <v>0</v>
      </c>
      <c r="H85" s="43">
        <f>'TST1'!H85+'TST2'!H85+MKT!H85+SYShin!H85+JGChoi!H85</f>
        <v>0</v>
      </c>
      <c r="I85" s="34">
        <f t="shared" si="69"/>
        <v>0</v>
      </c>
      <c r="J85" s="43">
        <f>'TST1'!J85+'TST2'!J85+MKT!J85+SYShin!J85+JGChoi!J85</f>
        <v>0</v>
      </c>
      <c r="K85" s="43">
        <f>'TST1'!K85+'TST2'!K85+MKT!K85+SYShin!K85+JGChoi!K85</f>
        <v>0</v>
      </c>
      <c r="L85" s="43">
        <f>'TST1'!L85+'TST2'!L85+MKT!L85+SYShin!L85+JGChoi!L85</f>
        <v>0</v>
      </c>
      <c r="M85" s="34">
        <f t="shared" si="70"/>
        <v>0</v>
      </c>
      <c r="N85" s="43">
        <f>'TST1'!N85+'TST2'!N85+MKT!N85+SYShin!N85+JGChoi!N85</f>
        <v>0</v>
      </c>
      <c r="O85" s="43">
        <f>'TST1'!O85+'TST2'!O85+MKT!O85+SYShin!O85+JGChoi!O85</f>
        <v>0</v>
      </c>
      <c r="P85" s="43">
        <f>'TST1'!P85+'TST2'!P85+MKT!P85+SYShin!P85+JGChoi!P85</f>
        <v>0</v>
      </c>
      <c r="Q85" s="34">
        <f t="shared" si="71"/>
        <v>0</v>
      </c>
      <c r="R85" s="43">
        <f>'TST1'!R85+'TST2'!R85+MKT!R85+SYShin!R85+JGChoi!R85</f>
        <v>0</v>
      </c>
      <c r="S85" s="43">
        <f>'TST1'!S85+'TST2'!S85+MKT!S85+SYShin!S85+JGChoi!S85</f>
        <v>0</v>
      </c>
      <c r="T85" s="43">
        <f>'TST1'!T85+'TST2'!T85+MKT!T85+SYShin!T85+JGChoi!T85</f>
        <v>0</v>
      </c>
      <c r="U85" s="34">
        <f t="shared" si="72"/>
        <v>0</v>
      </c>
      <c r="V85" s="34">
        <f t="shared" si="73"/>
        <v>0</v>
      </c>
    </row>
    <row r="86" spans="1:22" ht="13.15" outlineLevel="2">
      <c r="A86" s="24"/>
      <c r="B86" s="27"/>
      <c r="C86" s="28" t="s">
        <v>114</v>
      </c>
      <c r="D86" s="27"/>
      <c r="E86" s="9">
        <v>0</v>
      </c>
      <c r="F86" s="43">
        <f>'TST1'!F86+'TST2'!F86+MKT!F86+SYShin!F86+JGChoi!F86</f>
        <v>0</v>
      </c>
      <c r="G86" s="43">
        <f>'TST1'!G86+'TST2'!G86+MKT!G86+SYShin!G86+JGChoi!G86</f>
        <v>0</v>
      </c>
      <c r="H86" s="43">
        <f>'TST1'!H86+'TST2'!H86+MKT!H86+SYShin!H86+JGChoi!H86</f>
        <v>0</v>
      </c>
      <c r="I86" s="34">
        <f t="shared" si="69"/>
        <v>0</v>
      </c>
      <c r="J86" s="43">
        <f>'TST1'!J86+'TST2'!J86+MKT!J86+SYShin!J86+JGChoi!J86</f>
        <v>0</v>
      </c>
      <c r="K86" s="43">
        <f>'TST1'!K86+'TST2'!K86+MKT!K86+SYShin!K86+JGChoi!K86</f>
        <v>0</v>
      </c>
      <c r="L86" s="43">
        <f>'TST1'!L86+'TST2'!L86+MKT!L86+SYShin!L86+JGChoi!L86</f>
        <v>0</v>
      </c>
      <c r="M86" s="34">
        <f t="shared" si="70"/>
        <v>0</v>
      </c>
      <c r="N86" s="43">
        <f>'TST1'!N86+'TST2'!N86+MKT!N86+SYShin!N86+JGChoi!N86</f>
        <v>0</v>
      </c>
      <c r="O86" s="43">
        <f>'TST1'!O86+'TST2'!O86+MKT!O86+SYShin!O86+JGChoi!O86</f>
        <v>0</v>
      </c>
      <c r="P86" s="43">
        <f>'TST1'!P86+'TST2'!P86+MKT!P86+SYShin!P86+JGChoi!P86</f>
        <v>0</v>
      </c>
      <c r="Q86" s="34">
        <f t="shared" si="71"/>
        <v>0</v>
      </c>
      <c r="R86" s="43">
        <f>'TST1'!R86+'TST2'!R86+MKT!R86+SYShin!R86+JGChoi!R86</f>
        <v>0</v>
      </c>
      <c r="S86" s="43">
        <f>'TST1'!S86+'TST2'!S86+MKT!S86+SYShin!S86+JGChoi!S86</f>
        <v>0</v>
      </c>
      <c r="T86" s="43">
        <f>'TST1'!T86+'TST2'!T86+MKT!T86+SYShin!T86+JGChoi!T86</f>
        <v>0</v>
      </c>
      <c r="U86" s="34">
        <f t="shared" si="72"/>
        <v>0</v>
      </c>
      <c r="V86" s="34">
        <f t="shared" si="73"/>
        <v>0</v>
      </c>
    </row>
    <row r="87" spans="1:22" ht="13.15" outlineLevel="2">
      <c r="A87" s="24"/>
      <c r="B87" s="27"/>
      <c r="C87" s="28" t="s">
        <v>105</v>
      </c>
      <c r="D87" s="27"/>
      <c r="E87" s="9">
        <v>0</v>
      </c>
      <c r="F87" s="43">
        <f>'TST1'!F87+'TST2'!F87+MKT!F87+SYShin!F87+JGChoi!F87</f>
        <v>0</v>
      </c>
      <c r="G87" s="43">
        <f>'TST1'!G87+'TST2'!G87+MKT!G87+SYShin!G87+JGChoi!G87</f>
        <v>0</v>
      </c>
      <c r="H87" s="43">
        <f>'TST1'!H87+'TST2'!H87+MKT!H87+SYShin!H87+JGChoi!H87</f>
        <v>0</v>
      </c>
      <c r="I87" s="34">
        <f t="shared" si="69"/>
        <v>0</v>
      </c>
      <c r="J87" s="43">
        <f>'TST1'!J87+'TST2'!J87+MKT!J87+SYShin!J87+JGChoi!J87</f>
        <v>0</v>
      </c>
      <c r="K87" s="43">
        <f>'TST1'!K87+'TST2'!K87+MKT!K87+SYShin!K87+JGChoi!K87</f>
        <v>0</v>
      </c>
      <c r="L87" s="43">
        <f>'TST1'!L87+'TST2'!L87+MKT!L87+SYShin!L87+JGChoi!L87</f>
        <v>0</v>
      </c>
      <c r="M87" s="34">
        <f t="shared" si="70"/>
        <v>0</v>
      </c>
      <c r="N87" s="43">
        <f>'TST1'!N87+'TST2'!N87+MKT!N87+SYShin!N87+JGChoi!N87</f>
        <v>0</v>
      </c>
      <c r="O87" s="43">
        <f>'TST1'!O87+'TST2'!O87+MKT!O87+SYShin!O87+JGChoi!O87</f>
        <v>0</v>
      </c>
      <c r="P87" s="43">
        <f>'TST1'!P87+'TST2'!P87+MKT!P87+SYShin!P87+JGChoi!P87</f>
        <v>0</v>
      </c>
      <c r="Q87" s="34">
        <f t="shared" si="71"/>
        <v>0</v>
      </c>
      <c r="R87" s="43">
        <f>'TST1'!R87+'TST2'!R87+MKT!R87+SYShin!R87+JGChoi!R87</f>
        <v>0</v>
      </c>
      <c r="S87" s="43">
        <f>'TST1'!S87+'TST2'!S87+MKT!S87+SYShin!S87+JGChoi!S87</f>
        <v>0</v>
      </c>
      <c r="T87" s="43">
        <f>'TST1'!T87+'TST2'!T87+MKT!T87+SYShin!T87+JGChoi!T87</f>
        <v>0</v>
      </c>
      <c r="U87" s="34">
        <f t="shared" si="72"/>
        <v>0</v>
      </c>
      <c r="V87" s="34">
        <f t="shared" si="73"/>
        <v>0</v>
      </c>
    </row>
    <row r="88" spans="1:22" ht="13.15" outlineLevel="1">
      <c r="A88" s="24"/>
      <c r="B88" s="30" t="s">
        <v>14</v>
      </c>
      <c r="C88" s="30"/>
      <c r="D88" s="30"/>
      <c r="E88" s="10"/>
      <c r="F88" s="45">
        <f t="shared" ref="F88" si="74">SUM(F80:F87)</f>
        <v>0</v>
      </c>
      <c r="G88" s="45">
        <f t="shared" ref="G88:H88" si="75">SUM(G80:G87)</f>
        <v>0</v>
      </c>
      <c r="H88" s="45">
        <f t="shared" si="75"/>
        <v>0</v>
      </c>
      <c r="I88" s="35">
        <f t="shared" ref="I88:U89" si="76">SUM(I80:I87)</f>
        <v>0</v>
      </c>
      <c r="J88" s="45">
        <f t="shared" ref="J88:L88" si="77">SUM(J80:J87)</f>
        <v>0</v>
      </c>
      <c r="K88" s="45">
        <f t="shared" si="77"/>
        <v>0</v>
      </c>
      <c r="L88" s="45">
        <f t="shared" si="77"/>
        <v>0</v>
      </c>
      <c r="M88" s="35">
        <f t="shared" si="76"/>
        <v>0</v>
      </c>
      <c r="N88" s="45">
        <f t="shared" ref="N88:P88" si="78">SUM(N80:N87)</f>
        <v>0</v>
      </c>
      <c r="O88" s="45">
        <f t="shared" si="78"/>
        <v>0</v>
      </c>
      <c r="P88" s="45">
        <f t="shared" si="78"/>
        <v>0</v>
      </c>
      <c r="Q88" s="35">
        <f t="shared" si="76"/>
        <v>0</v>
      </c>
      <c r="R88" s="45">
        <f t="shared" ref="R88:T88" si="79">SUM(R80:R87)</f>
        <v>0</v>
      </c>
      <c r="S88" s="45">
        <f t="shared" si="79"/>
        <v>0</v>
      </c>
      <c r="T88" s="45">
        <f t="shared" si="79"/>
        <v>0</v>
      </c>
      <c r="U88" s="35">
        <f t="shared" si="76"/>
        <v>0</v>
      </c>
      <c r="V88" s="35">
        <f t="shared" si="73"/>
        <v>0</v>
      </c>
    </row>
    <row r="89" spans="1:22" s="4" customFormat="1" ht="13.15" outlineLevel="1">
      <c r="A89" s="24"/>
      <c r="B89" s="24" t="s">
        <v>15</v>
      </c>
      <c r="C89" s="24"/>
      <c r="D89" s="24"/>
      <c r="E89" s="8">
        <v>0</v>
      </c>
      <c r="F89" s="44">
        <v>0</v>
      </c>
      <c r="G89" s="44">
        <v>0</v>
      </c>
      <c r="H89" s="44">
        <v>0</v>
      </c>
      <c r="I89" s="35">
        <f t="shared" si="76"/>
        <v>0</v>
      </c>
      <c r="J89" s="44">
        <v>0</v>
      </c>
      <c r="K89" s="44">
        <v>0</v>
      </c>
      <c r="L89" s="44">
        <v>0</v>
      </c>
      <c r="M89" s="35">
        <f t="shared" si="76"/>
        <v>0</v>
      </c>
      <c r="N89" s="44">
        <v>0</v>
      </c>
      <c r="O89" s="44">
        <v>0</v>
      </c>
      <c r="P89" s="44">
        <v>0</v>
      </c>
      <c r="Q89" s="35">
        <f t="shared" si="76"/>
        <v>0</v>
      </c>
      <c r="R89" s="44">
        <v>0</v>
      </c>
      <c r="S89" s="44">
        <v>0</v>
      </c>
      <c r="T89" s="44">
        <v>0</v>
      </c>
      <c r="U89" s="35">
        <f t="shared" si="76"/>
        <v>0</v>
      </c>
      <c r="V89" s="35">
        <f t="shared" si="73"/>
        <v>0</v>
      </c>
    </row>
    <row r="90" spans="1:22" ht="13.15" outlineLevel="2">
      <c r="A90" s="24"/>
      <c r="B90" s="26" t="s">
        <v>16</v>
      </c>
      <c r="C90" s="27"/>
      <c r="D90" s="27"/>
      <c r="E90" s="9"/>
      <c r="F90" s="129"/>
      <c r="G90" s="129"/>
      <c r="H90" s="129"/>
      <c r="I90" s="34">
        <f t="shared" ref="I90" si="80">SUM(F90:H90)</f>
        <v>0</v>
      </c>
      <c r="J90" s="129"/>
      <c r="K90" s="129"/>
      <c r="L90" s="129"/>
      <c r="M90" s="34">
        <f t="shared" ref="M90" si="81">SUM(J90:L90)</f>
        <v>0</v>
      </c>
      <c r="N90" s="129"/>
      <c r="O90" s="129"/>
      <c r="P90" s="129"/>
      <c r="Q90" s="34">
        <f t="shared" ref="Q90" si="82">SUM(N90:P90)</f>
        <v>0</v>
      </c>
      <c r="R90" s="129"/>
      <c r="S90" s="129"/>
      <c r="T90" s="129"/>
      <c r="U90" s="34">
        <f t="shared" ref="U90" si="83">SUM(R90:T90)</f>
        <v>0</v>
      </c>
      <c r="V90" s="34">
        <f t="shared" si="73"/>
        <v>0</v>
      </c>
    </row>
    <row r="91" spans="1:22" ht="13.15" outlineLevel="2">
      <c r="A91" s="24"/>
      <c r="B91" s="27"/>
      <c r="C91" s="28" t="s">
        <v>42</v>
      </c>
      <c r="D91" s="27"/>
      <c r="E91" s="9">
        <v>0</v>
      </c>
      <c r="F91" s="43">
        <f>'TST1'!F91+'TST2'!F91+MKT!F91+SYShin!F91+JGChoi!F91</f>
        <v>19000</v>
      </c>
      <c r="G91" s="43">
        <f>'TST1'!G91+'TST2'!G91+MKT!G91+SYShin!G91+JGChoi!G91</f>
        <v>0</v>
      </c>
      <c r="H91" s="43">
        <f>'TST1'!H91+'TST2'!H91+MKT!H91+SYShin!H91+JGChoi!H91</f>
        <v>0</v>
      </c>
      <c r="I91" s="34">
        <f t="shared" ref="I91:I96" si="84">SUM(F91:H91)</f>
        <v>19000</v>
      </c>
      <c r="J91" s="43">
        <f>'TST1'!J91+'TST2'!J91+MKT!J91+SYShin!J91+JGChoi!J91</f>
        <v>0</v>
      </c>
      <c r="K91" s="43">
        <f>'TST1'!K91+'TST2'!K91+MKT!K91+SYShin!K91+JGChoi!K91</f>
        <v>0</v>
      </c>
      <c r="L91" s="43">
        <f>'TST1'!L91+'TST2'!L91+MKT!L91+SYShin!L91+JGChoi!L91</f>
        <v>0</v>
      </c>
      <c r="M91" s="34">
        <f t="shared" ref="M91:M96" si="85">SUM(J91:L91)</f>
        <v>0</v>
      </c>
      <c r="N91" s="43">
        <f>'TST1'!N91+'TST2'!N91+MKT!N91+SYShin!N91+JGChoi!N91</f>
        <v>0</v>
      </c>
      <c r="O91" s="43">
        <f>'TST1'!O91+'TST2'!O91+MKT!O91+SYShin!O91+JGChoi!O91</f>
        <v>0</v>
      </c>
      <c r="P91" s="43">
        <f>'TST1'!P91+'TST2'!P91+MKT!P91+SYShin!P91+JGChoi!P91</f>
        <v>0</v>
      </c>
      <c r="Q91" s="34">
        <f t="shared" ref="Q91:Q96" si="86">SUM(N91:P91)</f>
        <v>0</v>
      </c>
      <c r="R91" s="43">
        <f>'TST1'!R91+'TST2'!R91+MKT!R91+SYShin!R91+JGChoi!R91</f>
        <v>0</v>
      </c>
      <c r="S91" s="43">
        <f>'TST1'!S91+'TST2'!S91+MKT!S91+SYShin!S91+JGChoi!S91</f>
        <v>0</v>
      </c>
      <c r="T91" s="43">
        <f>'TST1'!T91+'TST2'!T91+MKT!T91+SYShin!T91+JGChoi!T91</f>
        <v>0</v>
      </c>
      <c r="U91" s="34">
        <f t="shared" ref="U91:U96" si="87">SUM(R91:T91)</f>
        <v>0</v>
      </c>
      <c r="V91" s="34">
        <f t="shared" si="73"/>
        <v>19000</v>
      </c>
    </row>
    <row r="92" spans="1:22" ht="13.15" outlineLevel="2">
      <c r="A92" s="24"/>
      <c r="B92" s="27"/>
      <c r="C92" s="28" t="s">
        <v>43</v>
      </c>
      <c r="D92" s="27"/>
      <c r="E92" s="9">
        <v>0</v>
      </c>
      <c r="F92" s="43">
        <f>'TST1'!F92+'TST2'!F92+MKT!F92+SYShin!F92+JGChoi!F92</f>
        <v>112000</v>
      </c>
      <c r="G92" s="43">
        <f>'TST1'!G92+'TST2'!G92+MKT!G92+SYShin!G92+JGChoi!G92</f>
        <v>7000</v>
      </c>
      <c r="H92" s="43">
        <f>'TST1'!H92+'TST2'!H92+MKT!H92+SYShin!H92+JGChoi!H92</f>
        <v>7000</v>
      </c>
      <c r="I92" s="34">
        <f t="shared" si="84"/>
        <v>126000</v>
      </c>
      <c r="J92" s="43">
        <f>'TST1'!J92+'TST2'!J92+MKT!J92+SYShin!J92+JGChoi!J92</f>
        <v>7000</v>
      </c>
      <c r="K92" s="43">
        <f>'TST1'!K92+'TST2'!K92+MKT!K92+SYShin!K92+JGChoi!K92</f>
        <v>7000</v>
      </c>
      <c r="L92" s="43">
        <f>'TST1'!L92+'TST2'!L92+MKT!L92+SYShin!L92+JGChoi!L92</f>
        <v>7000</v>
      </c>
      <c r="M92" s="34">
        <f t="shared" si="85"/>
        <v>21000</v>
      </c>
      <c r="N92" s="43">
        <f>'TST1'!N92+'TST2'!N92+MKT!N92+SYShin!N92+JGChoi!N92</f>
        <v>7000</v>
      </c>
      <c r="O92" s="43">
        <f>'TST1'!O92+'TST2'!O92+MKT!O92+SYShin!O92+JGChoi!O92</f>
        <v>7000</v>
      </c>
      <c r="P92" s="43">
        <f>'TST1'!P92+'TST2'!P92+MKT!P92+SYShin!P92+JGChoi!P92</f>
        <v>7000</v>
      </c>
      <c r="Q92" s="34">
        <f t="shared" si="86"/>
        <v>21000</v>
      </c>
      <c r="R92" s="43">
        <f>'TST1'!R92+'TST2'!R92+MKT!R92+SYShin!R92+JGChoi!R92</f>
        <v>7000</v>
      </c>
      <c r="S92" s="43">
        <f>'TST1'!S92+'TST2'!S92+MKT!S92+SYShin!S92+JGChoi!S92</f>
        <v>7000</v>
      </c>
      <c r="T92" s="43">
        <f>'TST1'!T92+'TST2'!T92+MKT!T92+SYShin!T92+JGChoi!T92</f>
        <v>7000</v>
      </c>
      <c r="U92" s="34">
        <f t="shared" si="87"/>
        <v>21000</v>
      </c>
      <c r="V92" s="34">
        <f t="shared" si="73"/>
        <v>189000</v>
      </c>
    </row>
    <row r="93" spans="1:22" ht="13.15" outlineLevel="2">
      <c r="A93" s="24"/>
      <c r="B93" s="27"/>
      <c r="C93" s="28" t="s">
        <v>53</v>
      </c>
      <c r="D93" s="27"/>
      <c r="E93" s="9">
        <v>0</v>
      </c>
      <c r="F93" s="43">
        <f>'TST1'!F93+'TST2'!F93+MKT!F93+SYShin!F93+JGChoi!F93</f>
        <v>0</v>
      </c>
      <c r="G93" s="43">
        <f>'TST1'!G93+'TST2'!G93+MKT!G93+SYShin!G93+JGChoi!G93</f>
        <v>0</v>
      </c>
      <c r="H93" s="43">
        <f>'TST1'!H93+'TST2'!H93+MKT!H93+SYShin!H93+JGChoi!H93</f>
        <v>0</v>
      </c>
      <c r="I93" s="34">
        <f t="shared" si="84"/>
        <v>0</v>
      </c>
      <c r="J93" s="43">
        <f>'TST1'!J93+'TST2'!J93+MKT!J93+SYShin!J93+JGChoi!J93</f>
        <v>0</v>
      </c>
      <c r="K93" s="43">
        <f>'TST1'!K93+'TST2'!K93+MKT!K93+SYShin!K93+JGChoi!K93</f>
        <v>0</v>
      </c>
      <c r="L93" s="43">
        <f>'TST1'!L93+'TST2'!L93+MKT!L93+SYShin!L93+JGChoi!L93</f>
        <v>0</v>
      </c>
      <c r="M93" s="34">
        <f t="shared" si="85"/>
        <v>0</v>
      </c>
      <c r="N93" s="43">
        <f>'TST1'!N93+'TST2'!N93+MKT!N93+SYShin!N93+JGChoi!N93</f>
        <v>0</v>
      </c>
      <c r="O93" s="43">
        <f>'TST1'!O93+'TST2'!O93+MKT!O93+SYShin!O93+JGChoi!O93</f>
        <v>0</v>
      </c>
      <c r="P93" s="43">
        <f>'TST1'!P93+'TST2'!P93+MKT!P93+SYShin!P93+JGChoi!P93</f>
        <v>0</v>
      </c>
      <c r="Q93" s="34">
        <f t="shared" si="86"/>
        <v>0</v>
      </c>
      <c r="R93" s="43">
        <f>'TST1'!R93+'TST2'!R93+MKT!R93+SYShin!R93+JGChoi!R93</f>
        <v>0</v>
      </c>
      <c r="S93" s="43">
        <f>'TST1'!S93+'TST2'!S93+MKT!S93+SYShin!S93+JGChoi!S93</f>
        <v>0</v>
      </c>
      <c r="T93" s="43">
        <f>'TST1'!T93+'TST2'!T93+MKT!T93+SYShin!T93+JGChoi!T93</f>
        <v>0</v>
      </c>
      <c r="U93" s="34">
        <f t="shared" si="87"/>
        <v>0</v>
      </c>
      <c r="V93" s="34">
        <f t="shared" si="73"/>
        <v>0</v>
      </c>
    </row>
    <row r="94" spans="1:22" ht="13.15" outlineLevel="2">
      <c r="A94" s="24"/>
      <c r="B94" s="27"/>
      <c r="C94" s="28" t="s">
        <v>44</v>
      </c>
      <c r="D94" s="27"/>
      <c r="E94" s="9">
        <v>0</v>
      </c>
      <c r="F94" s="43">
        <f>'TST1'!F94+'TST2'!F94+MKT!F94+SYShin!F94+JGChoi!F94</f>
        <v>12000</v>
      </c>
      <c r="G94" s="43">
        <f>'TST1'!G94+'TST2'!G94+MKT!G94+SYShin!G94+JGChoi!G94</f>
        <v>12000</v>
      </c>
      <c r="H94" s="43">
        <f>'TST1'!H94+'TST2'!H94+MKT!H94+SYShin!H94+JGChoi!H94</f>
        <v>12000</v>
      </c>
      <c r="I94" s="34">
        <f t="shared" si="84"/>
        <v>36000</v>
      </c>
      <c r="J94" s="43">
        <f>'TST1'!J94+'TST2'!J94+MKT!J94+SYShin!J94+JGChoi!J94</f>
        <v>12000</v>
      </c>
      <c r="K94" s="43">
        <f>'TST1'!K94+'TST2'!K94+MKT!K94+SYShin!K94+JGChoi!K94</f>
        <v>12000</v>
      </c>
      <c r="L94" s="43">
        <f>'TST1'!L94+'TST2'!L94+MKT!L94+SYShin!L94+JGChoi!L94</f>
        <v>12000</v>
      </c>
      <c r="M94" s="34">
        <f t="shared" si="85"/>
        <v>36000</v>
      </c>
      <c r="N94" s="43">
        <f>'TST1'!N94+'TST2'!N94+MKT!N94+SYShin!N94+JGChoi!N94</f>
        <v>12000</v>
      </c>
      <c r="O94" s="43">
        <f>'TST1'!O94+'TST2'!O94+MKT!O94+SYShin!O94+JGChoi!O94</f>
        <v>12000</v>
      </c>
      <c r="P94" s="43">
        <f>'TST1'!P94+'TST2'!P94+MKT!P94+SYShin!P94+JGChoi!P94</f>
        <v>12000</v>
      </c>
      <c r="Q94" s="34">
        <f t="shared" si="86"/>
        <v>36000</v>
      </c>
      <c r="R94" s="43">
        <f>'TST1'!R94+'TST2'!R94+MKT!R94+SYShin!R94+JGChoi!R94</f>
        <v>12000</v>
      </c>
      <c r="S94" s="43">
        <f>'TST1'!S94+'TST2'!S94+MKT!S94+SYShin!S94+JGChoi!S94</f>
        <v>12000</v>
      </c>
      <c r="T94" s="43">
        <f>'TST1'!T94+'TST2'!T94+MKT!T94+SYShin!T94+JGChoi!T94</f>
        <v>12000</v>
      </c>
      <c r="U94" s="34">
        <f t="shared" si="87"/>
        <v>36000</v>
      </c>
      <c r="V94" s="34">
        <f t="shared" si="73"/>
        <v>144000</v>
      </c>
    </row>
    <row r="95" spans="1:22" ht="13.15" outlineLevel="2">
      <c r="A95" s="24"/>
      <c r="B95" s="27"/>
      <c r="C95" s="28" t="s">
        <v>51</v>
      </c>
      <c r="D95" s="27"/>
      <c r="E95" s="9">
        <v>0</v>
      </c>
      <c r="F95" s="43">
        <f>'TST1'!F95+'TST2'!F95+MKT!F95+SYShin!F95+JGChoi!F95</f>
        <v>117000</v>
      </c>
      <c r="G95" s="43">
        <f>'TST1'!G95+'TST2'!G95+MKT!G95+SYShin!G95+JGChoi!G95</f>
        <v>103000</v>
      </c>
      <c r="H95" s="43">
        <f>'TST1'!H95+'TST2'!H95+MKT!H95+SYShin!H95+JGChoi!H95</f>
        <v>103000</v>
      </c>
      <c r="I95" s="34">
        <f t="shared" si="84"/>
        <v>323000</v>
      </c>
      <c r="J95" s="43">
        <f>'TST1'!J95+'TST2'!J95+MKT!J95+SYShin!J95+JGChoi!J95</f>
        <v>103000</v>
      </c>
      <c r="K95" s="43">
        <f>'TST1'!K95+'TST2'!K95+MKT!K95+SYShin!K95+JGChoi!K95</f>
        <v>103000</v>
      </c>
      <c r="L95" s="43">
        <f>'TST1'!L95+'TST2'!L95+MKT!L95+SYShin!L95+JGChoi!L95</f>
        <v>103000</v>
      </c>
      <c r="M95" s="34">
        <f t="shared" si="85"/>
        <v>309000</v>
      </c>
      <c r="N95" s="43">
        <f>'TST1'!N95+'TST2'!N95+MKT!N95+SYShin!N95+JGChoi!N95</f>
        <v>103000</v>
      </c>
      <c r="O95" s="43">
        <f>'TST1'!O95+'TST2'!O95+MKT!O95+SYShin!O95+JGChoi!O95</f>
        <v>103000</v>
      </c>
      <c r="P95" s="43">
        <f>'TST1'!P95+'TST2'!P95+MKT!P95+SYShin!P95+JGChoi!P95</f>
        <v>103000</v>
      </c>
      <c r="Q95" s="34">
        <f t="shared" si="86"/>
        <v>309000</v>
      </c>
      <c r="R95" s="43">
        <f>'TST1'!R95+'TST2'!R95+MKT!R95+SYShin!R95+JGChoi!R95</f>
        <v>103000</v>
      </c>
      <c r="S95" s="43">
        <f>'TST1'!S95+'TST2'!S95+MKT!S95+SYShin!S95+JGChoi!S95</f>
        <v>103000</v>
      </c>
      <c r="T95" s="43">
        <f>'TST1'!T95+'TST2'!T95+MKT!T95+SYShin!T95+JGChoi!T95</f>
        <v>103000</v>
      </c>
      <c r="U95" s="34">
        <f t="shared" si="87"/>
        <v>309000</v>
      </c>
      <c r="V95" s="34">
        <f t="shared" si="73"/>
        <v>1250000</v>
      </c>
    </row>
    <row r="96" spans="1:22" ht="13.15" outlineLevel="2">
      <c r="A96" s="24"/>
      <c r="B96" s="27"/>
      <c r="C96" s="28" t="s">
        <v>50</v>
      </c>
      <c r="D96" s="27"/>
      <c r="E96" s="9">
        <v>0</v>
      </c>
      <c r="F96" s="43">
        <f>'TST1'!F96+'TST2'!F96+MKT!F96+SYShin!F96+JGChoi!F96</f>
        <v>0</v>
      </c>
      <c r="G96" s="43">
        <f>'TST1'!G96+'TST2'!G96+MKT!G96+SYShin!G96+JGChoi!G96</f>
        <v>0</v>
      </c>
      <c r="H96" s="43">
        <f>'TST1'!H96+'TST2'!H96+MKT!H96+SYShin!H96+JGChoi!H96</f>
        <v>0</v>
      </c>
      <c r="I96" s="34">
        <f t="shared" si="84"/>
        <v>0</v>
      </c>
      <c r="J96" s="43">
        <f>'TST1'!J96+'TST2'!J96+MKT!J96+SYShin!J96+JGChoi!J96</f>
        <v>0</v>
      </c>
      <c r="K96" s="43">
        <f>'TST1'!K96+'TST2'!K96+MKT!K96+SYShin!K96+JGChoi!K96</f>
        <v>0</v>
      </c>
      <c r="L96" s="43">
        <f>'TST1'!L96+'TST2'!L96+MKT!L96+SYShin!L96+JGChoi!L96</f>
        <v>0</v>
      </c>
      <c r="M96" s="34">
        <f t="shared" si="85"/>
        <v>0</v>
      </c>
      <c r="N96" s="43">
        <f>'TST1'!N96+'TST2'!N96+MKT!N96+SYShin!N96+JGChoi!N96</f>
        <v>0</v>
      </c>
      <c r="O96" s="43">
        <f>'TST1'!O96+'TST2'!O96+MKT!O96+SYShin!O96+JGChoi!O96</f>
        <v>0</v>
      </c>
      <c r="P96" s="43">
        <f>'TST1'!P96+'TST2'!P96+MKT!P96+SYShin!P96+JGChoi!P96</f>
        <v>0</v>
      </c>
      <c r="Q96" s="34">
        <f t="shared" si="86"/>
        <v>0</v>
      </c>
      <c r="R96" s="43">
        <f>'TST1'!R96+'TST2'!R96+MKT!R96+SYShin!R96+JGChoi!R96</f>
        <v>0</v>
      </c>
      <c r="S96" s="43">
        <f>'TST1'!S96+'TST2'!S96+MKT!S96+SYShin!S96+JGChoi!S96</f>
        <v>0</v>
      </c>
      <c r="T96" s="43">
        <f>'TST1'!T96+'TST2'!T96+MKT!T96+SYShin!T96+JGChoi!T96</f>
        <v>0</v>
      </c>
      <c r="U96" s="34">
        <f t="shared" si="87"/>
        <v>0</v>
      </c>
      <c r="V96" s="34">
        <f t="shared" si="73"/>
        <v>0</v>
      </c>
    </row>
    <row r="97" spans="1:22" ht="13.15" outlineLevel="1">
      <c r="A97" s="24"/>
      <c r="B97" s="24" t="s">
        <v>17</v>
      </c>
      <c r="C97" s="24"/>
      <c r="D97" s="24"/>
      <c r="E97" s="8"/>
      <c r="F97" s="44">
        <f t="shared" ref="F97" si="88">SUM(F91:F96)</f>
        <v>260000</v>
      </c>
      <c r="G97" s="44">
        <f t="shared" ref="G97:H97" si="89">SUM(G91:G96)</f>
        <v>122000</v>
      </c>
      <c r="H97" s="44">
        <f t="shared" si="89"/>
        <v>122000</v>
      </c>
      <c r="I97" s="35">
        <f>SUM(I91:I96)</f>
        <v>504000</v>
      </c>
      <c r="J97" s="44">
        <f t="shared" ref="J97:L97" si="90">SUM(J91:J96)</f>
        <v>122000</v>
      </c>
      <c r="K97" s="44">
        <f t="shared" si="90"/>
        <v>122000</v>
      </c>
      <c r="L97" s="44">
        <f t="shared" si="90"/>
        <v>122000</v>
      </c>
      <c r="M97" s="35">
        <f>SUM(M91:M96)</f>
        <v>366000</v>
      </c>
      <c r="N97" s="44">
        <f t="shared" ref="N97:P97" si="91">SUM(N91:N96)</f>
        <v>122000</v>
      </c>
      <c r="O97" s="44">
        <f t="shared" si="91"/>
        <v>122000</v>
      </c>
      <c r="P97" s="44">
        <f t="shared" si="91"/>
        <v>122000</v>
      </c>
      <c r="Q97" s="35">
        <f>SUM(Q91:Q96)</f>
        <v>366000</v>
      </c>
      <c r="R97" s="44">
        <f t="shared" ref="R97:T97" si="92">SUM(R91:R96)</f>
        <v>122000</v>
      </c>
      <c r="S97" s="44">
        <f t="shared" si="92"/>
        <v>122000</v>
      </c>
      <c r="T97" s="44">
        <f t="shared" si="92"/>
        <v>122000</v>
      </c>
      <c r="U97" s="35">
        <f>SUM(U91:U96)</f>
        <v>366000</v>
      </c>
      <c r="V97" s="35">
        <f t="shared" si="73"/>
        <v>1602000</v>
      </c>
    </row>
    <row r="98" spans="1:22" ht="13.15" outlineLevel="2">
      <c r="A98" s="24"/>
      <c r="B98" s="26" t="s">
        <v>18</v>
      </c>
      <c r="C98" s="27"/>
      <c r="D98" s="27"/>
      <c r="E98" s="9"/>
      <c r="F98" s="129"/>
      <c r="G98" s="129"/>
      <c r="H98" s="129"/>
      <c r="I98" s="36"/>
      <c r="J98" s="129"/>
      <c r="K98" s="129"/>
      <c r="L98" s="129"/>
      <c r="M98" s="36"/>
      <c r="N98" s="129"/>
      <c r="O98" s="129"/>
      <c r="P98" s="129"/>
      <c r="Q98" s="36"/>
      <c r="R98" s="129"/>
      <c r="S98" s="129"/>
      <c r="T98" s="129"/>
      <c r="U98" s="36"/>
      <c r="V98" s="36"/>
    </row>
    <row r="99" spans="1:22" ht="13.15" outlineLevel="2">
      <c r="A99" s="24"/>
      <c r="B99" s="27"/>
      <c r="C99" s="28" t="s">
        <v>68</v>
      </c>
      <c r="D99" s="27"/>
      <c r="E99" s="9">
        <v>0</v>
      </c>
      <c r="F99" s="43">
        <f>'TST1'!F99+'TST2'!F99+MKT!F99+SYShin!F99+JGChoi!F99</f>
        <v>0</v>
      </c>
      <c r="G99" s="43">
        <f>'TST1'!G99+'TST2'!G99+MKT!G99+SYShin!G99+JGChoi!G99</f>
        <v>0</v>
      </c>
      <c r="H99" s="43">
        <f>'TST1'!H99+'TST2'!H99+MKT!H99+SYShin!H99+JGChoi!H99</f>
        <v>0</v>
      </c>
      <c r="I99" s="34">
        <f t="shared" ref="I99:I105" si="93">SUM(F99:H99)</f>
        <v>0</v>
      </c>
      <c r="J99" s="43">
        <f>'TST1'!J99+'TST2'!J99+MKT!J99+SYShin!J99+JGChoi!J99</f>
        <v>0</v>
      </c>
      <c r="K99" s="43">
        <f>'TST1'!K99+'TST2'!K99+MKT!K99+SYShin!K99+JGChoi!K99</f>
        <v>0</v>
      </c>
      <c r="L99" s="43">
        <f>'TST1'!L99+'TST2'!L99+MKT!L99+SYShin!L99+JGChoi!L99</f>
        <v>0</v>
      </c>
      <c r="M99" s="34">
        <f t="shared" ref="M99:M105" si="94">SUM(J99:L99)</f>
        <v>0</v>
      </c>
      <c r="N99" s="43">
        <f>'TST1'!N99+'TST2'!N99+MKT!N99+SYShin!N99+JGChoi!N99</f>
        <v>0</v>
      </c>
      <c r="O99" s="43">
        <f>'TST1'!O99+'TST2'!O99+MKT!O99+SYShin!O99+JGChoi!O99</f>
        <v>0</v>
      </c>
      <c r="P99" s="43">
        <f>'TST1'!P99+'TST2'!P99+MKT!P99+SYShin!P99+JGChoi!P99</f>
        <v>0</v>
      </c>
      <c r="Q99" s="34">
        <f t="shared" ref="Q99:Q105" si="95">SUM(N99:P99)</f>
        <v>0</v>
      </c>
      <c r="R99" s="43">
        <f>'TST1'!R99+'TST2'!R99+MKT!R99+SYShin!R99+JGChoi!R99</f>
        <v>0</v>
      </c>
      <c r="S99" s="43">
        <f>'TST1'!S99+'TST2'!S99+MKT!S99+SYShin!S99+JGChoi!S99</f>
        <v>0</v>
      </c>
      <c r="T99" s="43">
        <f>'TST1'!T99+'TST2'!T99+MKT!T99+SYShin!T99+JGChoi!T99</f>
        <v>0</v>
      </c>
      <c r="U99" s="34">
        <f t="shared" ref="U99:U105" si="96">SUM(R99:T99)</f>
        <v>0</v>
      </c>
      <c r="V99" s="34">
        <f t="shared" ref="V99:V106" si="97">I99+M99+Q99+U99</f>
        <v>0</v>
      </c>
    </row>
    <row r="100" spans="1:22" ht="13.15" outlineLevel="2">
      <c r="A100" s="24"/>
      <c r="B100" s="27"/>
      <c r="C100" s="28" t="s">
        <v>45</v>
      </c>
      <c r="D100" s="27"/>
      <c r="E100" s="9">
        <v>0</v>
      </c>
      <c r="F100" s="43">
        <f>'TST1'!F100+'TST2'!F100+MKT!F100+SYShin!F100+JGChoi!F100</f>
        <v>0</v>
      </c>
      <c r="G100" s="43">
        <f>'TST1'!G100+'TST2'!G100+MKT!G100+SYShin!G100+JGChoi!G100</f>
        <v>0</v>
      </c>
      <c r="H100" s="43">
        <f>'TST1'!H100+'TST2'!H100+MKT!H100+SYShin!H100+JGChoi!H100</f>
        <v>0</v>
      </c>
      <c r="I100" s="34">
        <f t="shared" si="93"/>
        <v>0</v>
      </c>
      <c r="J100" s="43">
        <f>'TST1'!J100+'TST2'!J100+MKT!J100+SYShin!J100+JGChoi!J100</f>
        <v>0</v>
      </c>
      <c r="K100" s="43">
        <f>'TST1'!K100+'TST2'!K100+MKT!K100+SYShin!K100+JGChoi!K100</f>
        <v>0</v>
      </c>
      <c r="L100" s="43">
        <f>'TST1'!L100+'TST2'!L100+MKT!L100+SYShin!L100+JGChoi!L100</f>
        <v>0</v>
      </c>
      <c r="M100" s="34">
        <f t="shared" si="94"/>
        <v>0</v>
      </c>
      <c r="N100" s="43">
        <f>'TST1'!N100+'TST2'!N100+MKT!N100+SYShin!N100+JGChoi!N100</f>
        <v>0</v>
      </c>
      <c r="O100" s="43">
        <f>'TST1'!O100+'TST2'!O100+MKT!O100+SYShin!O100+JGChoi!O100</f>
        <v>0</v>
      </c>
      <c r="P100" s="43">
        <f>'TST1'!P100+'TST2'!P100+MKT!P100+SYShin!P100+JGChoi!P100</f>
        <v>0</v>
      </c>
      <c r="Q100" s="34">
        <f t="shared" si="95"/>
        <v>0</v>
      </c>
      <c r="R100" s="43">
        <f>'TST1'!R100+'TST2'!R100+MKT!R100+SYShin!R100+JGChoi!R100</f>
        <v>0</v>
      </c>
      <c r="S100" s="43">
        <f>'TST1'!S100+'TST2'!S100+MKT!S100+SYShin!S100+JGChoi!S100</f>
        <v>0</v>
      </c>
      <c r="T100" s="43">
        <f>'TST1'!T100+'TST2'!T100+MKT!T100+SYShin!T100+JGChoi!T100</f>
        <v>0</v>
      </c>
      <c r="U100" s="34">
        <f t="shared" si="96"/>
        <v>0</v>
      </c>
      <c r="V100" s="34">
        <f t="shared" si="97"/>
        <v>0</v>
      </c>
    </row>
    <row r="101" spans="1:22" ht="13.15" outlineLevel="2">
      <c r="A101" s="24"/>
      <c r="B101" s="27"/>
      <c r="C101" s="28" t="s">
        <v>94</v>
      </c>
      <c r="D101" s="27"/>
      <c r="E101" s="9">
        <v>0</v>
      </c>
      <c r="F101" s="43">
        <f>'TST1'!F101+'TST2'!F101+MKT!F101+SYShin!F101+JGChoi!F101</f>
        <v>393000</v>
      </c>
      <c r="G101" s="43">
        <f>'TST1'!G101+'TST2'!G101+MKT!G101+SYShin!G101+JGChoi!G101</f>
        <v>100000</v>
      </c>
      <c r="H101" s="43">
        <f>'TST1'!H101+'TST2'!H101+MKT!H101+SYShin!H101+JGChoi!H101</f>
        <v>100000</v>
      </c>
      <c r="I101" s="34">
        <f t="shared" si="93"/>
        <v>593000</v>
      </c>
      <c r="J101" s="43">
        <f>'TST1'!J101+'TST2'!J101+MKT!J101+SYShin!J101+JGChoi!J101</f>
        <v>100000</v>
      </c>
      <c r="K101" s="43">
        <f>'TST1'!K101+'TST2'!K101+MKT!K101+SYShin!K101+JGChoi!K101</f>
        <v>100000</v>
      </c>
      <c r="L101" s="43">
        <f>'TST1'!L101+'TST2'!L101+MKT!L101+SYShin!L101+JGChoi!L101</f>
        <v>100000</v>
      </c>
      <c r="M101" s="34">
        <f t="shared" si="94"/>
        <v>300000</v>
      </c>
      <c r="N101" s="43">
        <f>'TST1'!N101+'TST2'!N101+MKT!N101+SYShin!N101+JGChoi!N101</f>
        <v>100000</v>
      </c>
      <c r="O101" s="43">
        <f>'TST1'!O101+'TST2'!O101+MKT!O101+SYShin!O101+JGChoi!O101</f>
        <v>100000</v>
      </c>
      <c r="P101" s="43">
        <f>'TST1'!P101+'TST2'!P101+MKT!P101+SYShin!P101+JGChoi!P101</f>
        <v>100000</v>
      </c>
      <c r="Q101" s="34">
        <f t="shared" si="95"/>
        <v>300000</v>
      </c>
      <c r="R101" s="43">
        <f>'TST1'!R101+'TST2'!R101+MKT!R101+SYShin!R101+JGChoi!R101</f>
        <v>100000</v>
      </c>
      <c r="S101" s="43">
        <f>'TST1'!S101+'TST2'!S101+MKT!S101+SYShin!S101+JGChoi!S101</f>
        <v>100000</v>
      </c>
      <c r="T101" s="43">
        <f>'TST1'!T101+'TST2'!T101+MKT!T101+SYShin!T101+JGChoi!T101</f>
        <v>100000</v>
      </c>
      <c r="U101" s="34">
        <f t="shared" si="96"/>
        <v>300000</v>
      </c>
      <c r="V101" s="34">
        <f t="shared" si="97"/>
        <v>1493000</v>
      </c>
    </row>
    <row r="102" spans="1:22" ht="13.15" outlineLevel="2">
      <c r="A102" s="24"/>
      <c r="B102" s="27"/>
      <c r="C102" s="28" t="s">
        <v>46</v>
      </c>
      <c r="D102" s="27"/>
      <c r="E102" s="9">
        <v>0</v>
      </c>
      <c r="F102" s="43">
        <f>'TST1'!F102+'TST2'!F102+MKT!F102+SYShin!F102+JGChoi!F102</f>
        <v>0</v>
      </c>
      <c r="G102" s="43">
        <f>'TST1'!G102+'TST2'!G102+MKT!G102+SYShin!G102+JGChoi!G102</f>
        <v>0</v>
      </c>
      <c r="H102" s="43">
        <f>'TST1'!H102+'TST2'!H102+MKT!H102+SYShin!H102+JGChoi!H102</f>
        <v>0</v>
      </c>
      <c r="I102" s="34">
        <f t="shared" si="93"/>
        <v>0</v>
      </c>
      <c r="J102" s="43">
        <f>'TST1'!J102+'TST2'!J102+MKT!J102+SYShin!J102+JGChoi!J102</f>
        <v>0</v>
      </c>
      <c r="K102" s="43">
        <f>'TST1'!K102+'TST2'!K102+MKT!K102+SYShin!K102+JGChoi!K102</f>
        <v>0</v>
      </c>
      <c r="L102" s="43">
        <f>'TST1'!L102+'TST2'!L102+MKT!L102+SYShin!L102+JGChoi!L102</f>
        <v>0</v>
      </c>
      <c r="M102" s="34">
        <f t="shared" si="94"/>
        <v>0</v>
      </c>
      <c r="N102" s="43">
        <f>'TST1'!N102+'TST2'!N102+MKT!N102+SYShin!N102+JGChoi!N102</f>
        <v>0</v>
      </c>
      <c r="O102" s="43">
        <f>'TST1'!O102+'TST2'!O102+MKT!O102+SYShin!O102+JGChoi!O102</f>
        <v>0</v>
      </c>
      <c r="P102" s="43">
        <f>'TST1'!P102+'TST2'!P102+MKT!P102+SYShin!P102+JGChoi!P102</f>
        <v>0</v>
      </c>
      <c r="Q102" s="34">
        <f t="shared" si="95"/>
        <v>0</v>
      </c>
      <c r="R102" s="43">
        <f>'TST1'!R102+'TST2'!R102+MKT!R102+SYShin!R102+JGChoi!R102</f>
        <v>0</v>
      </c>
      <c r="S102" s="43">
        <f>'TST1'!S102+'TST2'!S102+MKT!S102+SYShin!S102+JGChoi!S102</f>
        <v>0</v>
      </c>
      <c r="T102" s="43">
        <f>'TST1'!T102+'TST2'!T102+MKT!T102+SYShin!T102+JGChoi!T102</f>
        <v>0</v>
      </c>
      <c r="U102" s="34">
        <f t="shared" si="96"/>
        <v>0</v>
      </c>
      <c r="V102" s="34">
        <f t="shared" si="97"/>
        <v>0</v>
      </c>
    </row>
    <row r="103" spans="1:22" ht="13.15" outlineLevel="2">
      <c r="A103" s="24"/>
      <c r="B103" s="27"/>
      <c r="C103" s="28" t="s">
        <v>111</v>
      </c>
      <c r="D103" s="27"/>
      <c r="E103" s="9">
        <v>0</v>
      </c>
      <c r="F103" s="43">
        <f>'TST1'!F103+'TST2'!F103+MKT!F103+SYShin!F103+JGChoi!F103</f>
        <v>0</v>
      </c>
      <c r="G103" s="43">
        <f>'TST1'!G103+'TST2'!G103+MKT!G103+SYShin!G103+JGChoi!G103</f>
        <v>0</v>
      </c>
      <c r="H103" s="43">
        <f>'TST1'!H103+'TST2'!H103+MKT!H103+SYShin!H103+JGChoi!H103</f>
        <v>0</v>
      </c>
      <c r="I103" s="34">
        <f t="shared" si="93"/>
        <v>0</v>
      </c>
      <c r="J103" s="43">
        <f>'TST1'!J103+'TST2'!J103+MKT!J103+SYShin!J103+JGChoi!J103</f>
        <v>0</v>
      </c>
      <c r="K103" s="43">
        <f>'TST1'!K103+'TST2'!K103+MKT!K103+SYShin!K103+JGChoi!K103</f>
        <v>0</v>
      </c>
      <c r="L103" s="43">
        <f>'TST1'!L103+'TST2'!L103+MKT!L103+SYShin!L103+JGChoi!L103</f>
        <v>0</v>
      </c>
      <c r="M103" s="34">
        <f t="shared" si="94"/>
        <v>0</v>
      </c>
      <c r="N103" s="43">
        <f>'TST1'!N103+'TST2'!N103+MKT!N103+SYShin!N103+JGChoi!N103</f>
        <v>0</v>
      </c>
      <c r="O103" s="43">
        <f>'TST1'!O103+'TST2'!O103+MKT!O103+SYShin!O103+JGChoi!O103</f>
        <v>0</v>
      </c>
      <c r="P103" s="43">
        <f>'TST1'!P103+'TST2'!P103+MKT!P103+SYShin!P103+JGChoi!P103</f>
        <v>0</v>
      </c>
      <c r="Q103" s="34">
        <f t="shared" si="95"/>
        <v>0</v>
      </c>
      <c r="R103" s="43">
        <f>'TST1'!R103+'TST2'!R103+MKT!R103+SYShin!R103+JGChoi!R103</f>
        <v>0</v>
      </c>
      <c r="S103" s="43">
        <f>'TST1'!S103+'TST2'!S103+MKT!S103+SYShin!S103+JGChoi!S103</f>
        <v>0</v>
      </c>
      <c r="T103" s="43">
        <f>'TST1'!T103+'TST2'!T103+MKT!T103+SYShin!T103+JGChoi!T103</f>
        <v>0</v>
      </c>
      <c r="U103" s="34">
        <f t="shared" si="96"/>
        <v>0</v>
      </c>
      <c r="V103" s="34">
        <f t="shared" si="97"/>
        <v>0</v>
      </c>
    </row>
    <row r="104" spans="1:22" ht="13.15" outlineLevel="2">
      <c r="A104" s="24"/>
      <c r="B104" s="27"/>
      <c r="C104" s="28" t="s">
        <v>115</v>
      </c>
      <c r="D104" s="27"/>
      <c r="E104" s="9">
        <v>0</v>
      </c>
      <c r="F104" s="43">
        <f>'TST1'!F104+'TST2'!F104+MKT!F104+SYShin!F104+JGChoi!F104</f>
        <v>0</v>
      </c>
      <c r="G104" s="43">
        <f>'TST1'!G104+'TST2'!G104+MKT!G104+SYShin!G104+JGChoi!G104</f>
        <v>0</v>
      </c>
      <c r="H104" s="43">
        <f>'TST1'!H104+'TST2'!H104+MKT!H104+SYShin!H104+JGChoi!H104</f>
        <v>0</v>
      </c>
      <c r="I104" s="34">
        <f t="shared" si="93"/>
        <v>0</v>
      </c>
      <c r="J104" s="43">
        <f>'TST1'!J104+'TST2'!J104+MKT!J104+SYShin!J104+JGChoi!J104</f>
        <v>0</v>
      </c>
      <c r="K104" s="43">
        <f>'TST1'!K104+'TST2'!K104+MKT!K104+SYShin!K104+JGChoi!K104</f>
        <v>0</v>
      </c>
      <c r="L104" s="43">
        <f>'TST1'!L104+'TST2'!L104+MKT!L104+SYShin!L104+JGChoi!L104</f>
        <v>0</v>
      </c>
      <c r="M104" s="34">
        <f t="shared" si="94"/>
        <v>0</v>
      </c>
      <c r="N104" s="43">
        <f>'TST1'!N104+'TST2'!N104+MKT!N104+SYShin!N104+JGChoi!N104</f>
        <v>0</v>
      </c>
      <c r="O104" s="43">
        <f>'TST1'!O104+'TST2'!O104+MKT!O104+SYShin!O104+JGChoi!O104</f>
        <v>0</v>
      </c>
      <c r="P104" s="43">
        <f>'TST1'!P104+'TST2'!P104+MKT!P104+SYShin!P104+JGChoi!P104</f>
        <v>0</v>
      </c>
      <c r="Q104" s="34">
        <f t="shared" si="95"/>
        <v>0</v>
      </c>
      <c r="R104" s="43">
        <f>'TST1'!R104+'TST2'!R104+MKT!R104+SYShin!R104+JGChoi!R104</f>
        <v>0</v>
      </c>
      <c r="S104" s="43">
        <f>'TST1'!S104+'TST2'!S104+MKT!S104+SYShin!S104+JGChoi!S104</f>
        <v>0</v>
      </c>
      <c r="T104" s="43">
        <f>'TST1'!T104+'TST2'!T104+MKT!T104+SYShin!T104+JGChoi!T104</f>
        <v>0</v>
      </c>
      <c r="U104" s="34">
        <f t="shared" si="96"/>
        <v>0</v>
      </c>
      <c r="V104" s="34">
        <f t="shared" si="97"/>
        <v>0</v>
      </c>
    </row>
    <row r="105" spans="1:22" ht="13.15" outlineLevel="2">
      <c r="A105" s="24"/>
      <c r="B105" s="27"/>
      <c r="C105" s="28" t="s">
        <v>26</v>
      </c>
      <c r="D105" s="27"/>
      <c r="E105" s="9"/>
      <c r="F105" s="43">
        <f>'TST1'!F105+'TST2'!F105+MKT!F105+SYShin!F105+JGChoi!F105</f>
        <v>259000</v>
      </c>
      <c r="G105" s="43">
        <f>'TST1'!G105+'TST2'!G105+MKT!G105+SYShin!G105+JGChoi!G105</f>
        <v>100000</v>
      </c>
      <c r="H105" s="43">
        <f>'TST1'!H105+'TST2'!H105+MKT!H105+SYShin!H105+JGChoi!H105</f>
        <v>100000</v>
      </c>
      <c r="I105" s="34">
        <f t="shared" si="93"/>
        <v>459000</v>
      </c>
      <c r="J105" s="43">
        <f>'TST1'!J105+'TST2'!J105+MKT!J105+SYShin!J105+JGChoi!J105</f>
        <v>100000</v>
      </c>
      <c r="K105" s="43">
        <f>'TST1'!K105+'TST2'!K105+MKT!K105+SYShin!K105+JGChoi!K105</f>
        <v>100000</v>
      </c>
      <c r="L105" s="43">
        <f>'TST1'!L105+'TST2'!L105+MKT!L105+SYShin!L105+JGChoi!L105</f>
        <v>100000</v>
      </c>
      <c r="M105" s="34">
        <f t="shared" si="94"/>
        <v>300000</v>
      </c>
      <c r="N105" s="43">
        <f>'TST1'!N105+'TST2'!N105+MKT!N105+SYShin!N105+JGChoi!N105</f>
        <v>100000</v>
      </c>
      <c r="O105" s="43">
        <f>'TST1'!O105+'TST2'!O105+MKT!O105+SYShin!O105+JGChoi!O105</f>
        <v>100000</v>
      </c>
      <c r="P105" s="43">
        <f>'TST1'!P105+'TST2'!P105+MKT!P105+SYShin!P105+JGChoi!P105</f>
        <v>100000</v>
      </c>
      <c r="Q105" s="34">
        <f t="shared" si="95"/>
        <v>300000</v>
      </c>
      <c r="R105" s="43">
        <f>'TST1'!R105+'TST2'!R105+MKT!R105+SYShin!R105+JGChoi!R105</f>
        <v>100000</v>
      </c>
      <c r="S105" s="43">
        <f>'TST1'!S105+'TST2'!S105+MKT!S105+SYShin!S105+JGChoi!S105</f>
        <v>100000</v>
      </c>
      <c r="T105" s="43">
        <f>'TST1'!T105+'TST2'!T105+MKT!T105+SYShin!T105+JGChoi!T105</f>
        <v>100000</v>
      </c>
      <c r="U105" s="34">
        <f t="shared" si="96"/>
        <v>300000</v>
      </c>
      <c r="V105" s="34">
        <f t="shared" si="97"/>
        <v>1359000</v>
      </c>
    </row>
    <row r="106" spans="1:22" ht="13.15" outlineLevel="1">
      <c r="A106" s="24"/>
      <c r="B106" s="29" t="s">
        <v>19</v>
      </c>
      <c r="C106" s="30"/>
      <c r="D106" s="30"/>
      <c r="E106" s="10"/>
      <c r="F106" s="45">
        <f>SUM(F99:F105)</f>
        <v>652000</v>
      </c>
      <c r="G106" s="45">
        <f>SUM(G99:G105)</f>
        <v>200000</v>
      </c>
      <c r="H106" s="45">
        <f>SUM(H99:H105)</f>
        <v>200000</v>
      </c>
      <c r="I106" s="35">
        <f t="shared" ref="I106" si="98">SUM(I99:I105)</f>
        <v>1052000</v>
      </c>
      <c r="J106" s="45">
        <f>SUM(J99:J105)</f>
        <v>200000</v>
      </c>
      <c r="K106" s="45">
        <f>SUM(K99:K105)</f>
        <v>200000</v>
      </c>
      <c r="L106" s="45">
        <f>SUM(L99:L105)</f>
        <v>200000</v>
      </c>
      <c r="M106" s="35">
        <f t="shared" ref="M106" si="99">SUM(M99:M105)</f>
        <v>600000</v>
      </c>
      <c r="N106" s="45">
        <f>SUM(N99:N105)</f>
        <v>200000</v>
      </c>
      <c r="O106" s="45">
        <f>SUM(O99:O105)</f>
        <v>200000</v>
      </c>
      <c r="P106" s="45">
        <f>SUM(P99:P105)</f>
        <v>200000</v>
      </c>
      <c r="Q106" s="35">
        <f t="shared" ref="Q106" si="100">SUM(Q99:Q105)</f>
        <v>600000</v>
      </c>
      <c r="R106" s="45">
        <f>SUM(R99:R105)</f>
        <v>200000</v>
      </c>
      <c r="S106" s="45">
        <f>SUM(S99:S105)</f>
        <v>200000</v>
      </c>
      <c r="T106" s="45">
        <f>SUM(T99:T105)</f>
        <v>200000</v>
      </c>
      <c r="U106" s="35">
        <f t="shared" ref="U106" si="101">SUM(U99:U105)</f>
        <v>600000</v>
      </c>
      <c r="V106" s="35">
        <f t="shared" si="97"/>
        <v>2852000</v>
      </c>
    </row>
    <row r="107" spans="1:22" ht="13.15" outlineLevel="2">
      <c r="A107" s="24"/>
      <c r="B107" s="26" t="s">
        <v>20</v>
      </c>
      <c r="C107" s="27"/>
      <c r="D107" s="27"/>
      <c r="E107" s="9"/>
      <c r="F107" s="129"/>
      <c r="G107" s="129"/>
      <c r="H107" s="129"/>
      <c r="I107" s="36"/>
      <c r="J107" s="129"/>
      <c r="K107" s="129"/>
      <c r="L107" s="129"/>
      <c r="M107" s="36"/>
      <c r="N107" s="129"/>
      <c r="O107" s="129"/>
      <c r="P107" s="129"/>
      <c r="Q107" s="36"/>
      <c r="R107" s="129"/>
      <c r="S107" s="129"/>
      <c r="T107" s="129"/>
      <c r="U107" s="36"/>
      <c r="V107" s="36"/>
    </row>
    <row r="108" spans="1:22" ht="13.15" outlineLevel="2">
      <c r="A108" s="24"/>
      <c r="B108" s="27"/>
      <c r="C108" s="28" t="s">
        <v>29</v>
      </c>
      <c r="D108" s="27"/>
      <c r="E108" s="9">
        <v>0</v>
      </c>
      <c r="F108" s="43">
        <f>'TST1'!F108+'TST2'!F108+MKT!F108+SYShin!F108+JGChoi!F108</f>
        <v>23000</v>
      </c>
      <c r="G108" s="43">
        <f>'TST1'!G108+'TST2'!G108+MKT!G108+SYShin!G108+JGChoi!G108</f>
        <v>0</v>
      </c>
      <c r="H108" s="43">
        <f>'TST1'!H108+'TST2'!H108+MKT!H108+SYShin!H108+JGChoi!H108</f>
        <v>0</v>
      </c>
      <c r="I108" s="34">
        <f t="shared" ref="I108:I112" si="102">SUM(F108:H108)</f>
        <v>23000</v>
      </c>
      <c r="J108" s="43">
        <f>'TST1'!J108+'TST2'!J108+MKT!J108+SYShin!J108+JGChoi!J108</f>
        <v>0</v>
      </c>
      <c r="K108" s="43">
        <f>'TST1'!K108+'TST2'!K108+MKT!K108+SYShin!K108+JGChoi!K108</f>
        <v>0</v>
      </c>
      <c r="L108" s="43">
        <f>'TST1'!L108+'TST2'!L108+MKT!L108+SYShin!L108+JGChoi!L108</f>
        <v>0</v>
      </c>
      <c r="M108" s="34">
        <f t="shared" ref="M108:M112" si="103">SUM(J108:L108)</f>
        <v>0</v>
      </c>
      <c r="N108" s="43">
        <f>'TST1'!N108+'TST2'!N108+MKT!N108+SYShin!N108+JGChoi!N108</f>
        <v>0</v>
      </c>
      <c r="O108" s="43">
        <f>'TST1'!O108+'TST2'!O108+MKT!O108+SYShin!O108+JGChoi!O108</f>
        <v>0</v>
      </c>
      <c r="P108" s="43">
        <f>'TST1'!P108+'TST2'!P108+MKT!P108+SYShin!P108+JGChoi!P108</f>
        <v>0</v>
      </c>
      <c r="Q108" s="34">
        <f t="shared" ref="Q108:Q112" si="104">SUM(N108:P108)</f>
        <v>0</v>
      </c>
      <c r="R108" s="43">
        <f>'TST1'!R108+'TST2'!R108+MKT!R108+SYShin!R108+JGChoi!R108</f>
        <v>0</v>
      </c>
      <c r="S108" s="43">
        <f>'TST1'!S108+'TST2'!S108+MKT!S108+SYShin!S108+JGChoi!S108</f>
        <v>0</v>
      </c>
      <c r="T108" s="43">
        <f>'TST1'!T108+'TST2'!T108+MKT!T108+SYShin!T108+JGChoi!T108</f>
        <v>0</v>
      </c>
      <c r="U108" s="34">
        <f t="shared" ref="U108:U112" si="105">SUM(R108:T108)</f>
        <v>0</v>
      </c>
      <c r="V108" s="34">
        <f t="shared" ref="V108:V115" si="106">I108+M108+Q108+U108</f>
        <v>23000</v>
      </c>
    </row>
    <row r="109" spans="1:22" ht="13.15" outlineLevel="2">
      <c r="A109" s="24"/>
      <c r="B109" s="27"/>
      <c r="C109" s="28" t="s">
        <v>33</v>
      </c>
      <c r="D109" s="27"/>
      <c r="E109" s="9">
        <v>0</v>
      </c>
      <c r="F109" s="43">
        <f>'TST1'!F109+'TST2'!F109+MKT!F109+SYShin!F109+JGChoi!F109</f>
        <v>0</v>
      </c>
      <c r="G109" s="43">
        <f>'TST1'!G109+'TST2'!G109+MKT!G109+SYShin!G109+JGChoi!G109</f>
        <v>0</v>
      </c>
      <c r="H109" s="43">
        <f>'TST1'!H109+'TST2'!H109+MKT!H109+SYShin!H109+JGChoi!H109</f>
        <v>0</v>
      </c>
      <c r="I109" s="34">
        <f t="shared" si="102"/>
        <v>0</v>
      </c>
      <c r="J109" s="43">
        <f>'TST1'!J109+'TST2'!J109+MKT!J109+SYShin!J109+JGChoi!J109</f>
        <v>0</v>
      </c>
      <c r="K109" s="43">
        <f>'TST1'!K109+'TST2'!K109+MKT!K109+SYShin!K109+JGChoi!K109</f>
        <v>0</v>
      </c>
      <c r="L109" s="43">
        <f>'TST1'!L109+'TST2'!L109+MKT!L109+SYShin!L109+JGChoi!L109</f>
        <v>0</v>
      </c>
      <c r="M109" s="34">
        <f t="shared" si="103"/>
        <v>0</v>
      </c>
      <c r="N109" s="43">
        <f>'TST1'!N109+'TST2'!N109+MKT!N109+SYShin!N109+JGChoi!N109</f>
        <v>0</v>
      </c>
      <c r="O109" s="43">
        <f>'TST1'!O109+'TST2'!O109+MKT!O109+SYShin!O109+JGChoi!O109</f>
        <v>0</v>
      </c>
      <c r="P109" s="43">
        <f>'TST1'!P109+'TST2'!P109+MKT!P109+SYShin!P109+JGChoi!P109</f>
        <v>0</v>
      </c>
      <c r="Q109" s="34">
        <f t="shared" si="104"/>
        <v>0</v>
      </c>
      <c r="R109" s="43">
        <f>'TST1'!R109+'TST2'!R109+MKT!R109+SYShin!R109+JGChoi!R109</f>
        <v>0</v>
      </c>
      <c r="S109" s="43">
        <f>'TST1'!S109+'TST2'!S109+MKT!S109+SYShin!S109+JGChoi!S109</f>
        <v>0</v>
      </c>
      <c r="T109" s="43">
        <f>'TST1'!T109+'TST2'!T109+MKT!T109+SYShin!T109+JGChoi!T109</f>
        <v>0</v>
      </c>
      <c r="U109" s="34">
        <f t="shared" si="105"/>
        <v>0</v>
      </c>
      <c r="V109" s="34">
        <f t="shared" si="106"/>
        <v>0</v>
      </c>
    </row>
    <row r="110" spans="1:22" ht="13.15" outlineLevel="2">
      <c r="A110" s="24"/>
      <c r="B110" s="27"/>
      <c r="C110" s="28" t="s">
        <v>95</v>
      </c>
      <c r="D110" s="27"/>
      <c r="E110" s="9"/>
      <c r="F110" s="43">
        <f>'TST1'!F110+'TST2'!F110+MKT!F110+SYShin!F110+JGChoi!F110</f>
        <v>0</v>
      </c>
      <c r="G110" s="43">
        <f>'TST1'!G110+'TST2'!G110+MKT!G110+SYShin!G110+JGChoi!G110</f>
        <v>0</v>
      </c>
      <c r="H110" s="43">
        <f>'TST1'!H110+'TST2'!H110+MKT!H110+SYShin!H110+JGChoi!H110</f>
        <v>0</v>
      </c>
      <c r="I110" s="34">
        <f t="shared" si="102"/>
        <v>0</v>
      </c>
      <c r="J110" s="43">
        <f>'TST1'!J110+'TST2'!J110+MKT!J110+SYShin!J110+JGChoi!J110</f>
        <v>0</v>
      </c>
      <c r="K110" s="43">
        <f>'TST1'!K110+'TST2'!K110+MKT!K110+SYShin!K110+JGChoi!K110</f>
        <v>0</v>
      </c>
      <c r="L110" s="43">
        <f>'TST1'!L110+'TST2'!L110+MKT!L110+SYShin!L110+JGChoi!L110</f>
        <v>0</v>
      </c>
      <c r="M110" s="34">
        <f t="shared" si="103"/>
        <v>0</v>
      </c>
      <c r="N110" s="43">
        <f>'TST1'!N110+'TST2'!N110+MKT!N110+SYShin!N110+JGChoi!N110</f>
        <v>0</v>
      </c>
      <c r="O110" s="43">
        <f>'TST1'!O110+'TST2'!O110+MKT!O110+SYShin!O110+JGChoi!O110</f>
        <v>0</v>
      </c>
      <c r="P110" s="43">
        <f>'TST1'!P110+'TST2'!P110+MKT!P110+SYShin!P110+JGChoi!P110</f>
        <v>0</v>
      </c>
      <c r="Q110" s="34">
        <f t="shared" si="104"/>
        <v>0</v>
      </c>
      <c r="R110" s="43">
        <f>'TST1'!R110+'TST2'!R110+MKT!R110+SYShin!R110+JGChoi!R110</f>
        <v>0</v>
      </c>
      <c r="S110" s="43">
        <f>'TST1'!S110+'TST2'!S110+MKT!S110+SYShin!S110+JGChoi!S110</f>
        <v>0</v>
      </c>
      <c r="T110" s="43">
        <f>'TST1'!T110+'TST2'!T110+MKT!T110+SYShin!T110+JGChoi!T110</f>
        <v>0</v>
      </c>
      <c r="U110" s="34">
        <f t="shared" si="105"/>
        <v>0</v>
      </c>
      <c r="V110" s="34">
        <f t="shared" si="106"/>
        <v>0</v>
      </c>
    </row>
    <row r="111" spans="1:22" ht="13.15" outlineLevel="2">
      <c r="A111" s="24"/>
      <c r="B111" s="27"/>
      <c r="C111" s="28" t="s">
        <v>63</v>
      </c>
      <c r="D111" s="27"/>
      <c r="E111" s="9"/>
      <c r="F111" s="43">
        <f>'TST1'!F111+'TST2'!F111+MKT!F111+SYShin!F111+JGChoi!F111</f>
        <v>0</v>
      </c>
      <c r="G111" s="43">
        <f>'TST1'!G111+'TST2'!G111+MKT!G111+SYShin!G111+JGChoi!G111</f>
        <v>0</v>
      </c>
      <c r="H111" s="43">
        <f>'TST1'!H111+'TST2'!H111+MKT!H111+SYShin!H111+JGChoi!H111</f>
        <v>0</v>
      </c>
      <c r="I111" s="34">
        <f t="shared" si="102"/>
        <v>0</v>
      </c>
      <c r="J111" s="43">
        <f>'TST1'!J111+'TST2'!J111+MKT!J111+SYShin!J111+JGChoi!J111</f>
        <v>0</v>
      </c>
      <c r="K111" s="43">
        <f>'TST1'!K111+'TST2'!K111+MKT!K111+SYShin!K111+JGChoi!K111</f>
        <v>0</v>
      </c>
      <c r="L111" s="43">
        <f>'TST1'!L111+'TST2'!L111+MKT!L111+SYShin!L111+JGChoi!L111</f>
        <v>0</v>
      </c>
      <c r="M111" s="34">
        <f t="shared" si="103"/>
        <v>0</v>
      </c>
      <c r="N111" s="43">
        <f>'TST1'!N111+'TST2'!N111+MKT!N111+SYShin!N111+JGChoi!N111</f>
        <v>0</v>
      </c>
      <c r="O111" s="43">
        <f>'TST1'!O111+'TST2'!O111+MKT!O111+SYShin!O111+JGChoi!O111</f>
        <v>0</v>
      </c>
      <c r="P111" s="43">
        <f>'TST1'!P111+'TST2'!P111+MKT!P111+SYShin!P111+JGChoi!P111</f>
        <v>0</v>
      </c>
      <c r="Q111" s="34">
        <f t="shared" si="104"/>
        <v>0</v>
      </c>
      <c r="R111" s="43">
        <f>'TST1'!R111+'TST2'!R111+MKT!R111+SYShin!R111+JGChoi!R111</f>
        <v>0</v>
      </c>
      <c r="S111" s="43">
        <f>'TST1'!S111+'TST2'!S111+MKT!S111+SYShin!S111+JGChoi!S111</f>
        <v>0</v>
      </c>
      <c r="T111" s="43">
        <f>'TST1'!T111+'TST2'!T111+MKT!T111+SYShin!T111+JGChoi!T111</f>
        <v>0</v>
      </c>
      <c r="U111" s="34">
        <f t="shared" si="105"/>
        <v>0</v>
      </c>
      <c r="V111" s="34">
        <f t="shared" si="106"/>
        <v>0</v>
      </c>
    </row>
    <row r="112" spans="1:22" ht="13.15" outlineLevel="2">
      <c r="A112" s="24"/>
      <c r="B112" s="27"/>
      <c r="C112" s="28" t="s">
        <v>153</v>
      </c>
      <c r="D112" s="27"/>
      <c r="E112" s="9">
        <v>0</v>
      </c>
      <c r="F112" s="43">
        <f>'TST1'!F112+'TST2'!F112+MKT!F112+SYShin!F112+JGChoi!F112</f>
        <v>0</v>
      </c>
      <c r="G112" s="43">
        <f>'TST1'!G112+'TST2'!G112+MKT!G112+SYShin!G112+JGChoi!G112</f>
        <v>0</v>
      </c>
      <c r="H112" s="43">
        <f>'TST1'!H112+'TST2'!H112+MKT!H112+SYShin!H112+JGChoi!H112</f>
        <v>0</v>
      </c>
      <c r="I112" s="34">
        <f t="shared" si="102"/>
        <v>0</v>
      </c>
      <c r="J112" s="43">
        <f>'TST1'!J112+'TST2'!J112+MKT!J112+SYShin!J112+JGChoi!J112</f>
        <v>0</v>
      </c>
      <c r="K112" s="43">
        <f>'TST1'!K112+'TST2'!K112+MKT!K112+SYShin!K112+JGChoi!K112</f>
        <v>0</v>
      </c>
      <c r="L112" s="43">
        <f>'TST1'!L112+'TST2'!L112+MKT!L112+SYShin!L112+JGChoi!L112</f>
        <v>0</v>
      </c>
      <c r="M112" s="34">
        <f t="shared" si="103"/>
        <v>0</v>
      </c>
      <c r="N112" s="43">
        <f>'TST1'!N112+'TST2'!N112+MKT!N112+SYShin!N112+JGChoi!N112</f>
        <v>0</v>
      </c>
      <c r="O112" s="43">
        <f>'TST1'!O112+'TST2'!O112+MKT!O112+SYShin!O112+JGChoi!O112</f>
        <v>0</v>
      </c>
      <c r="P112" s="43">
        <f>'TST1'!P112+'TST2'!P112+MKT!P112+SYShin!P112+JGChoi!P112</f>
        <v>0</v>
      </c>
      <c r="Q112" s="34">
        <f t="shared" si="104"/>
        <v>0</v>
      </c>
      <c r="R112" s="43">
        <f>'TST1'!R112+'TST2'!R112+MKT!R112+SYShin!R112+JGChoi!R112</f>
        <v>0</v>
      </c>
      <c r="S112" s="43">
        <f>'TST1'!S112+'TST2'!S112+MKT!S112+SYShin!S112+JGChoi!S112</f>
        <v>0</v>
      </c>
      <c r="T112" s="43">
        <f>'TST1'!T112+'TST2'!T112+MKT!T112+SYShin!T112+JGChoi!T112</f>
        <v>0</v>
      </c>
      <c r="U112" s="34">
        <f t="shared" si="105"/>
        <v>0</v>
      </c>
      <c r="V112" s="34">
        <f t="shared" si="106"/>
        <v>0</v>
      </c>
    </row>
    <row r="113" spans="1:22" ht="13.15" outlineLevel="1">
      <c r="A113" s="24"/>
      <c r="B113" s="30" t="s">
        <v>21</v>
      </c>
      <c r="C113" s="30"/>
      <c r="D113" s="30"/>
      <c r="E113" s="10"/>
      <c r="F113" s="44">
        <f t="shared" ref="F113:U113" si="107">SUM(F108:F112)</f>
        <v>23000</v>
      </c>
      <c r="G113" s="44">
        <f t="shared" si="107"/>
        <v>0</v>
      </c>
      <c r="H113" s="44">
        <f t="shared" si="107"/>
        <v>0</v>
      </c>
      <c r="I113" s="35">
        <f t="shared" si="107"/>
        <v>23000</v>
      </c>
      <c r="J113" s="44">
        <f t="shared" si="107"/>
        <v>0</v>
      </c>
      <c r="K113" s="44">
        <f t="shared" si="107"/>
        <v>0</v>
      </c>
      <c r="L113" s="44">
        <f t="shared" si="107"/>
        <v>0</v>
      </c>
      <c r="M113" s="35">
        <f t="shared" si="107"/>
        <v>0</v>
      </c>
      <c r="N113" s="44">
        <f t="shared" si="107"/>
        <v>0</v>
      </c>
      <c r="O113" s="44">
        <f t="shared" si="107"/>
        <v>0</v>
      </c>
      <c r="P113" s="44">
        <f t="shared" si="107"/>
        <v>0</v>
      </c>
      <c r="Q113" s="35">
        <f t="shared" si="107"/>
        <v>0</v>
      </c>
      <c r="R113" s="44">
        <f t="shared" si="107"/>
        <v>0</v>
      </c>
      <c r="S113" s="44">
        <f t="shared" si="107"/>
        <v>0</v>
      </c>
      <c r="T113" s="44">
        <f t="shared" si="107"/>
        <v>0</v>
      </c>
      <c r="U113" s="35">
        <f t="shared" si="107"/>
        <v>0</v>
      </c>
      <c r="V113" s="35">
        <f t="shared" si="106"/>
        <v>23000</v>
      </c>
    </row>
    <row r="114" spans="1:22" ht="13.15">
      <c r="A114" s="24"/>
      <c r="B114" s="24"/>
      <c r="C114" s="24"/>
      <c r="D114" s="24" t="s">
        <v>22</v>
      </c>
      <c r="E114" s="8"/>
      <c r="F114" s="44">
        <f t="shared" ref="F114:U114" si="108">F88+F89+F97+F106+F113</f>
        <v>935000</v>
      </c>
      <c r="G114" s="44">
        <f t="shared" si="108"/>
        <v>322000</v>
      </c>
      <c r="H114" s="44">
        <f t="shared" si="108"/>
        <v>322000</v>
      </c>
      <c r="I114" s="35">
        <f t="shared" si="108"/>
        <v>1579000</v>
      </c>
      <c r="J114" s="44">
        <f t="shared" si="108"/>
        <v>322000</v>
      </c>
      <c r="K114" s="44">
        <f t="shared" si="108"/>
        <v>322000</v>
      </c>
      <c r="L114" s="44">
        <f t="shared" si="108"/>
        <v>322000</v>
      </c>
      <c r="M114" s="35">
        <f t="shared" si="108"/>
        <v>966000</v>
      </c>
      <c r="N114" s="44">
        <f t="shared" si="108"/>
        <v>322000</v>
      </c>
      <c r="O114" s="44">
        <f t="shared" si="108"/>
        <v>322000</v>
      </c>
      <c r="P114" s="44">
        <f t="shared" si="108"/>
        <v>322000</v>
      </c>
      <c r="Q114" s="35">
        <f t="shared" si="108"/>
        <v>966000</v>
      </c>
      <c r="R114" s="44">
        <f t="shared" si="108"/>
        <v>322000</v>
      </c>
      <c r="S114" s="44">
        <f t="shared" si="108"/>
        <v>322000</v>
      </c>
      <c r="T114" s="44">
        <f t="shared" si="108"/>
        <v>322000</v>
      </c>
      <c r="U114" s="35">
        <f t="shared" si="108"/>
        <v>966000</v>
      </c>
      <c r="V114" s="35">
        <f t="shared" si="106"/>
        <v>4477000</v>
      </c>
    </row>
    <row r="115" spans="1:22" ht="13.9">
      <c r="A115" s="11" t="s">
        <v>23</v>
      </c>
      <c r="B115" s="11"/>
      <c r="C115" s="11"/>
      <c r="D115" s="11"/>
      <c r="E115" s="12"/>
      <c r="F115" s="46">
        <f t="shared" ref="F115:U115" si="109">F114+F77</f>
        <v>82127000</v>
      </c>
      <c r="G115" s="46">
        <f t="shared" si="109"/>
        <v>82629000</v>
      </c>
      <c r="H115" s="46">
        <f t="shared" si="109"/>
        <v>82629000</v>
      </c>
      <c r="I115" s="109">
        <f t="shared" si="109"/>
        <v>247385000</v>
      </c>
      <c r="J115" s="46">
        <f t="shared" si="109"/>
        <v>82629000</v>
      </c>
      <c r="K115" s="46">
        <f t="shared" si="109"/>
        <v>82629000</v>
      </c>
      <c r="L115" s="46">
        <f t="shared" si="109"/>
        <v>82629000</v>
      </c>
      <c r="M115" s="109">
        <f t="shared" si="109"/>
        <v>247887000</v>
      </c>
      <c r="N115" s="46">
        <f t="shared" si="109"/>
        <v>82629000</v>
      </c>
      <c r="O115" s="46">
        <f t="shared" si="109"/>
        <v>82629000</v>
      </c>
      <c r="P115" s="46">
        <f t="shared" si="109"/>
        <v>82629000</v>
      </c>
      <c r="Q115" s="109">
        <f t="shared" si="109"/>
        <v>247887000</v>
      </c>
      <c r="R115" s="46">
        <f t="shared" si="109"/>
        <v>82629000</v>
      </c>
      <c r="S115" s="46">
        <f t="shared" si="109"/>
        <v>82629000</v>
      </c>
      <c r="T115" s="46">
        <f t="shared" si="109"/>
        <v>82629000</v>
      </c>
      <c r="U115" s="109">
        <f t="shared" si="109"/>
        <v>247887000</v>
      </c>
      <c r="V115" s="40">
        <f t="shared" si="106"/>
        <v>991046000</v>
      </c>
    </row>
    <row r="116" spans="1:22" s="111" customFormat="1" ht="12.75" customHeight="1">
      <c r="A116" s="462" t="s">
        <v>181</v>
      </c>
      <c r="B116" s="463"/>
      <c r="C116" s="463"/>
      <c r="D116" s="464"/>
      <c r="E116" s="8"/>
      <c r="F116" s="43"/>
      <c r="G116" s="43"/>
      <c r="H116" s="43"/>
      <c r="I116" s="34"/>
      <c r="J116" s="43"/>
      <c r="K116" s="43"/>
      <c r="L116" s="43"/>
      <c r="M116" s="34"/>
      <c r="N116" s="43"/>
      <c r="O116" s="43"/>
      <c r="P116" s="43"/>
      <c r="Q116" s="34"/>
      <c r="R116" s="43"/>
      <c r="S116" s="43"/>
      <c r="T116" s="43"/>
      <c r="U116" s="34"/>
      <c r="V116" s="34"/>
    </row>
    <row r="117" spans="1:22" s="111" customFormat="1" ht="12.75" customHeight="1">
      <c r="A117" s="125"/>
      <c r="B117" s="4"/>
      <c r="C117" s="455" t="s">
        <v>289</v>
      </c>
      <c r="D117" s="456"/>
      <c r="E117" s="8"/>
      <c r="F117" s="44">
        <f>F29-F115</f>
        <v>699258000</v>
      </c>
      <c r="G117" s="44">
        <f>G29-G115</f>
        <v>31347000</v>
      </c>
      <c r="H117" s="44">
        <f>H29-H115</f>
        <v>31347000</v>
      </c>
      <c r="I117" s="35">
        <f>SUM(F117:H117)</f>
        <v>761952000</v>
      </c>
      <c r="J117" s="44">
        <f>J29-J115</f>
        <v>31347000</v>
      </c>
      <c r="K117" s="44">
        <f>K29-K115</f>
        <v>31347000</v>
      </c>
      <c r="L117" s="44">
        <f>L29-L115</f>
        <v>31347000</v>
      </c>
      <c r="M117" s="35">
        <f>SUM(J117:L117)</f>
        <v>94041000</v>
      </c>
      <c r="N117" s="44">
        <f>N29-N115</f>
        <v>31347000</v>
      </c>
      <c r="O117" s="44">
        <f>O29-O115</f>
        <v>31347000</v>
      </c>
      <c r="P117" s="44">
        <f>P29-P115</f>
        <v>31347000</v>
      </c>
      <c r="Q117" s="35">
        <f>SUM(N117:P117)</f>
        <v>94041000</v>
      </c>
      <c r="R117" s="44">
        <f>R29-R115</f>
        <v>31347000</v>
      </c>
      <c r="S117" s="44">
        <f>S29-S115</f>
        <v>31347000</v>
      </c>
      <c r="T117" s="44">
        <f>T29-T115</f>
        <v>31347000</v>
      </c>
      <c r="U117" s="35">
        <f>SUM(R117:T117)</f>
        <v>94041000</v>
      </c>
      <c r="V117" s="35">
        <f>I117+M117+Q117+U117</f>
        <v>1044075000</v>
      </c>
    </row>
    <row r="118" spans="1:22" ht="13.15" thickBot="1">
      <c r="A118" s="14"/>
      <c r="B118" s="14"/>
      <c r="C118" s="14"/>
      <c r="D118" s="14"/>
      <c r="E118" s="15"/>
      <c r="F118" s="47"/>
      <c r="G118" s="47"/>
      <c r="H118" s="47"/>
      <c r="I118" s="37"/>
      <c r="J118" s="47"/>
      <c r="K118" s="47"/>
      <c r="L118" s="47"/>
      <c r="M118" s="37"/>
      <c r="N118" s="47"/>
      <c r="O118" s="47"/>
      <c r="P118" s="47"/>
      <c r="Q118" s="37"/>
      <c r="R118" s="47"/>
      <c r="S118" s="47"/>
      <c r="T118" s="47"/>
      <c r="U118" s="37"/>
      <c r="V118" s="37"/>
    </row>
    <row r="119" spans="1:22">
      <c r="A119" s="7"/>
      <c r="B119" s="7"/>
      <c r="C119" s="7"/>
      <c r="D119" s="7"/>
      <c r="F119" s="13"/>
      <c r="G119" s="13"/>
      <c r="H119" s="13"/>
      <c r="J119" s="13"/>
      <c r="K119" s="13"/>
      <c r="L119" s="13"/>
      <c r="N119" s="13" t="s">
        <v>86</v>
      </c>
      <c r="O119" s="13"/>
      <c r="P119" s="13"/>
      <c r="R119" s="13"/>
      <c r="S119" s="13"/>
      <c r="T119" s="13"/>
    </row>
    <row r="120" spans="1:22" ht="13.15">
      <c r="D120" s="104" t="s">
        <v>210</v>
      </c>
      <c r="F120" s="39">
        <f>F77</f>
        <v>81192000</v>
      </c>
      <c r="G120" s="39">
        <f>G77</f>
        <v>82307000</v>
      </c>
      <c r="H120" s="39">
        <f>H77</f>
        <v>82307000</v>
      </c>
      <c r="J120" s="39">
        <f>J77</f>
        <v>82307000</v>
      </c>
      <c r="K120" s="39">
        <f>K77</f>
        <v>82307000</v>
      </c>
      <c r="L120" s="39">
        <f>L77</f>
        <v>82307000</v>
      </c>
      <c r="N120" s="39">
        <f>N77</f>
        <v>82307000</v>
      </c>
      <c r="O120" s="39">
        <f>O77</f>
        <v>82307000</v>
      </c>
      <c r="P120" s="39">
        <f>P77</f>
        <v>82307000</v>
      </c>
      <c r="R120" s="39">
        <f>R77</f>
        <v>82307000</v>
      </c>
      <c r="S120" s="39">
        <f>S77</f>
        <v>82307000</v>
      </c>
      <c r="T120" s="39">
        <f>T77</f>
        <v>82307000</v>
      </c>
    </row>
    <row r="121" spans="1:22" ht="13.15">
      <c r="D121" s="104" t="s">
        <v>204</v>
      </c>
      <c r="F121" s="39">
        <f>F114</f>
        <v>935000</v>
      </c>
      <c r="G121" s="39">
        <f t="shared" ref="G121:H121" si="110">G114</f>
        <v>322000</v>
      </c>
      <c r="H121" s="39">
        <f t="shared" si="110"/>
        <v>322000</v>
      </c>
      <c r="J121" s="39">
        <f>J114</f>
        <v>322000</v>
      </c>
      <c r="K121" s="39">
        <f>K114</f>
        <v>322000</v>
      </c>
      <c r="L121" s="39">
        <f>L114</f>
        <v>322000</v>
      </c>
      <c r="N121" s="39">
        <f>N114</f>
        <v>322000</v>
      </c>
      <c r="O121" s="39">
        <f>O114</f>
        <v>322000</v>
      </c>
      <c r="P121" s="39">
        <f>P114</f>
        <v>322000</v>
      </c>
      <c r="R121" s="39">
        <f>R114</f>
        <v>322000</v>
      </c>
      <c r="S121" s="39">
        <f>S114</f>
        <v>322000</v>
      </c>
      <c r="T121" s="39">
        <f>T114</f>
        <v>322000</v>
      </c>
    </row>
    <row r="122" spans="1:22">
      <c r="D122" s="106" t="s">
        <v>232</v>
      </c>
      <c r="F122" s="143"/>
      <c r="G122" s="143"/>
      <c r="J122" s="143"/>
      <c r="K122" s="143"/>
      <c r="L122" s="143"/>
      <c r="N122" s="143"/>
      <c r="O122" s="143"/>
      <c r="P122" s="143"/>
      <c r="R122" s="143"/>
      <c r="S122" s="143"/>
      <c r="T122" s="144"/>
    </row>
    <row r="123" spans="1:22">
      <c r="D123" s="106" t="s">
        <v>233</v>
      </c>
      <c r="F123" s="144"/>
      <c r="G123" s="144"/>
      <c r="H123" s="144"/>
      <c r="J123" s="144"/>
      <c r="K123" s="144"/>
      <c r="L123" s="144"/>
      <c r="N123" s="144"/>
      <c r="O123" s="144"/>
      <c r="P123" s="144"/>
      <c r="R123" s="144"/>
      <c r="S123" s="144"/>
      <c r="T123" s="144"/>
    </row>
    <row r="124" spans="1:22" ht="13.5">
      <c r="D124" s="104" t="s">
        <v>271</v>
      </c>
      <c r="F124" s="140">
        <f>F77-SYShin!F122</f>
        <v>74878000</v>
      </c>
      <c r="G124" s="140">
        <f>G77-SYShin!G122</f>
        <v>75963000</v>
      </c>
      <c r="H124" s="140">
        <f>H77-SYShin!H122</f>
        <v>75963000</v>
      </c>
      <c r="I124" s="157">
        <f>F124+G124+H124</f>
        <v>226804000</v>
      </c>
      <c r="J124" s="140">
        <f>J77-SYShin!J122</f>
        <v>75963000</v>
      </c>
      <c r="K124" s="140">
        <f>K77-SYShin!K122</f>
        <v>75963000</v>
      </c>
      <c r="L124" s="140">
        <f>L77-SYShin!L122</f>
        <v>75963000</v>
      </c>
      <c r="M124" s="157">
        <f>J124+K124+L124</f>
        <v>227889000</v>
      </c>
      <c r="N124" s="140">
        <f>N77-SYShin!N122</f>
        <v>75963000</v>
      </c>
      <c r="O124" s="140">
        <f>O77-SYShin!O122</f>
        <v>75963000</v>
      </c>
      <c r="P124" s="140">
        <f>P77-SYShin!P122</f>
        <v>75963000</v>
      </c>
      <c r="Q124" s="157">
        <f>N124+O124+P124</f>
        <v>227889000</v>
      </c>
      <c r="R124" s="140">
        <f>R77-SYShin!R122</f>
        <v>75963000</v>
      </c>
      <c r="S124" s="140">
        <f>S77-SYShin!S122</f>
        <v>75963000</v>
      </c>
      <c r="T124" s="140">
        <f>T77-SYShin!T122</f>
        <v>75963000</v>
      </c>
      <c r="U124" s="157">
        <f>SUM(R124:T124)</f>
        <v>227889000</v>
      </c>
      <c r="V124" s="159">
        <f>I124+M124+Q124+U124</f>
        <v>910471000</v>
      </c>
    </row>
    <row r="125" spans="1:22" ht="13.15">
      <c r="D125" s="105" t="s">
        <v>207</v>
      </c>
      <c r="F125" s="141">
        <f>ROUND((간접!F124*F124)/(TST!F124+SDT!F124+TSG!F124),-3)</f>
        <v>22289000</v>
      </c>
      <c r="G125" s="141">
        <f>ROUND((간접!G124*G124)/(TST!G124+SDT!G124+TSG!G124),-3)</f>
        <v>21737000</v>
      </c>
      <c r="H125" s="141">
        <f>ROUND((간접!H124*H124)/(TST!H124+SDT!H124+TSG!H124),-3)</f>
        <v>21737000</v>
      </c>
      <c r="I125" s="157">
        <f t="shared" ref="I125:I126" si="111">F125+G125+H125</f>
        <v>65763000</v>
      </c>
      <c r="J125" s="141">
        <f>ROUND((간접!J124*J124)/(TST!J124+SDT!J124+TSG!J124),-3)</f>
        <v>21737000</v>
      </c>
      <c r="K125" s="141">
        <f>ROUND((간접!K124*K124)/(TST!K124+SDT!K124+TSG!K124),-3)</f>
        <v>21737000</v>
      </c>
      <c r="L125" s="141">
        <f>ROUND((간접!L124*L124)/(TST!L124+SDT!L124+TSG!L124),-3)</f>
        <v>21737000</v>
      </c>
      <c r="M125" s="157">
        <f t="shared" ref="M125:M126" si="112">J125+K125+L125</f>
        <v>65211000</v>
      </c>
      <c r="N125" s="141">
        <f>ROUND((간접!N124*N124)/(TST!N124+SDT!N124+TSG!N124),-3)</f>
        <v>21737000</v>
      </c>
      <c r="O125" s="141">
        <f>ROUND((간접!O124*O124)/(TST!O124+SDT!O124+TSG!O124),-3)</f>
        <v>21737000</v>
      </c>
      <c r="P125" s="141">
        <f>ROUND((간접!P124*P124)/(TST!P124+SDT!P124+TSG!P124),-3)</f>
        <v>21737000</v>
      </c>
      <c r="Q125" s="157">
        <f t="shared" ref="Q125:Q126" si="113">N125+O125+P125</f>
        <v>65211000</v>
      </c>
      <c r="R125" s="141">
        <f>ROUND((간접!R124*R124)/(TST!R124+SDT!R122+TSG!R124),-3)</f>
        <v>22448000</v>
      </c>
      <c r="S125" s="141">
        <f>ROUND((간접!S124*S124)/(TST!S124+SDT!S124+TSG!S124),-3)</f>
        <v>21737000</v>
      </c>
      <c r="T125" s="141">
        <f>ROUND((간접!T124*T124)/(TST!T124+SDT!T124+TSG!T124),-3)</f>
        <v>21737000</v>
      </c>
      <c r="U125" s="157">
        <f t="shared" ref="U125:U126" si="114">R125+S125+T125</f>
        <v>65922000</v>
      </c>
      <c r="V125" s="157">
        <f t="shared" ref="V125:V126" si="115">I125+M125+Q125+U125</f>
        <v>262107000</v>
      </c>
    </row>
    <row r="126" spans="1:22" ht="13.15">
      <c r="D126" s="105" t="s">
        <v>208</v>
      </c>
      <c r="F126" s="141">
        <f>SUM(F124:F125)</f>
        <v>97167000</v>
      </c>
      <c r="G126" s="141">
        <f t="shared" ref="G126:H126" si="116">SUM(G124:G125)</f>
        <v>97700000</v>
      </c>
      <c r="H126" s="141">
        <f t="shared" si="116"/>
        <v>97700000</v>
      </c>
      <c r="I126" s="157">
        <f t="shared" si="111"/>
        <v>292567000</v>
      </c>
      <c r="J126" s="141">
        <f>SUM(J124:J125)</f>
        <v>97700000</v>
      </c>
      <c r="K126" s="141">
        <f t="shared" ref="K126:L126" si="117">SUM(K124:K125)</f>
        <v>97700000</v>
      </c>
      <c r="L126" s="141">
        <f t="shared" si="117"/>
        <v>97700000</v>
      </c>
      <c r="M126" s="157">
        <f t="shared" si="112"/>
        <v>293100000</v>
      </c>
      <c r="N126" s="141">
        <f>SUM(N124:N125)</f>
        <v>97700000</v>
      </c>
      <c r="O126" s="141">
        <f t="shared" ref="O126:P126" si="118">SUM(O124:O125)</f>
        <v>97700000</v>
      </c>
      <c r="P126" s="141">
        <f t="shared" si="118"/>
        <v>97700000</v>
      </c>
      <c r="Q126" s="157">
        <f t="shared" si="113"/>
        <v>293100000</v>
      </c>
      <c r="R126" s="141">
        <f>SUM(R124:R125)</f>
        <v>98411000</v>
      </c>
      <c r="S126" s="141">
        <f t="shared" ref="S126:T126" si="119">SUM(S124:S125)</f>
        <v>97700000</v>
      </c>
      <c r="T126" s="141">
        <f t="shared" si="119"/>
        <v>97700000</v>
      </c>
      <c r="U126" s="157">
        <f t="shared" si="114"/>
        <v>293811000</v>
      </c>
      <c r="V126" s="157">
        <f t="shared" si="115"/>
        <v>1172578000</v>
      </c>
    </row>
    <row r="127" spans="1:22" ht="13.15">
      <c r="D127" s="94" t="s">
        <v>209</v>
      </c>
      <c r="F127" s="142">
        <f>F126/(SDT!F126+TST!F126+TSG!F126)</f>
        <v>0.33289366396469855</v>
      </c>
      <c r="G127" s="142">
        <f>G126/(SDT!G126+TST!G126+TSG!G126)</f>
        <v>0.33489641177519092</v>
      </c>
      <c r="H127" s="142">
        <f>H126/(SDT!H126+TST!H126+TSG!H126)</f>
        <v>0.33489641177519092</v>
      </c>
      <c r="I127" s="158">
        <f>AVERAGE(F127:H127)</f>
        <v>0.3342288291716935</v>
      </c>
      <c r="J127" s="142">
        <f>J126/(SDT!J126+TST!J126+TSG!J126)</f>
        <v>0.33489641177519092</v>
      </c>
      <c r="K127" s="142">
        <f>K126/(SDT!K126+TST!K126+TSG!K126)</f>
        <v>0.33489641177519092</v>
      </c>
      <c r="L127" s="142">
        <f>L126/(SDT!L126+TST!L126+TSG!L126)</f>
        <v>0.33489641177519092</v>
      </c>
      <c r="M127" s="158">
        <f>AVERAGE(J127:L127)</f>
        <v>0.33489641177519092</v>
      </c>
      <c r="N127" s="142">
        <f>N126/(SDT!N126+TST!N126+TSG!N126)</f>
        <v>0.33489641177519092</v>
      </c>
      <c r="O127" s="142">
        <f>O126/(SDT!O126+TST!O126+TSG!O126)</f>
        <v>0.33489641177519092</v>
      </c>
      <c r="P127" s="142">
        <f>P126/(SDT!P126+TST!P126+TSG!P126)</f>
        <v>0.33489641177519092</v>
      </c>
      <c r="Q127" s="158">
        <f>AVERAGE(N127:P127)</f>
        <v>0.33489641177519092</v>
      </c>
      <c r="R127" s="142">
        <f>R126/(SDT!R126+TST!R126+TSG!R126)</f>
        <v>0.33651344022595858</v>
      </c>
      <c r="S127" s="142">
        <f>S126/(SDT!S126+TST!S126+TSG!S126)</f>
        <v>0.33489641177519092</v>
      </c>
      <c r="T127" s="142">
        <f>T126/(SDT!T126+TST!T126+TSG!T126)</f>
        <v>0.33489641177519092</v>
      </c>
      <c r="U127" s="158">
        <f>AVERAGE(R127:T127)</f>
        <v>0.33543542125878018</v>
      </c>
      <c r="V127" s="158">
        <f>AVERAGE(I127,M127,Q127,U127)</f>
        <v>0.33486426849521389</v>
      </c>
    </row>
    <row r="128" spans="1:22">
      <c r="D128" s="103"/>
    </row>
    <row r="129" spans="6:10" ht="13.15">
      <c r="F129" s="39"/>
      <c r="G129" s="155"/>
      <c r="I129" s="39"/>
      <c r="J129" s="155"/>
    </row>
    <row r="130" spans="6:10" ht="13.15">
      <c r="F130" s="39"/>
      <c r="G130" s="155"/>
      <c r="I130" s="39"/>
      <c r="J130" s="156"/>
    </row>
    <row r="131" spans="6:10" ht="13.15">
      <c r="F131" s="39"/>
      <c r="G131" s="156"/>
      <c r="I131" s="39"/>
    </row>
    <row r="132" spans="6:10">
      <c r="F132" s="39"/>
      <c r="G132" s="39"/>
    </row>
    <row r="133" spans="6:10">
      <c r="F133" s="39"/>
      <c r="G133" s="39"/>
      <c r="I133" s="39"/>
    </row>
    <row r="134" spans="6:10">
      <c r="F134" s="39"/>
      <c r="G134" s="39"/>
    </row>
    <row r="135" spans="6:10">
      <c r="F135" s="39"/>
      <c r="G135" s="39"/>
    </row>
  </sheetData>
  <mergeCells count="17">
    <mergeCell ref="C117:D117"/>
    <mergeCell ref="C24:D24"/>
    <mergeCell ref="C25:D25"/>
    <mergeCell ref="A26:D26"/>
    <mergeCell ref="A28:D28"/>
    <mergeCell ref="C29:D29"/>
    <mergeCell ref="A116:D116"/>
    <mergeCell ref="A15:A25"/>
    <mergeCell ref="C15:D15"/>
    <mergeCell ref="C21:D21"/>
    <mergeCell ref="C22:D22"/>
    <mergeCell ref="C23:D23"/>
    <mergeCell ref="A3:D3"/>
    <mergeCell ref="A4:A11"/>
    <mergeCell ref="B5:B10"/>
    <mergeCell ref="A12:D12"/>
    <mergeCell ref="A14:D14"/>
  </mergeCells>
  <phoneticPr fontId="8" type="noConversion"/>
  <pageMargins left="0.59055118110236227" right="0.39370078740157483" top="0.78740157480314965" bottom="0.39370078740157483" header="0.31496062992125984" footer="0.51181102362204722"/>
  <pageSetup scale="10" fitToHeight="2" orientation="portrait" r:id="rId1"/>
  <headerFooter alignWithMargins="0">
    <oddHeader>&amp;L&amp;Z&amp;F&amp;A</oddHead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U127"/>
  <sheetViews>
    <sheetView workbookViewId="0">
      <pane xSplit="4" ySplit="2" topLeftCell="F46" activePane="bottomRight" state="frozen"/>
      <selection pane="topRight" activeCell="E1" sqref="E1"/>
      <selection pane="bottomLeft" activeCell="A3" sqref="A3"/>
      <selection pane="bottomRight" activeCell="T71" sqref="T71"/>
    </sheetView>
  </sheetViews>
  <sheetFormatPr defaultColWidth="8.87890625" defaultRowHeight="12.75" outlineLevelRow="2" outlineLevelCol="1"/>
  <cols>
    <col min="1" max="3" width="1.3515625" style="3" customWidth="1"/>
    <col min="4" max="4" width="21.1171875" style="3" customWidth="1"/>
    <col min="5" max="5" width="1.64453125" style="7" customWidth="1"/>
    <col min="6" max="6" width="10.234375" style="3" customWidth="1" outlineLevel="1"/>
    <col min="7" max="8" width="10.87890625" style="3" customWidth="1" outlineLevel="1"/>
    <col min="9" max="9" width="10.87890625" style="3" bestFit="1" customWidth="1"/>
    <col min="10" max="10" width="10.234375" style="3" customWidth="1" outlineLevel="1"/>
    <col min="11" max="12" width="10.87890625" style="3" customWidth="1" outlineLevel="1"/>
    <col min="13" max="13" width="10.87890625" style="3" bestFit="1" customWidth="1"/>
    <col min="14" max="14" width="10.234375" style="3" customWidth="1" outlineLevel="1"/>
    <col min="15" max="16" width="10.87890625" style="3" customWidth="1" outlineLevel="1"/>
    <col min="17" max="17" width="10.87890625" style="3" bestFit="1" customWidth="1"/>
    <col min="18" max="20" width="10.234375" style="3" customWidth="1" outlineLevel="1"/>
    <col min="21" max="22" width="10.87890625" style="3" bestFit="1" customWidth="1"/>
    <col min="23" max="16384" width="8.87890625" style="3"/>
  </cols>
  <sheetData>
    <row r="1" spans="1:47" ht="13.9" thickBot="1">
      <c r="A1" s="1"/>
      <c r="B1" s="1"/>
      <c r="C1" s="1"/>
      <c r="D1" s="38"/>
      <c r="E1" s="2"/>
      <c r="F1" s="18" t="s">
        <v>69</v>
      </c>
      <c r="G1" s="18" t="s">
        <v>70</v>
      </c>
      <c r="H1" s="18" t="s">
        <v>71</v>
      </c>
      <c r="I1" s="18" t="s">
        <v>72</v>
      </c>
      <c r="J1" s="18" t="s">
        <v>74</v>
      </c>
      <c r="K1" s="18" t="s">
        <v>75</v>
      </c>
      <c r="L1" s="18" t="s">
        <v>76</v>
      </c>
      <c r="M1" s="18" t="s">
        <v>77</v>
      </c>
      <c r="N1" s="18" t="s">
        <v>80</v>
      </c>
      <c r="O1" s="18" t="s">
        <v>81</v>
      </c>
      <c r="P1" s="18" t="s">
        <v>82</v>
      </c>
      <c r="Q1" s="18" t="s">
        <v>83</v>
      </c>
      <c r="R1" s="18" t="s">
        <v>88</v>
      </c>
      <c r="S1" s="18" t="s">
        <v>91</v>
      </c>
      <c r="T1" s="18" t="s">
        <v>92</v>
      </c>
      <c r="U1" s="18" t="s">
        <v>89</v>
      </c>
      <c r="V1" s="18">
        <v>2026</v>
      </c>
      <c r="AU1" s="4"/>
    </row>
    <row r="2" spans="1:47" ht="13.5" thickBot="1">
      <c r="A2" s="5"/>
      <c r="B2" s="5"/>
      <c r="C2" s="5"/>
      <c r="D2" s="6"/>
      <c r="E2" s="2"/>
      <c r="F2" s="110" t="s">
        <v>24</v>
      </c>
      <c r="G2" s="110" t="s">
        <v>24</v>
      </c>
      <c r="H2" s="110" t="s">
        <v>24</v>
      </c>
      <c r="I2" s="137" t="s">
        <v>25</v>
      </c>
      <c r="J2" s="110" t="s">
        <v>24</v>
      </c>
      <c r="K2" s="110" t="s">
        <v>24</v>
      </c>
      <c r="L2" s="110" t="s">
        <v>24</v>
      </c>
      <c r="M2" s="137" t="s">
        <v>25</v>
      </c>
      <c r="N2" s="110" t="s">
        <v>24</v>
      </c>
      <c r="O2" s="110" t="s">
        <v>24</v>
      </c>
      <c r="P2" s="110" t="s">
        <v>24</v>
      </c>
      <c r="Q2" s="137" t="s">
        <v>25</v>
      </c>
      <c r="R2" s="110" t="s">
        <v>24</v>
      </c>
      <c r="S2" s="110" t="s">
        <v>24</v>
      </c>
      <c r="T2" s="110" t="s">
        <v>24</v>
      </c>
      <c r="U2" s="137" t="s">
        <v>25</v>
      </c>
      <c r="V2" s="137" t="s">
        <v>25</v>
      </c>
    </row>
    <row r="3" spans="1:47" s="111" customFormat="1" ht="12.75" customHeight="1">
      <c r="A3" s="447" t="s">
        <v>159</v>
      </c>
      <c r="B3" s="448"/>
      <c r="C3" s="448"/>
      <c r="D3" s="449"/>
      <c r="E3" s="2"/>
      <c r="F3" s="133"/>
      <c r="G3" s="133"/>
      <c r="H3" s="133"/>
      <c r="I3" s="34"/>
      <c r="J3" s="133"/>
      <c r="K3" s="133"/>
      <c r="L3" s="133"/>
      <c r="M3" s="34"/>
      <c r="N3" s="133"/>
      <c r="O3" s="133"/>
      <c r="P3" s="133"/>
      <c r="Q3" s="34"/>
      <c r="R3" s="133"/>
      <c r="S3" s="133"/>
      <c r="T3" s="133"/>
      <c r="U3" s="34"/>
      <c r="V3" s="134"/>
    </row>
    <row r="4" spans="1:47" s="111" customFormat="1" ht="12.75" customHeight="1">
      <c r="A4" s="450"/>
      <c r="B4" s="112" t="s">
        <v>160</v>
      </c>
      <c r="C4" s="112"/>
      <c r="D4" s="113"/>
      <c r="E4" s="2"/>
      <c r="F4" s="43"/>
      <c r="G4" s="43"/>
      <c r="H4" s="43"/>
      <c r="I4" s="34"/>
      <c r="J4" s="43"/>
      <c r="K4" s="43"/>
      <c r="L4" s="43"/>
      <c r="M4" s="34"/>
      <c r="N4" s="43"/>
      <c r="O4" s="43"/>
      <c r="P4" s="43"/>
      <c r="Q4" s="34"/>
      <c r="R4" s="43"/>
      <c r="S4" s="43"/>
      <c r="T4" s="43"/>
      <c r="U4" s="34"/>
      <c r="V4" s="34"/>
    </row>
    <row r="5" spans="1:47" s="111" customFormat="1" ht="12.75" customHeight="1" outlineLevel="1">
      <c r="A5" s="450"/>
      <c r="B5" s="451"/>
      <c r="C5" s="114"/>
      <c r="D5" s="115" t="s">
        <v>161</v>
      </c>
      <c r="E5" s="7">
        <v>1</v>
      </c>
      <c r="F5" s="43"/>
      <c r="G5" s="43"/>
      <c r="H5" s="43"/>
      <c r="I5" s="34">
        <f t="shared" ref="I5:I10" si="0">H5+G5+F5</f>
        <v>0</v>
      </c>
      <c r="J5" s="43"/>
      <c r="K5" s="43"/>
      <c r="L5" s="43"/>
      <c r="M5" s="34">
        <f t="shared" ref="M5:M10" si="1">L5+K5+J5</f>
        <v>0</v>
      </c>
      <c r="N5" s="43"/>
      <c r="O5" s="43"/>
      <c r="P5" s="43"/>
      <c r="Q5" s="34">
        <f t="shared" ref="Q5:Q10" si="2">P5+O5+N5</f>
        <v>0</v>
      </c>
      <c r="R5" s="43"/>
      <c r="S5" s="43"/>
      <c r="T5" s="43"/>
      <c r="U5" s="34">
        <f t="shared" ref="U5:U10" si="3">T5+S5+R5</f>
        <v>0</v>
      </c>
      <c r="V5" s="34">
        <f t="shared" ref="V5:V10" si="4">U5+Q5+M5+I5</f>
        <v>0</v>
      </c>
    </row>
    <row r="6" spans="1:47" s="111" customFormat="1" ht="12.75" customHeight="1" outlineLevel="1">
      <c r="A6" s="450"/>
      <c r="B6" s="451"/>
      <c r="C6" s="116"/>
      <c r="D6" s="117" t="s">
        <v>162</v>
      </c>
      <c r="E6" s="7">
        <v>1</v>
      </c>
      <c r="F6" s="43"/>
      <c r="G6" s="43"/>
      <c r="H6" s="43"/>
      <c r="I6" s="34">
        <f t="shared" si="0"/>
        <v>0</v>
      </c>
      <c r="J6" s="43"/>
      <c r="K6" s="43"/>
      <c r="L6" s="43"/>
      <c r="M6" s="34">
        <f t="shared" si="1"/>
        <v>0</v>
      </c>
      <c r="N6" s="43"/>
      <c r="O6" s="43"/>
      <c r="P6" s="43"/>
      <c r="Q6" s="34">
        <f t="shared" si="2"/>
        <v>0</v>
      </c>
      <c r="R6" s="43"/>
      <c r="S6" s="43"/>
      <c r="T6" s="43"/>
      <c r="U6" s="34">
        <f t="shared" si="3"/>
        <v>0</v>
      </c>
      <c r="V6" s="34">
        <f t="shared" si="4"/>
        <v>0</v>
      </c>
    </row>
    <row r="7" spans="1:47" s="111" customFormat="1" ht="12.75" customHeight="1" outlineLevel="1">
      <c r="A7" s="450"/>
      <c r="B7" s="451"/>
      <c r="C7" s="116"/>
      <c r="D7" s="117" t="s">
        <v>163</v>
      </c>
      <c r="E7" s="7">
        <v>1</v>
      </c>
      <c r="F7" s="43"/>
      <c r="G7" s="43"/>
      <c r="H7" s="43"/>
      <c r="I7" s="34">
        <f t="shared" si="0"/>
        <v>0</v>
      </c>
      <c r="J7" s="43"/>
      <c r="K7" s="43"/>
      <c r="L7" s="43"/>
      <c r="M7" s="34">
        <f t="shared" si="1"/>
        <v>0</v>
      </c>
      <c r="N7" s="43"/>
      <c r="O7" s="43"/>
      <c r="P7" s="43"/>
      <c r="Q7" s="34">
        <f t="shared" si="2"/>
        <v>0</v>
      </c>
      <c r="R7" s="43"/>
      <c r="S7" s="43"/>
      <c r="T7" s="43"/>
      <c r="U7" s="34">
        <f t="shared" si="3"/>
        <v>0</v>
      </c>
      <c r="V7" s="34">
        <f t="shared" si="4"/>
        <v>0</v>
      </c>
    </row>
    <row r="8" spans="1:47" s="111" customFormat="1" ht="12.75" customHeight="1" outlineLevel="1">
      <c r="A8" s="450"/>
      <c r="B8" s="451"/>
      <c r="C8" s="116"/>
      <c r="D8" s="118" t="s">
        <v>164</v>
      </c>
      <c r="E8" s="7"/>
      <c r="F8" s="43"/>
      <c r="G8" s="43"/>
      <c r="H8" s="43"/>
      <c r="I8" s="34">
        <f t="shared" si="0"/>
        <v>0</v>
      </c>
      <c r="J8" s="43"/>
      <c r="K8" s="43"/>
      <c r="L8" s="43"/>
      <c r="M8" s="34">
        <f t="shared" si="1"/>
        <v>0</v>
      </c>
      <c r="N8" s="43"/>
      <c r="O8" s="43"/>
      <c r="P8" s="43"/>
      <c r="Q8" s="34">
        <f t="shared" si="2"/>
        <v>0</v>
      </c>
      <c r="R8" s="43"/>
      <c r="S8" s="43"/>
      <c r="T8" s="43"/>
      <c r="U8" s="34">
        <f t="shared" si="3"/>
        <v>0</v>
      </c>
      <c r="V8" s="34">
        <f t="shared" si="4"/>
        <v>0</v>
      </c>
    </row>
    <row r="9" spans="1:47" s="111" customFormat="1" ht="12.75" customHeight="1" outlineLevel="1">
      <c r="A9" s="450"/>
      <c r="B9" s="451"/>
      <c r="C9" s="116"/>
      <c r="D9" s="117" t="s">
        <v>166</v>
      </c>
      <c r="E9" s="7"/>
      <c r="F9" s="43"/>
      <c r="G9" s="43">
        <v>120000000</v>
      </c>
      <c r="H9" s="43">
        <v>120000000</v>
      </c>
      <c r="I9" s="34">
        <f t="shared" si="0"/>
        <v>240000000</v>
      </c>
      <c r="J9" s="43">
        <v>120000000</v>
      </c>
      <c r="K9" s="43">
        <v>120000000</v>
      </c>
      <c r="L9" s="43">
        <v>120000000</v>
      </c>
      <c r="M9" s="34">
        <f t="shared" si="1"/>
        <v>360000000</v>
      </c>
      <c r="N9" s="43">
        <v>120000000</v>
      </c>
      <c r="O9" s="43">
        <v>120000000</v>
      </c>
      <c r="P9" s="43">
        <v>120000000</v>
      </c>
      <c r="Q9" s="34">
        <f t="shared" si="2"/>
        <v>360000000</v>
      </c>
      <c r="R9" s="43">
        <v>120000000</v>
      </c>
      <c r="S9" s="43">
        <v>120000000</v>
      </c>
      <c r="T9" s="43">
        <v>120000000</v>
      </c>
      <c r="U9" s="34">
        <f t="shared" si="3"/>
        <v>360000000</v>
      </c>
      <c r="V9" s="34">
        <f t="shared" si="4"/>
        <v>1320000000</v>
      </c>
    </row>
    <row r="10" spans="1:47" s="111" customFormat="1" ht="12.75" customHeight="1" outlineLevel="1">
      <c r="A10" s="450"/>
      <c r="B10" s="451"/>
      <c r="C10" s="116"/>
      <c r="D10" s="117" t="s">
        <v>165</v>
      </c>
      <c r="E10" s="7"/>
      <c r="F10" s="43">
        <v>0</v>
      </c>
      <c r="G10" s="43"/>
      <c r="H10" s="43"/>
      <c r="I10" s="34">
        <f t="shared" si="0"/>
        <v>0</v>
      </c>
      <c r="J10" s="43"/>
      <c r="K10" s="43"/>
      <c r="L10" s="43"/>
      <c r="M10" s="34">
        <f t="shared" si="1"/>
        <v>0</v>
      </c>
      <c r="N10" s="43"/>
      <c r="O10" s="43"/>
      <c r="P10" s="43"/>
      <c r="Q10" s="34">
        <f t="shared" si="2"/>
        <v>0</v>
      </c>
      <c r="R10" s="43"/>
      <c r="S10" s="43"/>
      <c r="T10" s="43"/>
      <c r="U10" s="34">
        <f t="shared" si="3"/>
        <v>0</v>
      </c>
      <c r="V10" s="34">
        <f t="shared" si="4"/>
        <v>0</v>
      </c>
    </row>
    <row r="11" spans="1:47" s="111" customFormat="1" ht="6.75" customHeight="1">
      <c r="A11" s="450"/>
      <c r="B11" s="4"/>
      <c r="C11" s="4"/>
      <c r="D11" s="119"/>
      <c r="E11" s="120"/>
      <c r="F11" s="43"/>
      <c r="G11" s="43"/>
      <c r="H11" s="43"/>
      <c r="I11" s="34"/>
      <c r="J11" s="43"/>
      <c r="K11" s="43"/>
      <c r="L11" s="43"/>
      <c r="M11" s="34"/>
      <c r="N11" s="43"/>
      <c r="O11" s="43"/>
      <c r="P11" s="43"/>
      <c r="Q11" s="34"/>
      <c r="R11" s="43"/>
      <c r="S11" s="43"/>
      <c r="T11" s="43"/>
      <c r="U11" s="34"/>
      <c r="V11" s="34"/>
    </row>
    <row r="12" spans="1:47" s="111" customFormat="1" ht="12.75" customHeight="1">
      <c r="A12" s="447" t="s">
        <v>167</v>
      </c>
      <c r="B12" s="448"/>
      <c r="C12" s="448"/>
      <c r="D12" s="449"/>
      <c r="E12" s="8"/>
      <c r="F12" s="44">
        <f t="shared" ref="F12:Q12" si="5">SUM(F5:F10)</f>
        <v>0</v>
      </c>
      <c r="G12" s="44">
        <f t="shared" si="5"/>
        <v>120000000</v>
      </c>
      <c r="H12" s="44">
        <f t="shared" ref="H12" si="6">SUM(H5:H10)</f>
        <v>120000000</v>
      </c>
      <c r="I12" s="35">
        <f t="shared" si="5"/>
        <v>240000000</v>
      </c>
      <c r="J12" s="44">
        <f t="shared" ref="J12:L12" si="7">SUM(J5:J10)</f>
        <v>120000000</v>
      </c>
      <c r="K12" s="44">
        <f t="shared" si="7"/>
        <v>120000000</v>
      </c>
      <c r="L12" s="44">
        <f t="shared" si="7"/>
        <v>120000000</v>
      </c>
      <c r="M12" s="35">
        <f t="shared" si="5"/>
        <v>360000000</v>
      </c>
      <c r="N12" s="44">
        <f t="shared" ref="N12:P12" si="8">SUM(N5:N10)</f>
        <v>120000000</v>
      </c>
      <c r="O12" s="44">
        <f t="shared" si="8"/>
        <v>120000000</v>
      </c>
      <c r="P12" s="44">
        <f t="shared" si="8"/>
        <v>120000000</v>
      </c>
      <c r="Q12" s="35">
        <f t="shared" si="5"/>
        <v>360000000</v>
      </c>
      <c r="R12" s="44">
        <f t="shared" ref="R12:T12" si="9">SUM(R5:R10)</f>
        <v>120000000</v>
      </c>
      <c r="S12" s="44">
        <f t="shared" si="9"/>
        <v>120000000</v>
      </c>
      <c r="T12" s="44">
        <f t="shared" si="9"/>
        <v>120000000</v>
      </c>
      <c r="U12" s="35">
        <f t="shared" ref="U12:V12" si="10">SUM(U5:U10)</f>
        <v>360000000</v>
      </c>
      <c r="V12" s="35">
        <f t="shared" si="10"/>
        <v>1320000000</v>
      </c>
    </row>
    <row r="13" spans="1:47" s="111" customFormat="1" ht="5.25" customHeight="1">
      <c r="A13" s="121"/>
      <c r="B13" s="3"/>
      <c r="C13" s="3"/>
      <c r="D13" s="119"/>
      <c r="E13" s="4"/>
      <c r="F13" s="43"/>
      <c r="G13" s="43"/>
      <c r="H13" s="43"/>
      <c r="I13" s="34"/>
      <c r="J13" s="43"/>
      <c r="K13" s="43"/>
      <c r="L13" s="43"/>
      <c r="M13" s="34"/>
      <c r="N13" s="43"/>
      <c r="O13" s="43"/>
      <c r="P13" s="43"/>
      <c r="Q13" s="34"/>
      <c r="R13" s="43"/>
      <c r="S13" s="43"/>
      <c r="T13" s="43"/>
      <c r="U13" s="34"/>
      <c r="V13" s="34"/>
    </row>
    <row r="14" spans="1:47" s="111" customFormat="1" ht="12.75" customHeight="1">
      <c r="A14" s="452" t="s">
        <v>168</v>
      </c>
      <c r="B14" s="453"/>
      <c r="C14" s="453"/>
      <c r="D14" s="454"/>
      <c r="E14" s="7"/>
      <c r="F14" s="43"/>
      <c r="G14" s="43"/>
      <c r="H14" s="43"/>
      <c r="I14" s="34"/>
      <c r="J14" s="43"/>
      <c r="K14" s="43"/>
      <c r="L14" s="43"/>
      <c r="M14" s="34"/>
      <c r="N14" s="43"/>
      <c r="O14" s="43"/>
      <c r="P14" s="43"/>
      <c r="Q14" s="34"/>
      <c r="R14" s="43"/>
      <c r="S14" s="43"/>
      <c r="T14" s="43"/>
      <c r="U14" s="34"/>
      <c r="V14" s="34"/>
    </row>
    <row r="15" spans="1:47" s="111" customFormat="1" ht="12.75" customHeight="1" outlineLevel="1">
      <c r="A15" s="465"/>
      <c r="B15" s="3"/>
      <c r="C15" s="466" t="s">
        <v>169</v>
      </c>
      <c r="D15" s="467"/>
      <c r="E15" s="7"/>
      <c r="F15" s="43"/>
      <c r="G15" s="43"/>
      <c r="H15" s="43"/>
      <c r="I15" s="34"/>
      <c r="J15" s="43"/>
      <c r="K15" s="43"/>
      <c r="L15" s="43"/>
      <c r="M15" s="34"/>
      <c r="N15" s="43"/>
      <c r="O15" s="43"/>
      <c r="P15" s="43"/>
      <c r="Q15" s="34"/>
      <c r="R15" s="43"/>
      <c r="S15" s="43"/>
      <c r="T15" s="43"/>
      <c r="U15" s="34"/>
      <c r="V15" s="34"/>
    </row>
    <row r="16" spans="1:47" s="111" customFormat="1" ht="12.75" customHeight="1" outlineLevel="1">
      <c r="A16" s="465"/>
      <c r="B16" s="3"/>
      <c r="C16" s="116"/>
      <c r="D16" s="117" t="s">
        <v>170</v>
      </c>
      <c r="E16" s="7">
        <v>0</v>
      </c>
      <c r="F16" s="43"/>
      <c r="G16" s="43"/>
      <c r="H16" s="43"/>
      <c r="I16" s="34">
        <f t="shared" ref="I16:I22" si="11">H16+G16+F16</f>
        <v>0</v>
      </c>
      <c r="J16" s="43"/>
      <c r="K16" s="43"/>
      <c r="L16" s="43"/>
      <c r="M16" s="34">
        <f t="shared" ref="M16:M22" si="12">L16+K16+J16</f>
        <v>0</v>
      </c>
      <c r="N16" s="43"/>
      <c r="O16" s="43"/>
      <c r="P16" s="43"/>
      <c r="Q16" s="34">
        <f t="shared" ref="Q16:Q22" si="13">P16+O16+N16</f>
        <v>0</v>
      </c>
      <c r="R16" s="43"/>
      <c r="S16" s="43"/>
      <c r="T16" s="43"/>
      <c r="U16" s="34">
        <f t="shared" ref="U16:U22" si="14">T16+S16+R16</f>
        <v>0</v>
      </c>
      <c r="V16" s="34">
        <f t="shared" ref="V16:V22" si="15">U16+Q16+M16+I16</f>
        <v>0</v>
      </c>
    </row>
    <row r="17" spans="1:22" s="111" customFormat="1" ht="12.75" customHeight="1" outlineLevel="1">
      <c r="A17" s="465"/>
      <c r="B17" s="3"/>
      <c r="C17" s="116"/>
      <c r="D17" s="117" t="s">
        <v>172</v>
      </c>
      <c r="E17" s="7"/>
      <c r="F17" s="43"/>
      <c r="G17" s="43"/>
      <c r="H17" s="43"/>
      <c r="I17" s="34">
        <f t="shared" si="11"/>
        <v>0</v>
      </c>
      <c r="J17" s="43"/>
      <c r="K17" s="43"/>
      <c r="L17" s="43"/>
      <c r="M17" s="34">
        <f t="shared" si="12"/>
        <v>0</v>
      </c>
      <c r="N17" s="43"/>
      <c r="O17" s="43"/>
      <c r="P17" s="43"/>
      <c r="Q17" s="34">
        <f t="shared" si="13"/>
        <v>0</v>
      </c>
      <c r="R17" s="43"/>
      <c r="S17" s="43"/>
      <c r="T17" s="43"/>
      <c r="U17" s="34">
        <f t="shared" si="14"/>
        <v>0</v>
      </c>
      <c r="V17" s="34">
        <f t="shared" si="15"/>
        <v>0</v>
      </c>
    </row>
    <row r="18" spans="1:22" s="111" customFormat="1" ht="12.75" customHeight="1" outlineLevel="1">
      <c r="A18" s="465"/>
      <c r="B18" s="3"/>
      <c r="C18" s="116"/>
      <c r="D18" s="117" t="s">
        <v>294</v>
      </c>
      <c r="E18" s="7"/>
      <c r="F18" s="43"/>
      <c r="G18" s="43"/>
      <c r="H18" s="43"/>
      <c r="I18" s="34">
        <f t="shared" si="11"/>
        <v>0</v>
      </c>
      <c r="J18" s="43"/>
      <c r="K18" s="43"/>
      <c r="L18" s="43"/>
      <c r="M18" s="34">
        <f t="shared" si="12"/>
        <v>0</v>
      </c>
      <c r="N18" s="43"/>
      <c r="O18" s="43"/>
      <c r="P18" s="43"/>
      <c r="Q18" s="34">
        <f t="shared" si="13"/>
        <v>0</v>
      </c>
      <c r="R18" s="43"/>
      <c r="S18" s="43"/>
      <c r="T18" s="43"/>
      <c r="U18" s="34">
        <f t="shared" si="14"/>
        <v>0</v>
      </c>
      <c r="V18" s="34">
        <f t="shared" si="15"/>
        <v>0</v>
      </c>
    </row>
    <row r="19" spans="1:22" s="111" customFormat="1" ht="12.75" customHeight="1" outlineLevel="1">
      <c r="A19" s="465"/>
      <c r="B19" s="3"/>
      <c r="C19" s="116"/>
      <c r="D19" s="117" t="s">
        <v>173</v>
      </c>
      <c r="E19" s="7"/>
      <c r="F19" s="43"/>
      <c r="G19" s="43"/>
      <c r="H19" s="43"/>
      <c r="I19" s="34">
        <f t="shared" si="11"/>
        <v>0</v>
      </c>
      <c r="J19" s="43"/>
      <c r="K19" s="43"/>
      <c r="L19" s="43"/>
      <c r="M19" s="34">
        <f t="shared" si="12"/>
        <v>0</v>
      </c>
      <c r="N19" s="43"/>
      <c r="O19" s="43"/>
      <c r="P19" s="43"/>
      <c r="Q19" s="34">
        <f t="shared" si="13"/>
        <v>0</v>
      </c>
      <c r="R19" s="43"/>
      <c r="S19" s="43"/>
      <c r="T19" s="43"/>
      <c r="U19" s="34">
        <f t="shared" si="14"/>
        <v>0</v>
      </c>
      <c r="V19" s="34">
        <f t="shared" si="15"/>
        <v>0</v>
      </c>
    </row>
    <row r="20" spans="1:22" s="111" customFormat="1" ht="12.75" customHeight="1" outlineLevel="1">
      <c r="A20" s="465"/>
      <c r="B20" s="3"/>
      <c r="C20" s="116"/>
      <c r="D20" s="118" t="s">
        <v>174</v>
      </c>
      <c r="E20" s="7">
        <v>0</v>
      </c>
      <c r="F20" s="43"/>
      <c r="G20" s="43"/>
      <c r="H20" s="43"/>
      <c r="I20" s="34">
        <f t="shared" si="11"/>
        <v>0</v>
      </c>
      <c r="J20" s="43"/>
      <c r="K20" s="43"/>
      <c r="L20" s="43"/>
      <c r="M20" s="34">
        <f t="shared" si="12"/>
        <v>0</v>
      </c>
      <c r="N20" s="43"/>
      <c r="O20" s="43"/>
      <c r="P20" s="43"/>
      <c r="Q20" s="34">
        <f t="shared" si="13"/>
        <v>0</v>
      </c>
      <c r="R20" s="43"/>
      <c r="S20" s="43"/>
      <c r="T20" s="43"/>
      <c r="U20" s="34">
        <f t="shared" si="14"/>
        <v>0</v>
      </c>
      <c r="V20" s="34">
        <f t="shared" si="15"/>
        <v>0</v>
      </c>
    </row>
    <row r="21" spans="1:22" s="111" customFormat="1" ht="12.75" customHeight="1" outlineLevel="1">
      <c r="A21" s="465"/>
      <c r="B21" s="3"/>
      <c r="C21" s="468" t="s">
        <v>175</v>
      </c>
      <c r="D21" s="469"/>
      <c r="E21" s="7"/>
      <c r="F21" s="43"/>
      <c r="G21" s="43">
        <v>1000000</v>
      </c>
      <c r="H21" s="43">
        <v>1000000</v>
      </c>
      <c r="I21" s="34">
        <f t="shared" si="11"/>
        <v>2000000</v>
      </c>
      <c r="J21" s="43">
        <v>1000000</v>
      </c>
      <c r="K21" s="43">
        <v>1000000</v>
      </c>
      <c r="L21" s="43">
        <v>1000000</v>
      </c>
      <c r="M21" s="34">
        <f t="shared" si="12"/>
        <v>3000000</v>
      </c>
      <c r="N21" s="43">
        <v>1000000</v>
      </c>
      <c r="O21" s="43">
        <v>1000000</v>
      </c>
      <c r="P21" s="43">
        <v>1000000</v>
      </c>
      <c r="Q21" s="34">
        <f t="shared" si="13"/>
        <v>3000000</v>
      </c>
      <c r="R21" s="43">
        <v>1000000</v>
      </c>
      <c r="S21" s="43">
        <v>1000000</v>
      </c>
      <c r="T21" s="43">
        <v>1000000</v>
      </c>
      <c r="U21" s="34">
        <f t="shared" si="14"/>
        <v>3000000</v>
      </c>
      <c r="V21" s="34">
        <f t="shared" si="15"/>
        <v>11000000</v>
      </c>
    </row>
    <row r="22" spans="1:22" s="111" customFormat="1" ht="12.75" customHeight="1" outlineLevel="1">
      <c r="A22" s="465"/>
      <c r="B22" s="3"/>
      <c r="C22" s="468" t="s">
        <v>176</v>
      </c>
      <c r="D22" s="469"/>
      <c r="E22" s="7"/>
      <c r="F22" s="43"/>
      <c r="G22" s="43"/>
      <c r="H22" s="43"/>
      <c r="I22" s="34">
        <f t="shared" si="11"/>
        <v>0</v>
      </c>
      <c r="J22" s="43"/>
      <c r="K22" s="43"/>
      <c r="L22" s="43"/>
      <c r="M22" s="34">
        <f t="shared" si="12"/>
        <v>0</v>
      </c>
      <c r="N22" s="43"/>
      <c r="O22" s="43"/>
      <c r="P22" s="43"/>
      <c r="Q22" s="34">
        <f t="shared" si="13"/>
        <v>0</v>
      </c>
      <c r="R22" s="43"/>
      <c r="S22" s="43"/>
      <c r="T22" s="43"/>
      <c r="U22" s="34">
        <f t="shared" si="14"/>
        <v>0</v>
      </c>
      <c r="V22" s="34">
        <f t="shared" si="15"/>
        <v>0</v>
      </c>
    </row>
    <row r="23" spans="1:22" s="111" customFormat="1" ht="12.75" customHeight="1" outlineLevel="1">
      <c r="A23" s="465"/>
      <c r="B23" s="3"/>
      <c r="C23" s="457" t="s">
        <v>203</v>
      </c>
      <c r="D23" s="470"/>
      <c r="E23" s="7"/>
      <c r="F23" s="96">
        <v>1085000</v>
      </c>
      <c r="G23" s="96">
        <v>1085000</v>
      </c>
      <c r="H23" s="96">
        <v>1085000</v>
      </c>
      <c r="I23" s="34">
        <f>H23+G23+F23</f>
        <v>3255000</v>
      </c>
      <c r="J23" s="96">
        <v>1085000</v>
      </c>
      <c r="K23" s="96">
        <v>1085000</v>
      </c>
      <c r="L23" s="96">
        <v>1085000</v>
      </c>
      <c r="M23" s="34">
        <f>L23+K23+J23</f>
        <v>3255000</v>
      </c>
      <c r="N23" s="96">
        <v>1085000</v>
      </c>
      <c r="O23" s="96">
        <v>1085000</v>
      </c>
      <c r="P23" s="96">
        <v>1085000</v>
      </c>
      <c r="Q23" s="34">
        <f>P23+O23+N23</f>
        <v>3255000</v>
      </c>
      <c r="R23" s="96">
        <v>1085000</v>
      </c>
      <c r="S23" s="96">
        <v>1085000</v>
      </c>
      <c r="T23" s="96">
        <v>1085000</v>
      </c>
      <c r="U23" s="34">
        <f t="shared" ref="U23:U24" si="16">T23+S23+R23</f>
        <v>3255000</v>
      </c>
      <c r="V23" s="34">
        <f t="shared" ref="V23:V24" si="17">U23+Q23+M23+I23</f>
        <v>13020000</v>
      </c>
    </row>
    <row r="24" spans="1:22" s="111" customFormat="1" ht="12.75" customHeight="1" outlineLevel="1">
      <c r="A24" s="465"/>
      <c r="B24" s="3"/>
      <c r="C24" s="457" t="s">
        <v>184</v>
      </c>
      <c r="D24" s="458"/>
      <c r="E24" s="7"/>
      <c r="F24" s="96"/>
      <c r="G24" s="96"/>
      <c r="H24" s="96"/>
      <c r="I24" s="34">
        <f t="shared" ref="I24:I25" si="18">H24+G24+F24</f>
        <v>0</v>
      </c>
      <c r="J24" s="96"/>
      <c r="K24" s="96"/>
      <c r="L24" s="96"/>
      <c r="M24" s="34">
        <f t="shared" ref="M24:M25" si="19">L24+K24+J24</f>
        <v>0</v>
      </c>
      <c r="N24" s="96"/>
      <c r="O24" s="96"/>
      <c r="P24" s="96"/>
      <c r="Q24" s="34">
        <f t="shared" ref="Q24:Q25" si="20">P24+O24+N24</f>
        <v>0</v>
      </c>
      <c r="R24" s="96"/>
      <c r="S24" s="96"/>
      <c r="T24" s="96"/>
      <c r="U24" s="34">
        <f t="shared" si="16"/>
        <v>0</v>
      </c>
      <c r="V24" s="34">
        <f t="shared" si="17"/>
        <v>0</v>
      </c>
    </row>
    <row r="25" spans="1:22" s="111" customFormat="1" ht="12.75" customHeight="1" outlineLevel="1">
      <c r="A25" s="465"/>
      <c r="B25" s="3"/>
      <c r="C25" s="457" t="s">
        <v>183</v>
      </c>
      <c r="D25" s="458"/>
      <c r="E25" s="7">
        <v>0</v>
      </c>
      <c r="F25" s="96">
        <v>15000</v>
      </c>
      <c r="G25" s="96">
        <v>15000</v>
      </c>
      <c r="H25" s="96">
        <v>15000</v>
      </c>
      <c r="I25" s="34">
        <f t="shared" si="18"/>
        <v>45000</v>
      </c>
      <c r="J25" s="96">
        <v>15000</v>
      </c>
      <c r="K25" s="96">
        <v>15000</v>
      </c>
      <c r="L25" s="96">
        <v>15000</v>
      </c>
      <c r="M25" s="34">
        <f t="shared" si="19"/>
        <v>45000</v>
      </c>
      <c r="N25" s="96">
        <v>15000</v>
      </c>
      <c r="O25" s="96">
        <v>15000</v>
      </c>
      <c r="P25" s="96">
        <v>15000</v>
      </c>
      <c r="Q25" s="34">
        <f t="shared" si="20"/>
        <v>45000</v>
      </c>
      <c r="R25" s="96">
        <v>15000</v>
      </c>
      <c r="S25" s="96">
        <v>15000</v>
      </c>
      <c r="T25" s="96">
        <v>15000</v>
      </c>
      <c r="U25" s="34">
        <f t="shared" ref="U25" si="21">T25+S25+R25</f>
        <v>45000</v>
      </c>
      <c r="V25" s="34">
        <f t="shared" ref="V25" si="22">U25+Q25+M25+I25</f>
        <v>180000</v>
      </c>
    </row>
    <row r="26" spans="1:22" s="111" customFormat="1" ht="12.75" customHeight="1">
      <c r="A26" s="459" t="s">
        <v>177</v>
      </c>
      <c r="B26" s="460"/>
      <c r="C26" s="460"/>
      <c r="D26" s="461"/>
      <c r="E26" s="8"/>
      <c r="F26" s="44">
        <f t="shared" ref="F26:Q26" si="23">SUM(F16:F25)</f>
        <v>1100000</v>
      </c>
      <c r="G26" s="44">
        <f t="shared" si="23"/>
        <v>2100000</v>
      </c>
      <c r="H26" s="44">
        <f t="shared" ref="H26" si="24">SUM(H16:H25)</f>
        <v>2100000</v>
      </c>
      <c r="I26" s="35">
        <f t="shared" si="23"/>
        <v>5300000</v>
      </c>
      <c r="J26" s="44">
        <f t="shared" ref="J26:L26" si="25">SUM(J16:J25)</f>
        <v>2100000</v>
      </c>
      <c r="K26" s="44">
        <f t="shared" si="25"/>
        <v>2100000</v>
      </c>
      <c r="L26" s="44">
        <f t="shared" si="25"/>
        <v>2100000</v>
      </c>
      <c r="M26" s="35">
        <f t="shared" si="23"/>
        <v>6300000</v>
      </c>
      <c r="N26" s="44">
        <f t="shared" ref="N26:P26" si="26">SUM(N16:N25)</f>
        <v>2100000</v>
      </c>
      <c r="O26" s="44">
        <f t="shared" si="26"/>
        <v>2100000</v>
      </c>
      <c r="P26" s="44">
        <f t="shared" si="26"/>
        <v>2100000</v>
      </c>
      <c r="Q26" s="35">
        <f t="shared" si="23"/>
        <v>6300000</v>
      </c>
      <c r="R26" s="44">
        <f t="shared" ref="R26:T26" si="27">SUM(R16:R25)</f>
        <v>2100000</v>
      </c>
      <c r="S26" s="44">
        <f t="shared" si="27"/>
        <v>2100000</v>
      </c>
      <c r="T26" s="44">
        <f t="shared" si="27"/>
        <v>2100000</v>
      </c>
      <c r="U26" s="35">
        <f t="shared" ref="U26:V26" si="28">SUM(U16:U25)</f>
        <v>6300000</v>
      </c>
      <c r="V26" s="35">
        <f t="shared" si="28"/>
        <v>24200000</v>
      </c>
    </row>
    <row r="27" spans="1:22" s="111" customFormat="1" ht="8.25" customHeight="1">
      <c r="A27" s="122"/>
      <c r="B27" s="123"/>
      <c r="C27" s="123"/>
      <c r="D27" s="124"/>
      <c r="E27" s="8"/>
      <c r="F27" s="43"/>
      <c r="G27" s="43"/>
      <c r="H27" s="43"/>
      <c r="I27" s="34"/>
      <c r="J27" s="43"/>
      <c r="K27" s="43"/>
      <c r="L27" s="43"/>
      <c r="M27" s="34"/>
      <c r="N27" s="43"/>
      <c r="O27" s="43"/>
      <c r="P27" s="43"/>
      <c r="Q27" s="34"/>
      <c r="R27" s="43"/>
      <c r="S27" s="43"/>
      <c r="T27" s="43"/>
      <c r="U27" s="34"/>
      <c r="V27" s="34"/>
    </row>
    <row r="28" spans="1:22" s="111" customFormat="1" ht="12.75" customHeight="1">
      <c r="A28" s="462" t="s">
        <v>178</v>
      </c>
      <c r="B28" s="463"/>
      <c r="C28" s="463"/>
      <c r="D28" s="464"/>
      <c r="E28" s="8"/>
      <c r="F28" s="43"/>
      <c r="G28" s="43"/>
      <c r="H28" s="43"/>
      <c r="I28" s="34"/>
      <c r="J28" s="43"/>
      <c r="K28" s="43"/>
      <c r="L28" s="43"/>
      <c r="M28" s="34"/>
      <c r="N28" s="43"/>
      <c r="O28" s="43"/>
      <c r="P28" s="43"/>
      <c r="Q28" s="34"/>
      <c r="R28" s="43"/>
      <c r="S28" s="43"/>
      <c r="T28" s="43"/>
      <c r="U28" s="34"/>
      <c r="V28" s="34"/>
    </row>
    <row r="29" spans="1:22" s="111" customFormat="1" ht="12.75" customHeight="1">
      <c r="A29" s="125"/>
      <c r="B29" s="4"/>
      <c r="C29" s="455" t="s">
        <v>179</v>
      </c>
      <c r="D29" s="456"/>
      <c r="E29" s="8"/>
      <c r="F29" s="44">
        <f t="shared" ref="F29:Q29" si="29">F12-F26</f>
        <v>-1100000</v>
      </c>
      <c r="G29" s="44">
        <f t="shared" si="29"/>
        <v>117900000</v>
      </c>
      <c r="H29" s="44">
        <f t="shared" ref="H29" si="30">H12-H26</f>
        <v>117900000</v>
      </c>
      <c r="I29" s="35">
        <f t="shared" si="29"/>
        <v>234700000</v>
      </c>
      <c r="J29" s="44">
        <f t="shared" ref="J29:L29" si="31">J12-J26</f>
        <v>117900000</v>
      </c>
      <c r="K29" s="44">
        <f t="shared" si="31"/>
        <v>117900000</v>
      </c>
      <c r="L29" s="44">
        <f t="shared" si="31"/>
        <v>117900000</v>
      </c>
      <c r="M29" s="35">
        <f t="shared" si="29"/>
        <v>353700000</v>
      </c>
      <c r="N29" s="44">
        <f t="shared" ref="N29:P29" si="32">N12-N26</f>
        <v>117900000</v>
      </c>
      <c r="O29" s="44">
        <f t="shared" si="32"/>
        <v>117900000</v>
      </c>
      <c r="P29" s="44">
        <f t="shared" si="32"/>
        <v>117900000</v>
      </c>
      <c r="Q29" s="35">
        <f t="shared" si="29"/>
        <v>353700000</v>
      </c>
      <c r="R29" s="44">
        <f t="shared" ref="R29:T29" si="33">R12-R26</f>
        <v>117900000</v>
      </c>
      <c r="S29" s="44">
        <f t="shared" si="33"/>
        <v>117900000</v>
      </c>
      <c r="T29" s="44">
        <f t="shared" si="33"/>
        <v>117900000</v>
      </c>
      <c r="U29" s="35">
        <f t="shared" ref="U29:V29" si="34">U12-U26</f>
        <v>353700000</v>
      </c>
      <c r="V29" s="35">
        <f t="shared" si="34"/>
        <v>1295800000</v>
      </c>
    </row>
    <row r="30" spans="1:22" s="111" customFormat="1" ht="12.75" customHeight="1">
      <c r="A30" s="121"/>
      <c r="B30" s="3"/>
      <c r="C30" s="3"/>
      <c r="D30" s="118" t="s">
        <v>180</v>
      </c>
      <c r="E30" s="7"/>
      <c r="F30" s="126">
        <f t="shared" ref="F30:Q30" si="35">IF(F12=0,0,F29/F12)</f>
        <v>0</v>
      </c>
      <c r="G30" s="126">
        <f t="shared" si="35"/>
        <v>0.98250000000000004</v>
      </c>
      <c r="H30" s="126">
        <f t="shared" ref="H30" si="36">IF(H12=0,0,H29/H12)</f>
        <v>0.98250000000000004</v>
      </c>
      <c r="I30" s="127">
        <f t="shared" si="35"/>
        <v>0.97791666666666666</v>
      </c>
      <c r="J30" s="126">
        <f t="shared" ref="J30:L30" si="37">IF(J12=0,0,J29/J12)</f>
        <v>0.98250000000000004</v>
      </c>
      <c r="K30" s="126">
        <f t="shared" si="37"/>
        <v>0.98250000000000004</v>
      </c>
      <c r="L30" s="126">
        <f t="shared" si="37"/>
        <v>0.98250000000000004</v>
      </c>
      <c r="M30" s="127">
        <f t="shared" si="35"/>
        <v>0.98250000000000004</v>
      </c>
      <c r="N30" s="126">
        <f t="shared" ref="N30:P30" si="38">IF(N12=0,0,N29/N12)</f>
        <v>0.98250000000000004</v>
      </c>
      <c r="O30" s="126">
        <f t="shared" si="38"/>
        <v>0.98250000000000004</v>
      </c>
      <c r="P30" s="126">
        <f t="shared" si="38"/>
        <v>0.98250000000000004</v>
      </c>
      <c r="Q30" s="127">
        <f t="shared" si="35"/>
        <v>0.98250000000000004</v>
      </c>
      <c r="R30" s="126">
        <f t="shared" ref="R30:T30" si="39">IF(R12=0,0,R29/R12)</f>
        <v>0.98250000000000004</v>
      </c>
      <c r="S30" s="126">
        <f t="shared" si="39"/>
        <v>0.98250000000000004</v>
      </c>
      <c r="T30" s="126">
        <f t="shared" si="39"/>
        <v>0.98250000000000004</v>
      </c>
      <c r="U30" s="127">
        <f t="shared" ref="U30:V30" si="40">IF(U12=0,0,U29/U12)</f>
        <v>0.98250000000000004</v>
      </c>
      <c r="V30" s="127">
        <f t="shared" si="40"/>
        <v>0.98166666666666669</v>
      </c>
    </row>
    <row r="31" spans="1:22" ht="13.15" outlineLevel="1">
      <c r="A31" s="21" t="s">
        <v>49</v>
      </c>
      <c r="B31" s="22"/>
      <c r="C31" s="22"/>
      <c r="D31" s="22"/>
      <c r="F31" s="43"/>
      <c r="G31" s="43"/>
      <c r="H31" s="43"/>
      <c r="I31" s="34"/>
      <c r="J31" s="43"/>
      <c r="K31" s="43"/>
      <c r="L31" s="43"/>
      <c r="M31" s="34"/>
      <c r="N31" s="43"/>
      <c r="O31" s="43"/>
      <c r="P31" s="43"/>
      <c r="Q31" s="34"/>
      <c r="R31" s="43"/>
      <c r="S31" s="43"/>
      <c r="T31" s="43"/>
      <c r="U31" s="34"/>
      <c r="V31" s="34"/>
    </row>
    <row r="32" spans="1:22" ht="13.5" outlineLevel="2">
      <c r="A32" s="22"/>
      <c r="B32" s="22"/>
      <c r="C32" s="23" t="s">
        <v>37</v>
      </c>
      <c r="D32" s="24"/>
      <c r="E32" s="8"/>
      <c r="F32" s="43"/>
      <c r="G32" s="43"/>
      <c r="H32" s="43"/>
      <c r="I32" s="34"/>
      <c r="J32" s="43"/>
      <c r="K32" s="43"/>
      <c r="L32" s="43"/>
      <c r="M32" s="34"/>
      <c r="N32" s="43"/>
      <c r="O32" s="43"/>
      <c r="P32" s="43"/>
      <c r="Q32" s="34"/>
      <c r="R32" s="43"/>
      <c r="S32" s="43"/>
      <c r="T32" s="43"/>
      <c r="U32" s="34"/>
      <c r="V32" s="34"/>
    </row>
    <row r="33" spans="1:22" ht="13.15" outlineLevel="2">
      <c r="A33" s="22"/>
      <c r="B33" s="22"/>
      <c r="C33" s="22"/>
      <c r="D33" s="25" t="s">
        <v>27</v>
      </c>
      <c r="E33" s="7">
        <v>0</v>
      </c>
      <c r="F33" s="43">
        <v>30000000</v>
      </c>
      <c r="G33" s="43">
        <v>30000000</v>
      </c>
      <c r="H33" s="43">
        <v>30000000</v>
      </c>
      <c r="I33" s="34">
        <f>SUM(F33:H33)</f>
        <v>90000000</v>
      </c>
      <c r="J33" s="43">
        <v>30000000</v>
      </c>
      <c r="K33" s="43">
        <v>30000000</v>
      </c>
      <c r="L33" s="43">
        <v>30000000</v>
      </c>
      <c r="M33" s="34">
        <f>SUM(J33:L33)</f>
        <v>90000000</v>
      </c>
      <c r="N33" s="43">
        <v>30000000</v>
      </c>
      <c r="O33" s="43">
        <v>30000000</v>
      </c>
      <c r="P33" s="43">
        <v>30000000</v>
      </c>
      <c r="Q33" s="34">
        <f>SUM(N33:P33)</f>
        <v>90000000</v>
      </c>
      <c r="R33" s="43">
        <v>30000000</v>
      </c>
      <c r="S33" s="43">
        <v>30000000</v>
      </c>
      <c r="T33" s="43">
        <v>30000000</v>
      </c>
      <c r="U33" s="34">
        <f>SUM(R33:T33)</f>
        <v>90000000</v>
      </c>
      <c r="V33" s="34">
        <f t="shared" ref="V33:V37" si="41">I33+M33+Q33+U33</f>
        <v>360000000</v>
      </c>
    </row>
    <row r="34" spans="1:22" ht="13.15" outlineLevel="2">
      <c r="A34" s="22"/>
      <c r="B34" s="22"/>
      <c r="C34" s="22"/>
      <c r="D34" s="25" t="s">
        <v>73</v>
      </c>
      <c r="F34" s="43">
        <v>0</v>
      </c>
      <c r="G34" s="43">
        <v>0</v>
      </c>
      <c r="H34" s="43">
        <v>0</v>
      </c>
      <c r="I34" s="34">
        <f>SUM(F34:H34)</f>
        <v>0</v>
      </c>
      <c r="J34" s="43">
        <v>0</v>
      </c>
      <c r="K34" s="43">
        <v>0</v>
      </c>
      <c r="L34" s="43">
        <v>0</v>
      </c>
      <c r="M34" s="34">
        <f>SUM(J34:L34)</f>
        <v>0</v>
      </c>
      <c r="N34" s="43">
        <v>0</v>
      </c>
      <c r="O34" s="43">
        <v>0</v>
      </c>
      <c r="P34" s="43">
        <v>0</v>
      </c>
      <c r="Q34" s="34">
        <f>SUM(N34:P34)</f>
        <v>0</v>
      </c>
      <c r="R34" s="43">
        <v>0</v>
      </c>
      <c r="S34" s="43">
        <v>0</v>
      </c>
      <c r="T34" s="43">
        <v>0</v>
      </c>
      <c r="U34" s="34">
        <f>SUM(R34:T34)</f>
        <v>0</v>
      </c>
      <c r="V34" s="34">
        <f t="shared" si="41"/>
        <v>0</v>
      </c>
    </row>
    <row r="35" spans="1:22" ht="13.15" outlineLevel="2">
      <c r="A35" s="22"/>
      <c r="B35" s="22"/>
      <c r="C35" s="22"/>
      <c r="D35" s="25" t="s">
        <v>55</v>
      </c>
      <c r="E35" s="7">
        <v>0</v>
      </c>
      <c r="F35" s="43"/>
      <c r="G35" s="43"/>
      <c r="H35" s="43"/>
      <c r="I35" s="34">
        <f>SUM(F35:H35)</f>
        <v>0</v>
      </c>
      <c r="J35" s="43"/>
      <c r="K35" s="43"/>
      <c r="L35" s="43"/>
      <c r="M35" s="34">
        <f>SUM(J35:L35)</f>
        <v>0</v>
      </c>
      <c r="N35" s="43"/>
      <c r="O35" s="43"/>
      <c r="P35" s="43"/>
      <c r="Q35" s="34">
        <f>SUM(N35:P35)</f>
        <v>0</v>
      </c>
      <c r="R35" s="43"/>
      <c r="S35" s="43"/>
      <c r="T35" s="43"/>
      <c r="U35" s="34">
        <f>SUM(R35:T35)</f>
        <v>0</v>
      </c>
      <c r="V35" s="34">
        <f t="shared" si="41"/>
        <v>0</v>
      </c>
    </row>
    <row r="36" spans="1:22" ht="13.15" outlineLevel="2">
      <c r="A36" s="22"/>
      <c r="B36" s="22"/>
      <c r="C36" s="22"/>
      <c r="D36" s="25" t="s">
        <v>96</v>
      </c>
      <c r="E36" s="7">
        <v>0</v>
      </c>
      <c r="F36" s="43">
        <v>3000000</v>
      </c>
      <c r="G36" s="43">
        <v>3000000</v>
      </c>
      <c r="H36" s="43">
        <v>3000000</v>
      </c>
      <c r="I36" s="34">
        <f>SUM(F36:H36)</f>
        <v>9000000</v>
      </c>
      <c r="J36" s="43">
        <v>3000000</v>
      </c>
      <c r="K36" s="43">
        <v>3000000</v>
      </c>
      <c r="L36" s="43">
        <v>3000000</v>
      </c>
      <c r="M36" s="34">
        <f>SUM(J36:L36)</f>
        <v>9000000</v>
      </c>
      <c r="N36" s="43">
        <v>3000000</v>
      </c>
      <c r="O36" s="43">
        <v>3000000</v>
      </c>
      <c r="P36" s="43">
        <v>3000000</v>
      </c>
      <c r="Q36" s="34">
        <f>SUM(N36:P36)</f>
        <v>9000000</v>
      </c>
      <c r="R36" s="43">
        <v>3000000</v>
      </c>
      <c r="S36" s="43">
        <v>3000000</v>
      </c>
      <c r="T36" s="43">
        <v>3000000</v>
      </c>
      <c r="U36" s="34">
        <f>SUM(R36:T36)</f>
        <v>9000000</v>
      </c>
      <c r="V36" s="34">
        <f t="shared" si="41"/>
        <v>36000000</v>
      </c>
    </row>
    <row r="37" spans="1:22" ht="13.15" outlineLevel="1">
      <c r="A37" s="24"/>
      <c r="B37" s="24" t="s">
        <v>0</v>
      </c>
      <c r="C37" s="24"/>
      <c r="D37" s="24"/>
      <c r="E37" s="8"/>
      <c r="F37" s="44">
        <f t="shared" ref="F37" si="42">SUM(F33:F36)</f>
        <v>33000000</v>
      </c>
      <c r="G37" s="44">
        <f t="shared" ref="G37:H37" si="43">SUM(G33:G36)</f>
        <v>33000000</v>
      </c>
      <c r="H37" s="44">
        <f t="shared" si="43"/>
        <v>33000000</v>
      </c>
      <c r="I37" s="35">
        <f>SUM(I33:I36)</f>
        <v>99000000</v>
      </c>
      <c r="J37" s="44">
        <f t="shared" ref="J37:L37" si="44">SUM(J33:J36)</f>
        <v>33000000</v>
      </c>
      <c r="K37" s="44">
        <f t="shared" si="44"/>
        <v>33000000</v>
      </c>
      <c r="L37" s="44">
        <f t="shared" si="44"/>
        <v>33000000</v>
      </c>
      <c r="M37" s="35">
        <f>SUM(M33:M36)</f>
        <v>99000000</v>
      </c>
      <c r="N37" s="44">
        <f t="shared" ref="N37:P37" si="45">SUM(N33:N36)</f>
        <v>33000000</v>
      </c>
      <c r="O37" s="44">
        <f t="shared" si="45"/>
        <v>33000000</v>
      </c>
      <c r="P37" s="44">
        <f t="shared" si="45"/>
        <v>33000000</v>
      </c>
      <c r="Q37" s="35">
        <f>SUM(Q33:Q36)</f>
        <v>99000000</v>
      </c>
      <c r="R37" s="44">
        <f t="shared" ref="R37:T37" si="46">SUM(R33:R36)</f>
        <v>33000000</v>
      </c>
      <c r="S37" s="44">
        <f t="shared" si="46"/>
        <v>33000000</v>
      </c>
      <c r="T37" s="44">
        <f t="shared" si="46"/>
        <v>33000000</v>
      </c>
      <c r="U37" s="35">
        <f>SUM(U33:U36)</f>
        <v>99000000</v>
      </c>
      <c r="V37" s="35">
        <f t="shared" si="41"/>
        <v>396000000</v>
      </c>
    </row>
    <row r="38" spans="1:22" ht="13.15" outlineLevel="2">
      <c r="A38" s="22"/>
      <c r="B38" s="22"/>
      <c r="C38" s="23" t="s">
        <v>38</v>
      </c>
      <c r="D38" s="22"/>
      <c r="F38" s="43"/>
      <c r="G38" s="43"/>
      <c r="H38" s="43"/>
      <c r="I38" s="34"/>
      <c r="J38" s="43"/>
      <c r="K38" s="43"/>
      <c r="L38" s="43"/>
      <c r="M38" s="34"/>
      <c r="N38" s="43"/>
      <c r="O38" s="43"/>
      <c r="P38" s="43"/>
      <c r="Q38" s="34"/>
      <c r="R38" s="43"/>
      <c r="S38" s="43"/>
      <c r="T38" s="43"/>
      <c r="U38" s="34"/>
      <c r="V38" s="34"/>
    </row>
    <row r="39" spans="1:22" ht="13.15" outlineLevel="2">
      <c r="A39" s="22"/>
      <c r="B39" s="22"/>
      <c r="C39" s="22"/>
      <c r="D39" s="25" t="s">
        <v>30</v>
      </c>
      <c r="E39" s="7">
        <v>0</v>
      </c>
      <c r="F39" s="43">
        <v>1500000</v>
      </c>
      <c r="G39" s="43">
        <v>1500000</v>
      </c>
      <c r="H39" s="43">
        <v>1500000</v>
      </c>
      <c r="I39" s="34">
        <f t="shared" ref="I39:I50" si="47">SUM(F39:H39)</f>
        <v>4500000</v>
      </c>
      <c r="J39" s="43">
        <v>1500000</v>
      </c>
      <c r="K39" s="43">
        <v>1500000</v>
      </c>
      <c r="L39" s="43">
        <v>1500000</v>
      </c>
      <c r="M39" s="34">
        <f t="shared" ref="M39:M50" si="48">SUM(J39:L39)</f>
        <v>4500000</v>
      </c>
      <c r="N39" s="43">
        <v>1500000</v>
      </c>
      <c r="O39" s="43">
        <v>1500000</v>
      </c>
      <c r="P39" s="43">
        <v>1500000</v>
      </c>
      <c r="Q39" s="34">
        <f t="shared" ref="Q39:Q50" si="49">SUM(N39:P39)</f>
        <v>4500000</v>
      </c>
      <c r="R39" s="43">
        <v>1500000</v>
      </c>
      <c r="S39" s="43">
        <v>1500000</v>
      </c>
      <c r="T39" s="43">
        <v>1500000</v>
      </c>
      <c r="U39" s="34">
        <f t="shared" ref="U39:U50" si="50">SUM(R39:T39)</f>
        <v>4500000</v>
      </c>
      <c r="V39" s="34">
        <f t="shared" ref="V39:V53" si="51">I39+M39+Q39+U39</f>
        <v>18000000</v>
      </c>
    </row>
    <row r="40" spans="1:22" ht="13.15" outlineLevel="2">
      <c r="A40" s="22"/>
      <c r="B40" s="22"/>
      <c r="C40" s="22"/>
      <c r="D40" s="25" t="s">
        <v>31</v>
      </c>
      <c r="E40" s="7">
        <v>0</v>
      </c>
      <c r="F40" s="43">
        <v>1500000</v>
      </c>
      <c r="G40" s="43">
        <v>1500000</v>
      </c>
      <c r="H40" s="43">
        <v>1500000</v>
      </c>
      <c r="I40" s="34">
        <f t="shared" si="47"/>
        <v>4500000</v>
      </c>
      <c r="J40" s="43">
        <v>1500000</v>
      </c>
      <c r="K40" s="43">
        <v>1500000</v>
      </c>
      <c r="L40" s="43">
        <v>1500000</v>
      </c>
      <c r="M40" s="34">
        <f t="shared" si="48"/>
        <v>4500000</v>
      </c>
      <c r="N40" s="43">
        <v>1500000</v>
      </c>
      <c r="O40" s="43">
        <v>1500000</v>
      </c>
      <c r="P40" s="43">
        <v>1500000</v>
      </c>
      <c r="Q40" s="34">
        <f t="shared" si="49"/>
        <v>4500000</v>
      </c>
      <c r="R40" s="43">
        <v>1500000</v>
      </c>
      <c r="S40" s="43">
        <v>1500000</v>
      </c>
      <c r="T40" s="43">
        <v>1500000</v>
      </c>
      <c r="U40" s="34">
        <f t="shared" si="50"/>
        <v>4500000</v>
      </c>
      <c r="V40" s="34">
        <f t="shared" si="51"/>
        <v>18000000</v>
      </c>
    </row>
    <row r="41" spans="1:22" ht="13.15" outlineLevel="2">
      <c r="A41" s="22"/>
      <c r="B41" s="22"/>
      <c r="C41" s="22"/>
      <c r="D41" s="25" t="s">
        <v>32</v>
      </c>
      <c r="E41" s="7">
        <v>0</v>
      </c>
      <c r="F41" s="43">
        <v>400000</v>
      </c>
      <c r="G41" s="43">
        <v>400000</v>
      </c>
      <c r="H41" s="43">
        <v>400000</v>
      </c>
      <c r="I41" s="34">
        <f t="shared" si="47"/>
        <v>1200000</v>
      </c>
      <c r="J41" s="43">
        <v>400000</v>
      </c>
      <c r="K41" s="43">
        <v>400000</v>
      </c>
      <c r="L41" s="43">
        <v>400000</v>
      </c>
      <c r="M41" s="34">
        <f t="shared" si="48"/>
        <v>1200000</v>
      </c>
      <c r="N41" s="43">
        <v>400000</v>
      </c>
      <c r="O41" s="43">
        <v>400000</v>
      </c>
      <c r="P41" s="43">
        <v>400000</v>
      </c>
      <c r="Q41" s="34">
        <f t="shared" si="49"/>
        <v>1200000</v>
      </c>
      <c r="R41" s="43">
        <v>400000</v>
      </c>
      <c r="S41" s="43">
        <v>400000</v>
      </c>
      <c r="T41" s="43">
        <v>400000</v>
      </c>
      <c r="U41" s="34">
        <f t="shared" si="50"/>
        <v>1200000</v>
      </c>
      <c r="V41" s="34">
        <f t="shared" si="51"/>
        <v>4800000</v>
      </c>
    </row>
    <row r="42" spans="1:22" ht="13.15" outlineLevel="2">
      <c r="A42" s="22"/>
      <c r="B42" s="22"/>
      <c r="C42" s="22"/>
      <c r="D42" s="25" t="s">
        <v>98</v>
      </c>
      <c r="E42" s="7">
        <v>0</v>
      </c>
      <c r="F42" s="43">
        <v>200000</v>
      </c>
      <c r="G42" s="43">
        <v>200000</v>
      </c>
      <c r="H42" s="43">
        <v>200000</v>
      </c>
      <c r="I42" s="34">
        <f t="shared" si="47"/>
        <v>600000</v>
      </c>
      <c r="J42" s="43">
        <v>200000</v>
      </c>
      <c r="K42" s="43">
        <v>200000</v>
      </c>
      <c r="L42" s="43">
        <v>200000</v>
      </c>
      <c r="M42" s="34">
        <f t="shared" si="48"/>
        <v>600000</v>
      </c>
      <c r="N42" s="43">
        <v>200000</v>
      </c>
      <c r="O42" s="43">
        <v>200000</v>
      </c>
      <c r="P42" s="43">
        <v>200000</v>
      </c>
      <c r="Q42" s="34">
        <f t="shared" si="49"/>
        <v>600000</v>
      </c>
      <c r="R42" s="43">
        <v>200000</v>
      </c>
      <c r="S42" s="43">
        <v>200000</v>
      </c>
      <c r="T42" s="43">
        <v>200000</v>
      </c>
      <c r="U42" s="34">
        <f t="shared" ref="U42" si="52">SUM(R42:T42)</f>
        <v>600000</v>
      </c>
      <c r="V42" s="34">
        <f t="shared" si="51"/>
        <v>2400000</v>
      </c>
    </row>
    <row r="43" spans="1:22" ht="13.15" outlineLevel="2">
      <c r="A43" s="22"/>
      <c r="B43" s="22"/>
      <c r="C43" s="22"/>
      <c r="D43" s="25" t="s">
        <v>56</v>
      </c>
      <c r="E43" s="7">
        <v>0</v>
      </c>
      <c r="F43" s="43"/>
      <c r="G43" s="43"/>
      <c r="H43" s="43"/>
      <c r="I43" s="34">
        <f t="shared" si="47"/>
        <v>0</v>
      </c>
      <c r="J43" s="43"/>
      <c r="K43" s="43"/>
      <c r="L43" s="43"/>
      <c r="M43" s="34">
        <f t="shared" si="48"/>
        <v>0</v>
      </c>
      <c r="N43" s="43"/>
      <c r="O43" s="43"/>
      <c r="P43" s="43"/>
      <c r="Q43" s="34">
        <f t="shared" si="49"/>
        <v>0</v>
      </c>
      <c r="R43" s="43"/>
      <c r="S43" s="43"/>
      <c r="T43" s="43"/>
      <c r="U43" s="34">
        <f t="shared" si="50"/>
        <v>0</v>
      </c>
      <c r="V43" s="34">
        <f t="shared" si="51"/>
        <v>0</v>
      </c>
    </row>
    <row r="44" spans="1:22" ht="13.15" outlineLevel="2">
      <c r="A44" s="22"/>
      <c r="B44" s="22"/>
      <c r="C44" s="22"/>
      <c r="D44" s="25" t="s">
        <v>57</v>
      </c>
      <c r="F44" s="43">
        <v>210000</v>
      </c>
      <c r="G44" s="43">
        <v>210000</v>
      </c>
      <c r="H44" s="43">
        <v>210000</v>
      </c>
      <c r="I44" s="34">
        <f t="shared" si="47"/>
        <v>630000</v>
      </c>
      <c r="J44" s="43">
        <v>210000</v>
      </c>
      <c r="K44" s="43">
        <v>210000</v>
      </c>
      <c r="L44" s="43">
        <v>210000</v>
      </c>
      <c r="M44" s="34">
        <f t="shared" si="48"/>
        <v>630000</v>
      </c>
      <c r="N44" s="43">
        <v>210000</v>
      </c>
      <c r="O44" s="43">
        <v>210000</v>
      </c>
      <c r="P44" s="43">
        <v>210000</v>
      </c>
      <c r="Q44" s="34">
        <f t="shared" si="49"/>
        <v>630000</v>
      </c>
      <c r="R44" s="43">
        <v>210000</v>
      </c>
      <c r="S44" s="43">
        <v>210000</v>
      </c>
      <c r="T44" s="43">
        <v>210000</v>
      </c>
      <c r="U44" s="34">
        <f t="shared" si="50"/>
        <v>630000</v>
      </c>
      <c r="V44" s="34">
        <f t="shared" si="51"/>
        <v>2520000</v>
      </c>
    </row>
    <row r="45" spans="1:22" ht="13.15" outlineLevel="2">
      <c r="A45" s="22"/>
      <c r="B45" s="22"/>
      <c r="C45" s="22"/>
      <c r="D45" s="25" t="s">
        <v>54</v>
      </c>
      <c r="E45" s="7">
        <v>0</v>
      </c>
      <c r="F45" s="43">
        <v>100000</v>
      </c>
      <c r="G45" s="43">
        <v>100000</v>
      </c>
      <c r="H45" s="43">
        <v>100000</v>
      </c>
      <c r="I45" s="34">
        <f t="shared" si="47"/>
        <v>300000</v>
      </c>
      <c r="J45" s="43">
        <v>100000</v>
      </c>
      <c r="K45" s="43">
        <v>100000</v>
      </c>
      <c r="L45" s="43">
        <v>100000</v>
      </c>
      <c r="M45" s="34">
        <f t="shared" si="48"/>
        <v>300000</v>
      </c>
      <c r="N45" s="43">
        <v>100000</v>
      </c>
      <c r="O45" s="43">
        <v>100000</v>
      </c>
      <c r="P45" s="43">
        <v>100000</v>
      </c>
      <c r="Q45" s="34">
        <f t="shared" si="49"/>
        <v>300000</v>
      </c>
      <c r="R45" s="43">
        <v>100000</v>
      </c>
      <c r="S45" s="43">
        <v>100000</v>
      </c>
      <c r="T45" s="43">
        <v>100000</v>
      </c>
      <c r="U45" s="34">
        <f t="shared" si="50"/>
        <v>300000</v>
      </c>
      <c r="V45" s="34">
        <f t="shared" si="51"/>
        <v>1200000</v>
      </c>
    </row>
    <row r="46" spans="1:22" ht="13.15" outlineLevel="2">
      <c r="A46" s="22"/>
      <c r="B46" s="22"/>
      <c r="C46" s="22"/>
      <c r="D46" s="25" t="s">
        <v>34</v>
      </c>
      <c r="E46" s="7">
        <v>0</v>
      </c>
      <c r="F46" s="43"/>
      <c r="G46" s="43"/>
      <c r="H46" s="43"/>
      <c r="I46" s="34">
        <f t="shared" si="47"/>
        <v>0</v>
      </c>
      <c r="J46" s="43"/>
      <c r="K46" s="43"/>
      <c r="L46" s="43"/>
      <c r="M46" s="34">
        <f t="shared" si="48"/>
        <v>0</v>
      </c>
      <c r="N46" s="43"/>
      <c r="O46" s="43"/>
      <c r="P46" s="43"/>
      <c r="Q46" s="34">
        <f t="shared" si="49"/>
        <v>0</v>
      </c>
      <c r="R46" s="43"/>
      <c r="S46" s="43"/>
      <c r="T46" s="43"/>
      <c r="U46" s="34">
        <f t="shared" si="50"/>
        <v>0</v>
      </c>
      <c r="V46" s="34">
        <f t="shared" si="51"/>
        <v>0</v>
      </c>
    </row>
    <row r="47" spans="1:22" ht="13.15" outlineLevel="2">
      <c r="A47" s="22"/>
      <c r="B47" s="22"/>
      <c r="C47" s="22"/>
      <c r="D47" s="25" t="s">
        <v>65</v>
      </c>
      <c r="E47" s="7">
        <v>0</v>
      </c>
      <c r="F47" s="43"/>
      <c r="G47" s="43"/>
      <c r="H47" s="43"/>
      <c r="I47" s="34">
        <f t="shared" si="47"/>
        <v>0</v>
      </c>
      <c r="J47" s="43"/>
      <c r="K47" s="43"/>
      <c r="L47" s="43"/>
      <c r="M47" s="34">
        <f t="shared" si="48"/>
        <v>0</v>
      </c>
      <c r="N47" s="43"/>
      <c r="O47" s="43"/>
      <c r="P47" s="43"/>
      <c r="Q47" s="34">
        <f t="shared" si="49"/>
        <v>0</v>
      </c>
      <c r="R47" s="43"/>
      <c r="S47" s="43"/>
      <c r="T47" s="43"/>
      <c r="U47" s="34">
        <f t="shared" si="50"/>
        <v>0</v>
      </c>
      <c r="V47" s="34">
        <f t="shared" si="51"/>
        <v>0</v>
      </c>
    </row>
    <row r="48" spans="1:22" ht="13.15" outlineLevel="2">
      <c r="A48" s="22"/>
      <c r="B48" s="22"/>
      <c r="C48" s="22"/>
      <c r="D48" s="25" t="s">
        <v>64</v>
      </c>
      <c r="E48" s="7">
        <v>0</v>
      </c>
      <c r="F48" s="43"/>
      <c r="G48" s="43"/>
      <c r="H48" s="43"/>
      <c r="I48" s="34">
        <f t="shared" si="47"/>
        <v>0</v>
      </c>
      <c r="J48" s="43"/>
      <c r="K48" s="43"/>
      <c r="L48" s="43"/>
      <c r="M48" s="34">
        <f t="shared" si="48"/>
        <v>0</v>
      </c>
      <c r="N48" s="43"/>
      <c r="O48" s="43"/>
      <c r="P48" s="43"/>
      <c r="Q48" s="34">
        <f t="shared" si="49"/>
        <v>0</v>
      </c>
      <c r="R48" s="43"/>
      <c r="S48" s="43"/>
      <c r="T48" s="43"/>
      <c r="U48" s="34">
        <f t="shared" si="50"/>
        <v>0</v>
      </c>
      <c r="V48" s="34">
        <f t="shared" si="51"/>
        <v>0</v>
      </c>
    </row>
    <row r="49" spans="1:22" ht="13.15" outlineLevel="2">
      <c r="A49" s="22"/>
      <c r="B49" s="22"/>
      <c r="C49" s="22"/>
      <c r="D49" s="25" t="s">
        <v>112</v>
      </c>
      <c r="F49" s="43">
        <v>180000</v>
      </c>
      <c r="G49" s="43">
        <v>180000</v>
      </c>
      <c r="H49" s="43">
        <v>180000</v>
      </c>
      <c r="I49" s="34">
        <f t="shared" si="47"/>
        <v>540000</v>
      </c>
      <c r="J49" s="43">
        <v>180000</v>
      </c>
      <c r="K49" s="43">
        <v>180000</v>
      </c>
      <c r="L49" s="43">
        <v>180000</v>
      </c>
      <c r="M49" s="34">
        <f t="shared" si="48"/>
        <v>540000</v>
      </c>
      <c r="N49" s="43">
        <v>180000</v>
      </c>
      <c r="O49" s="43">
        <v>180000</v>
      </c>
      <c r="P49" s="43">
        <v>180000</v>
      </c>
      <c r="Q49" s="34">
        <f t="shared" si="49"/>
        <v>540000</v>
      </c>
      <c r="R49" s="43">
        <v>180000</v>
      </c>
      <c r="S49" s="43">
        <v>180000</v>
      </c>
      <c r="T49" s="43">
        <v>180000</v>
      </c>
      <c r="U49" s="34">
        <f t="shared" si="50"/>
        <v>540000</v>
      </c>
      <c r="V49" s="34">
        <f t="shared" si="51"/>
        <v>2160000</v>
      </c>
    </row>
    <row r="50" spans="1:22" ht="13.15" outlineLevel="2">
      <c r="A50" s="22"/>
      <c r="B50" s="22"/>
      <c r="C50" s="22"/>
      <c r="D50" s="25" t="s">
        <v>119</v>
      </c>
      <c r="F50" s="43">
        <v>115000</v>
      </c>
      <c r="G50" s="43">
        <v>115000</v>
      </c>
      <c r="H50" s="43">
        <v>115000</v>
      </c>
      <c r="I50" s="34">
        <f t="shared" si="47"/>
        <v>345000</v>
      </c>
      <c r="J50" s="43">
        <v>115000</v>
      </c>
      <c r="K50" s="43">
        <v>115000</v>
      </c>
      <c r="L50" s="43">
        <v>115000</v>
      </c>
      <c r="M50" s="34">
        <f t="shared" si="48"/>
        <v>345000</v>
      </c>
      <c r="N50" s="43">
        <v>115000</v>
      </c>
      <c r="O50" s="43">
        <v>115000</v>
      </c>
      <c r="P50" s="43">
        <v>115000</v>
      </c>
      <c r="Q50" s="34">
        <f t="shared" si="49"/>
        <v>345000</v>
      </c>
      <c r="R50" s="43">
        <v>115000</v>
      </c>
      <c r="S50" s="43">
        <v>115000</v>
      </c>
      <c r="T50" s="43">
        <v>115000</v>
      </c>
      <c r="U50" s="34">
        <f t="shared" si="50"/>
        <v>345000</v>
      </c>
      <c r="V50" s="34">
        <f t="shared" si="51"/>
        <v>1380000</v>
      </c>
    </row>
    <row r="51" spans="1:22" ht="13.15" outlineLevel="1">
      <c r="A51" s="24"/>
      <c r="B51" s="24" t="s">
        <v>1</v>
      </c>
      <c r="C51" s="24"/>
      <c r="D51" s="24"/>
      <c r="E51" s="8"/>
      <c r="F51" s="44">
        <f t="shared" ref="F51:G51" si="53">SUM(F39:F50)</f>
        <v>4205000</v>
      </c>
      <c r="G51" s="44">
        <f t="shared" si="53"/>
        <v>4205000</v>
      </c>
      <c r="H51" s="44">
        <f t="shared" ref="H51" si="54">SUM(H39:H50)</f>
        <v>4205000</v>
      </c>
      <c r="I51" s="35">
        <f>SUM(I39:I50)</f>
        <v>12615000</v>
      </c>
      <c r="J51" s="44">
        <f t="shared" ref="J51:L51" si="55">SUM(J39:J50)</f>
        <v>4205000</v>
      </c>
      <c r="K51" s="44">
        <f t="shared" si="55"/>
        <v>4205000</v>
      </c>
      <c r="L51" s="44">
        <f t="shared" si="55"/>
        <v>4205000</v>
      </c>
      <c r="M51" s="35">
        <f>SUM(M39:M50)</f>
        <v>12615000</v>
      </c>
      <c r="N51" s="44">
        <f t="shared" ref="N51:P51" si="56">SUM(N39:N50)</f>
        <v>4205000</v>
      </c>
      <c r="O51" s="44">
        <f t="shared" si="56"/>
        <v>4205000</v>
      </c>
      <c r="P51" s="44">
        <f t="shared" si="56"/>
        <v>4205000</v>
      </c>
      <c r="Q51" s="35">
        <f>SUM(Q39:Q50)</f>
        <v>12615000</v>
      </c>
      <c r="R51" s="44">
        <f t="shared" ref="R51:T51" si="57">SUM(R39:R50)</f>
        <v>4205000</v>
      </c>
      <c r="S51" s="44">
        <f t="shared" si="57"/>
        <v>4205000</v>
      </c>
      <c r="T51" s="44">
        <f t="shared" si="57"/>
        <v>4205000</v>
      </c>
      <c r="U51" s="35">
        <f>SUM(U39:U50)</f>
        <v>12615000</v>
      </c>
      <c r="V51" s="35">
        <f t="shared" si="51"/>
        <v>50460000</v>
      </c>
    </row>
    <row r="52" spans="1:22" ht="13.15" outlineLevel="1">
      <c r="A52" s="24"/>
      <c r="B52" s="24" t="s">
        <v>2</v>
      </c>
      <c r="C52" s="24"/>
      <c r="D52" s="24"/>
      <c r="E52" s="8"/>
      <c r="F52" s="44">
        <f>F37+F51</f>
        <v>37205000</v>
      </c>
      <c r="G52" s="44">
        <f>G37+G51</f>
        <v>37205000</v>
      </c>
      <c r="H52" s="44">
        <f>H37+H51</f>
        <v>37205000</v>
      </c>
      <c r="I52" s="35">
        <f>I51+I37</f>
        <v>111615000</v>
      </c>
      <c r="J52" s="44">
        <f>J37+J51</f>
        <v>37205000</v>
      </c>
      <c r="K52" s="44">
        <f>K37+K51</f>
        <v>37205000</v>
      </c>
      <c r="L52" s="44">
        <f>L37+L51</f>
        <v>37205000</v>
      </c>
      <c r="M52" s="35">
        <f>M51+M37</f>
        <v>111615000</v>
      </c>
      <c r="N52" s="44">
        <f>N37+N51</f>
        <v>37205000</v>
      </c>
      <c r="O52" s="44">
        <f>O37+O51</f>
        <v>37205000</v>
      </c>
      <c r="P52" s="44">
        <f>P37+P51</f>
        <v>37205000</v>
      </c>
      <c r="Q52" s="35">
        <f>Q51+Q37</f>
        <v>111615000</v>
      </c>
      <c r="R52" s="44">
        <f>R37+R51</f>
        <v>37205000</v>
      </c>
      <c r="S52" s="44">
        <f>S37+S51</f>
        <v>37205000</v>
      </c>
      <c r="T52" s="44">
        <f>T37+T51</f>
        <v>37205000</v>
      </c>
      <c r="U52" s="35">
        <f>U51+U37</f>
        <v>111615000</v>
      </c>
      <c r="V52" s="35">
        <f t="shared" si="51"/>
        <v>446460000</v>
      </c>
    </row>
    <row r="53" spans="1:22" s="4" customFormat="1" ht="13.15" outlineLevel="1">
      <c r="A53" s="24"/>
      <c r="B53" s="24" t="s">
        <v>3</v>
      </c>
      <c r="C53" s="24"/>
      <c r="D53" s="24"/>
      <c r="E53" s="8">
        <v>0</v>
      </c>
      <c r="F53" s="44">
        <v>0</v>
      </c>
      <c r="G53" s="44">
        <v>0</v>
      </c>
      <c r="H53" s="44">
        <v>0</v>
      </c>
      <c r="I53" s="35">
        <v>0</v>
      </c>
      <c r="J53" s="44">
        <v>0</v>
      </c>
      <c r="K53" s="44">
        <v>0</v>
      </c>
      <c r="L53" s="44">
        <v>0</v>
      </c>
      <c r="M53" s="35">
        <v>0</v>
      </c>
      <c r="N53" s="44">
        <v>0</v>
      </c>
      <c r="O53" s="44">
        <v>0</v>
      </c>
      <c r="P53" s="44">
        <v>0</v>
      </c>
      <c r="Q53" s="35">
        <v>0</v>
      </c>
      <c r="R53" s="44">
        <v>0</v>
      </c>
      <c r="S53" s="44">
        <v>0</v>
      </c>
      <c r="T53" s="44">
        <v>0</v>
      </c>
      <c r="U53" s="35">
        <v>0</v>
      </c>
      <c r="V53" s="35">
        <f t="shared" si="51"/>
        <v>0</v>
      </c>
    </row>
    <row r="54" spans="1:22" ht="13.15" outlineLevel="2">
      <c r="A54" s="22"/>
      <c r="B54" s="23" t="s">
        <v>39</v>
      </c>
      <c r="C54" s="22"/>
      <c r="D54" s="22"/>
      <c r="F54" s="43"/>
      <c r="G54" s="43"/>
      <c r="H54" s="43"/>
      <c r="I54" s="34"/>
      <c r="J54" s="43"/>
      <c r="K54" s="43"/>
      <c r="L54" s="43"/>
      <c r="M54" s="34"/>
      <c r="N54" s="43"/>
      <c r="O54" s="43"/>
      <c r="P54" s="43"/>
      <c r="Q54" s="34"/>
      <c r="R54" s="43"/>
      <c r="S54" s="43"/>
      <c r="T54" s="43"/>
      <c r="U54" s="34"/>
      <c r="V54" s="34"/>
    </row>
    <row r="55" spans="1:22" ht="13.15" outlineLevel="2">
      <c r="A55" s="22"/>
      <c r="B55" s="22"/>
      <c r="C55" s="25" t="s">
        <v>58</v>
      </c>
      <c r="D55" s="22"/>
      <c r="E55" s="7">
        <v>0</v>
      </c>
      <c r="F55" s="43"/>
      <c r="G55" s="43"/>
      <c r="H55" s="43"/>
      <c r="I55" s="34">
        <f t="shared" ref="I55:I65" si="58">SUM(F55:H55)</f>
        <v>0</v>
      </c>
      <c r="J55" s="43"/>
      <c r="K55" s="43"/>
      <c r="L55" s="43"/>
      <c r="M55" s="34">
        <f t="shared" ref="M55:M65" si="59">SUM(J55:L55)</f>
        <v>0</v>
      </c>
      <c r="N55" s="43"/>
      <c r="O55" s="43"/>
      <c r="P55" s="43"/>
      <c r="Q55" s="34">
        <f t="shared" ref="Q55:Q65" si="60">SUM(N55:P55)</f>
        <v>0</v>
      </c>
      <c r="R55" s="43"/>
      <c r="S55" s="43"/>
      <c r="T55" s="43"/>
      <c r="U55" s="34">
        <f t="shared" ref="U55:U65" si="61">SUM(R55:T55)</f>
        <v>0</v>
      </c>
      <c r="V55" s="34">
        <f t="shared" ref="V55:V66" si="62">I55+M55+Q55+U55</f>
        <v>0</v>
      </c>
    </row>
    <row r="56" spans="1:22" ht="13.15" outlineLevel="2">
      <c r="A56" s="22"/>
      <c r="B56" s="22"/>
      <c r="C56" s="25" t="s">
        <v>59</v>
      </c>
      <c r="D56" s="22"/>
      <c r="F56" s="43">
        <v>102000</v>
      </c>
      <c r="G56" s="43">
        <v>102000</v>
      </c>
      <c r="H56" s="43">
        <v>102000</v>
      </c>
      <c r="I56" s="34">
        <f t="shared" si="58"/>
        <v>306000</v>
      </c>
      <c r="J56" s="43">
        <v>102000</v>
      </c>
      <c r="K56" s="43">
        <v>102000</v>
      </c>
      <c r="L56" s="43">
        <v>102000</v>
      </c>
      <c r="M56" s="34">
        <f t="shared" si="59"/>
        <v>306000</v>
      </c>
      <c r="N56" s="43">
        <v>102000</v>
      </c>
      <c r="O56" s="43">
        <v>102000</v>
      </c>
      <c r="P56" s="43">
        <v>102000</v>
      </c>
      <c r="Q56" s="34">
        <f t="shared" si="60"/>
        <v>306000</v>
      </c>
      <c r="R56" s="43">
        <v>102000</v>
      </c>
      <c r="S56" s="43">
        <v>102000</v>
      </c>
      <c r="T56" s="43">
        <v>102000</v>
      </c>
      <c r="U56" s="34">
        <f t="shared" si="61"/>
        <v>306000</v>
      </c>
      <c r="V56" s="34">
        <f t="shared" si="62"/>
        <v>1224000</v>
      </c>
    </row>
    <row r="57" spans="1:22" ht="13.15" outlineLevel="2">
      <c r="A57" s="22"/>
      <c r="B57" s="22"/>
      <c r="C57" s="25" t="s">
        <v>60</v>
      </c>
      <c r="D57" s="22"/>
      <c r="F57" s="43">
        <v>27000</v>
      </c>
      <c r="G57" s="43">
        <v>27000</v>
      </c>
      <c r="H57" s="43">
        <v>27000</v>
      </c>
      <c r="I57" s="34">
        <f t="shared" si="58"/>
        <v>81000</v>
      </c>
      <c r="J57" s="43">
        <v>27000</v>
      </c>
      <c r="K57" s="43">
        <v>27000</v>
      </c>
      <c r="L57" s="43">
        <v>27000</v>
      </c>
      <c r="M57" s="34">
        <f t="shared" si="59"/>
        <v>81000</v>
      </c>
      <c r="N57" s="43">
        <v>27000</v>
      </c>
      <c r="O57" s="43">
        <v>27000</v>
      </c>
      <c r="P57" s="43">
        <v>27000</v>
      </c>
      <c r="Q57" s="34">
        <f t="shared" si="60"/>
        <v>81000</v>
      </c>
      <c r="R57" s="43">
        <v>27000</v>
      </c>
      <c r="S57" s="43">
        <v>27000</v>
      </c>
      <c r="T57" s="43">
        <v>27000</v>
      </c>
      <c r="U57" s="34">
        <f t="shared" si="61"/>
        <v>81000</v>
      </c>
      <c r="V57" s="34">
        <f t="shared" si="62"/>
        <v>324000</v>
      </c>
    </row>
    <row r="58" spans="1:22" ht="13.15" outlineLevel="2">
      <c r="A58" s="22"/>
      <c r="B58" s="22"/>
      <c r="C58" s="25" t="s">
        <v>61</v>
      </c>
      <c r="D58" s="22"/>
      <c r="F58" s="43">
        <v>175000</v>
      </c>
      <c r="G58" s="43">
        <v>175000</v>
      </c>
      <c r="H58" s="43">
        <v>175000</v>
      </c>
      <c r="I58" s="34">
        <f t="shared" si="58"/>
        <v>525000</v>
      </c>
      <c r="J58" s="43">
        <v>175000</v>
      </c>
      <c r="K58" s="43">
        <v>175000</v>
      </c>
      <c r="L58" s="43">
        <v>175000</v>
      </c>
      <c r="M58" s="34">
        <f t="shared" si="59"/>
        <v>525000</v>
      </c>
      <c r="N58" s="43">
        <v>175000</v>
      </c>
      <c r="O58" s="43">
        <v>175000</v>
      </c>
      <c r="P58" s="43">
        <v>175000</v>
      </c>
      <c r="Q58" s="34">
        <f t="shared" si="60"/>
        <v>525000</v>
      </c>
      <c r="R58" s="43">
        <v>175000</v>
      </c>
      <c r="S58" s="43">
        <v>175000</v>
      </c>
      <c r="T58" s="43">
        <v>175000</v>
      </c>
      <c r="U58" s="34">
        <f t="shared" si="61"/>
        <v>525000</v>
      </c>
      <c r="V58" s="34">
        <f t="shared" si="62"/>
        <v>2100000</v>
      </c>
    </row>
    <row r="59" spans="1:22" ht="13.15" outlineLevel="2">
      <c r="A59" s="22"/>
      <c r="B59" s="22"/>
      <c r="C59" s="25" t="s">
        <v>62</v>
      </c>
      <c r="D59" s="22"/>
      <c r="F59" s="43">
        <v>51000</v>
      </c>
      <c r="G59" s="43">
        <v>51000</v>
      </c>
      <c r="H59" s="43">
        <v>51000</v>
      </c>
      <c r="I59" s="34">
        <f t="shared" si="58"/>
        <v>153000</v>
      </c>
      <c r="J59" s="43">
        <v>51000</v>
      </c>
      <c r="K59" s="43">
        <v>51000</v>
      </c>
      <c r="L59" s="43">
        <v>51000</v>
      </c>
      <c r="M59" s="34">
        <f t="shared" si="59"/>
        <v>153000</v>
      </c>
      <c r="N59" s="43">
        <v>51000</v>
      </c>
      <c r="O59" s="43">
        <v>51000</v>
      </c>
      <c r="P59" s="43">
        <v>51000</v>
      </c>
      <c r="Q59" s="34">
        <f t="shared" si="60"/>
        <v>153000</v>
      </c>
      <c r="R59" s="43">
        <v>51000</v>
      </c>
      <c r="S59" s="43">
        <v>51000</v>
      </c>
      <c r="T59" s="43">
        <v>51000</v>
      </c>
      <c r="U59" s="34">
        <f t="shared" si="61"/>
        <v>153000</v>
      </c>
      <c r="V59" s="34">
        <f t="shared" si="62"/>
        <v>612000</v>
      </c>
    </row>
    <row r="60" spans="1:22" ht="13.15" outlineLevel="2">
      <c r="A60" s="22"/>
      <c r="B60" s="22"/>
      <c r="C60" s="25" t="s">
        <v>118</v>
      </c>
      <c r="D60" s="22"/>
      <c r="F60" s="43">
        <v>138000</v>
      </c>
      <c r="G60" s="43">
        <v>138000</v>
      </c>
      <c r="H60" s="43">
        <v>138000</v>
      </c>
      <c r="I60" s="34">
        <f t="shared" si="58"/>
        <v>414000</v>
      </c>
      <c r="J60" s="43">
        <v>138000</v>
      </c>
      <c r="K60" s="43">
        <v>138000</v>
      </c>
      <c r="L60" s="43">
        <v>138000</v>
      </c>
      <c r="M60" s="34">
        <f t="shared" si="59"/>
        <v>414000</v>
      </c>
      <c r="N60" s="43">
        <v>138000</v>
      </c>
      <c r="O60" s="43">
        <v>138000</v>
      </c>
      <c r="P60" s="43">
        <v>138000</v>
      </c>
      <c r="Q60" s="34">
        <f t="shared" si="60"/>
        <v>414000</v>
      </c>
      <c r="R60" s="43">
        <v>138000</v>
      </c>
      <c r="S60" s="43">
        <v>138000</v>
      </c>
      <c r="T60" s="43">
        <v>138000</v>
      </c>
      <c r="U60" s="34">
        <f t="shared" si="61"/>
        <v>414000</v>
      </c>
      <c r="V60" s="34">
        <f t="shared" si="62"/>
        <v>1656000</v>
      </c>
    </row>
    <row r="61" spans="1:22" ht="13.15" outlineLevel="2">
      <c r="A61" s="22"/>
      <c r="B61" s="22"/>
      <c r="C61" s="25" t="s">
        <v>157</v>
      </c>
      <c r="D61" s="22"/>
      <c r="F61" s="43"/>
      <c r="G61" s="43"/>
      <c r="H61" s="43"/>
      <c r="I61" s="34">
        <f t="shared" si="58"/>
        <v>0</v>
      </c>
      <c r="J61" s="43"/>
      <c r="K61" s="43"/>
      <c r="L61" s="43"/>
      <c r="M61" s="34">
        <f t="shared" si="59"/>
        <v>0</v>
      </c>
      <c r="N61" s="43"/>
      <c r="O61" s="43"/>
      <c r="P61" s="43"/>
      <c r="Q61" s="34">
        <f t="shared" si="60"/>
        <v>0</v>
      </c>
      <c r="R61" s="43"/>
      <c r="S61" s="43"/>
      <c r="T61" s="43"/>
      <c r="U61" s="34">
        <f t="shared" si="61"/>
        <v>0</v>
      </c>
      <c r="V61" s="34">
        <f t="shared" si="62"/>
        <v>0</v>
      </c>
    </row>
    <row r="62" spans="1:22" ht="13.15" outlineLevel="2">
      <c r="A62" s="22"/>
      <c r="B62" s="22"/>
      <c r="C62" s="25" t="s">
        <v>28</v>
      </c>
      <c r="D62" s="22"/>
      <c r="E62" s="7">
        <v>0</v>
      </c>
      <c r="F62" s="43"/>
      <c r="G62" s="43"/>
      <c r="H62" s="43"/>
      <c r="I62" s="34">
        <f t="shared" si="58"/>
        <v>0</v>
      </c>
      <c r="J62" s="43"/>
      <c r="K62" s="43"/>
      <c r="L62" s="43"/>
      <c r="M62" s="34">
        <f t="shared" si="59"/>
        <v>0</v>
      </c>
      <c r="N62" s="43"/>
      <c r="O62" s="43"/>
      <c r="P62" s="43"/>
      <c r="Q62" s="34">
        <f t="shared" si="60"/>
        <v>0</v>
      </c>
      <c r="R62" s="43"/>
      <c r="S62" s="43"/>
      <c r="T62" s="43"/>
      <c r="U62" s="34">
        <f t="shared" si="61"/>
        <v>0</v>
      </c>
      <c r="V62" s="34">
        <f t="shared" si="62"/>
        <v>0</v>
      </c>
    </row>
    <row r="63" spans="1:22" ht="13.15" outlineLevel="2">
      <c r="A63" s="22"/>
      <c r="B63" s="22"/>
      <c r="C63" s="25" t="s">
        <v>35</v>
      </c>
      <c r="D63" s="22"/>
      <c r="E63" s="7">
        <v>0</v>
      </c>
      <c r="F63" s="43"/>
      <c r="G63" s="43"/>
      <c r="H63" s="43"/>
      <c r="I63" s="34">
        <f t="shared" si="58"/>
        <v>0</v>
      </c>
      <c r="J63" s="43"/>
      <c r="K63" s="43"/>
      <c r="L63" s="43"/>
      <c r="M63" s="34">
        <f t="shared" si="59"/>
        <v>0</v>
      </c>
      <c r="N63" s="43"/>
      <c r="O63" s="43"/>
      <c r="P63" s="43"/>
      <c r="Q63" s="34">
        <f t="shared" si="60"/>
        <v>0</v>
      </c>
      <c r="R63" s="43"/>
      <c r="S63" s="43"/>
      <c r="T63" s="43"/>
      <c r="U63" s="34">
        <f t="shared" si="61"/>
        <v>0</v>
      </c>
      <c r="V63" s="34">
        <f t="shared" si="62"/>
        <v>0</v>
      </c>
    </row>
    <row r="64" spans="1:22" ht="13.15" outlineLevel="2">
      <c r="A64" s="22"/>
      <c r="B64" s="22"/>
      <c r="C64" s="25" t="s">
        <v>52</v>
      </c>
      <c r="D64" s="22"/>
      <c r="E64" s="7">
        <v>0</v>
      </c>
      <c r="F64" s="43"/>
      <c r="G64" s="43"/>
      <c r="H64" s="43"/>
      <c r="I64" s="34">
        <f t="shared" si="58"/>
        <v>0</v>
      </c>
      <c r="J64" s="43"/>
      <c r="K64" s="43"/>
      <c r="L64" s="43"/>
      <c r="M64" s="34">
        <f t="shared" si="59"/>
        <v>0</v>
      </c>
      <c r="N64" s="43"/>
      <c r="O64" s="43"/>
      <c r="P64" s="43"/>
      <c r="Q64" s="34">
        <f t="shared" si="60"/>
        <v>0</v>
      </c>
      <c r="R64" s="43"/>
      <c r="S64" s="43"/>
      <c r="T64" s="43"/>
      <c r="U64" s="34">
        <f t="shared" si="61"/>
        <v>0</v>
      </c>
      <c r="V64" s="34">
        <f t="shared" si="62"/>
        <v>0</v>
      </c>
    </row>
    <row r="65" spans="1:22" ht="13.15" outlineLevel="2">
      <c r="A65" s="22"/>
      <c r="B65" s="22"/>
      <c r="C65" s="25" t="s">
        <v>36</v>
      </c>
      <c r="D65" s="22"/>
      <c r="E65" s="7">
        <v>0</v>
      </c>
      <c r="F65" s="43"/>
      <c r="G65" s="43"/>
      <c r="H65" s="43"/>
      <c r="I65" s="34">
        <f t="shared" si="58"/>
        <v>0</v>
      </c>
      <c r="J65" s="43"/>
      <c r="K65" s="43"/>
      <c r="L65" s="43"/>
      <c r="M65" s="34">
        <f t="shared" si="59"/>
        <v>0</v>
      </c>
      <c r="N65" s="43"/>
      <c r="O65" s="43"/>
      <c r="P65" s="43"/>
      <c r="Q65" s="34">
        <f t="shared" si="60"/>
        <v>0</v>
      </c>
      <c r="R65" s="43"/>
      <c r="S65" s="43"/>
      <c r="T65" s="43"/>
      <c r="U65" s="34">
        <f t="shared" si="61"/>
        <v>0</v>
      </c>
      <c r="V65" s="34">
        <f t="shared" si="62"/>
        <v>0</v>
      </c>
    </row>
    <row r="66" spans="1:22" ht="13.15" outlineLevel="1">
      <c r="A66" s="24"/>
      <c r="B66" s="24" t="s">
        <v>4</v>
      </c>
      <c r="C66" s="24"/>
      <c r="D66" s="24"/>
      <c r="E66" s="8"/>
      <c r="F66" s="44">
        <f t="shared" ref="F66:G66" si="63">SUM(F55:F65)</f>
        <v>493000</v>
      </c>
      <c r="G66" s="44">
        <f t="shared" si="63"/>
        <v>493000</v>
      </c>
      <c r="H66" s="44">
        <f t="shared" ref="H66" si="64">SUM(H55:H65)</f>
        <v>493000</v>
      </c>
      <c r="I66" s="35">
        <f>SUM(I55:I65)</f>
        <v>1479000</v>
      </c>
      <c r="J66" s="44">
        <f t="shared" ref="J66:L66" si="65">SUM(J55:J65)</f>
        <v>493000</v>
      </c>
      <c r="K66" s="44">
        <f t="shared" si="65"/>
        <v>493000</v>
      </c>
      <c r="L66" s="44">
        <f t="shared" si="65"/>
        <v>493000</v>
      </c>
      <c r="M66" s="35">
        <f>SUM(M55:M65)</f>
        <v>1479000</v>
      </c>
      <c r="N66" s="44">
        <f t="shared" ref="N66:P66" si="66">SUM(N55:N65)</f>
        <v>493000</v>
      </c>
      <c r="O66" s="44">
        <f t="shared" si="66"/>
        <v>493000</v>
      </c>
      <c r="P66" s="44">
        <f t="shared" si="66"/>
        <v>493000</v>
      </c>
      <c r="Q66" s="35">
        <f>SUM(Q55:Q65)</f>
        <v>1479000</v>
      </c>
      <c r="R66" s="44">
        <f t="shared" ref="R66:T66" si="67">SUM(R55:R65)</f>
        <v>493000</v>
      </c>
      <c r="S66" s="44">
        <f t="shared" si="67"/>
        <v>493000</v>
      </c>
      <c r="T66" s="44">
        <f t="shared" si="67"/>
        <v>493000</v>
      </c>
      <c r="U66" s="35">
        <f>SUM(U55:U65)</f>
        <v>1479000</v>
      </c>
      <c r="V66" s="35">
        <f t="shared" si="62"/>
        <v>5916000</v>
      </c>
    </row>
    <row r="67" spans="1:22" ht="13.15" outlineLevel="2">
      <c r="A67" s="24"/>
      <c r="B67" s="26" t="s">
        <v>5</v>
      </c>
      <c r="C67" s="27"/>
      <c r="D67" s="27"/>
      <c r="E67" s="9"/>
      <c r="F67" s="129"/>
      <c r="G67" s="129"/>
      <c r="H67" s="129"/>
      <c r="I67" s="36"/>
      <c r="J67" s="129"/>
      <c r="K67" s="129"/>
      <c r="L67" s="129"/>
      <c r="M67" s="36"/>
      <c r="N67" s="129"/>
      <c r="O67" s="129"/>
      <c r="P67" s="129"/>
      <c r="Q67" s="36"/>
      <c r="R67" s="129"/>
      <c r="S67" s="129"/>
      <c r="T67" s="129"/>
      <c r="U67" s="36"/>
      <c r="V67" s="35" t="s">
        <v>86</v>
      </c>
    </row>
    <row r="68" spans="1:22" ht="13.15" outlineLevel="2">
      <c r="A68" s="24"/>
      <c r="B68" s="27"/>
      <c r="C68" s="28" t="s">
        <v>47</v>
      </c>
      <c r="D68" s="27"/>
      <c r="E68" s="9">
        <v>0</v>
      </c>
      <c r="F68" s="43"/>
      <c r="G68" s="43"/>
      <c r="H68" s="43"/>
      <c r="I68" s="34">
        <f>SUM(F68:H68)</f>
        <v>0</v>
      </c>
      <c r="J68" s="43"/>
      <c r="K68" s="43"/>
      <c r="L68" s="43"/>
      <c r="M68" s="34">
        <f>SUM(J68:L68)</f>
        <v>0</v>
      </c>
      <c r="N68" s="43"/>
      <c r="O68" s="43"/>
      <c r="P68" s="43"/>
      <c r="Q68" s="34">
        <f>SUM(N68:P68)</f>
        <v>0</v>
      </c>
      <c r="R68" s="43"/>
      <c r="S68" s="43"/>
      <c r="T68" s="43"/>
      <c r="U68" s="34">
        <f>SUM(R68:T68)</f>
        <v>0</v>
      </c>
      <c r="V68" s="34">
        <f>I68+M68+Q68+U68</f>
        <v>0</v>
      </c>
    </row>
    <row r="69" spans="1:22" ht="13.15" outlineLevel="2">
      <c r="A69" s="24"/>
      <c r="B69" s="27"/>
      <c r="C69" s="28" t="s">
        <v>48</v>
      </c>
      <c r="D69" s="27"/>
      <c r="E69" s="9">
        <v>0</v>
      </c>
      <c r="F69" s="43"/>
      <c r="G69" s="43"/>
      <c r="H69" s="43"/>
      <c r="I69" s="34">
        <f>SUM(F69:H69)</f>
        <v>0</v>
      </c>
      <c r="J69" s="43"/>
      <c r="K69" s="43"/>
      <c r="L69" s="43"/>
      <c r="M69" s="34">
        <f>SUM(J69:L69)</f>
        <v>0</v>
      </c>
      <c r="N69" s="43"/>
      <c r="O69" s="43"/>
      <c r="P69" s="43"/>
      <c r="Q69" s="34">
        <f>SUM(N69:P69)</f>
        <v>0</v>
      </c>
      <c r="R69" s="43"/>
      <c r="S69" s="43"/>
      <c r="T69" s="43"/>
      <c r="U69" s="34">
        <f>SUM(R69:T69)</f>
        <v>0</v>
      </c>
      <c r="V69" s="34">
        <f>I69+M69+Q69+U69</f>
        <v>0</v>
      </c>
    </row>
    <row r="70" spans="1:22" ht="13.15" outlineLevel="2">
      <c r="A70" s="24"/>
      <c r="B70" s="27"/>
      <c r="C70" s="28" t="s">
        <v>26</v>
      </c>
      <c r="D70" s="27"/>
      <c r="E70" s="9">
        <v>0</v>
      </c>
      <c r="F70" s="43"/>
      <c r="G70" s="43"/>
      <c r="H70" s="43"/>
      <c r="I70" s="34">
        <f>SUM(F70:H70)</f>
        <v>0</v>
      </c>
      <c r="J70" s="43"/>
      <c r="K70" s="43"/>
      <c r="L70" s="43"/>
      <c r="M70" s="34">
        <f>SUM(J70:L70)</f>
        <v>0</v>
      </c>
      <c r="N70" s="43"/>
      <c r="O70" s="43"/>
      <c r="P70" s="43"/>
      <c r="Q70" s="34">
        <f>SUM(N70:P70)</f>
        <v>0</v>
      </c>
      <c r="R70" s="43"/>
      <c r="S70" s="43"/>
      <c r="T70" s="43"/>
      <c r="U70" s="34">
        <f>SUM(R70:T70)</f>
        <v>0</v>
      </c>
      <c r="V70" s="34">
        <f>I70+M70+Q70+U70</f>
        <v>0</v>
      </c>
    </row>
    <row r="71" spans="1:22" ht="13.15" outlineLevel="1">
      <c r="A71" s="24"/>
      <c r="B71" s="29" t="s">
        <v>6</v>
      </c>
      <c r="C71" s="30"/>
      <c r="D71" s="30"/>
      <c r="E71" s="10"/>
      <c r="F71" s="45">
        <f>SUM(F68:F70)</f>
        <v>0</v>
      </c>
      <c r="G71" s="45">
        <f>SUM(G68:G70)</f>
        <v>0</v>
      </c>
      <c r="H71" s="45">
        <f>SUM(H68:H70)</f>
        <v>0</v>
      </c>
      <c r="I71" s="35">
        <f t="shared" ref="I71:Q71" si="68">SUM(I68:I70)</f>
        <v>0</v>
      </c>
      <c r="J71" s="45">
        <f>SUM(J68:J70)</f>
        <v>0</v>
      </c>
      <c r="K71" s="45">
        <f>SUM(K68:K70)</f>
        <v>0</v>
      </c>
      <c r="L71" s="45">
        <f>SUM(L68:L70)</f>
        <v>0</v>
      </c>
      <c r="M71" s="35">
        <f t="shared" si="68"/>
        <v>0</v>
      </c>
      <c r="N71" s="45">
        <f>SUM(N68:N70)</f>
        <v>0</v>
      </c>
      <c r="O71" s="45">
        <f>SUM(O68:O70)</f>
        <v>0</v>
      </c>
      <c r="P71" s="45">
        <f>SUM(P68:P70)</f>
        <v>0</v>
      </c>
      <c r="Q71" s="35">
        <f t="shared" si="68"/>
        <v>0</v>
      </c>
      <c r="R71" s="45">
        <f>SUM(R68:R70)</f>
        <v>0</v>
      </c>
      <c r="S71" s="45">
        <f>SUM(S68:S70)</f>
        <v>0</v>
      </c>
      <c r="T71" s="45">
        <f>SUM(T68:T70)</f>
        <v>0</v>
      </c>
      <c r="U71" s="35">
        <f t="shared" ref="U71" si="69">SUM(U68:U70)</f>
        <v>0</v>
      </c>
      <c r="V71" s="35">
        <f>I71+M71+Q71+U71</f>
        <v>0</v>
      </c>
    </row>
    <row r="72" spans="1:22" ht="13.15" outlineLevel="2">
      <c r="A72" s="24"/>
      <c r="B72" s="26" t="s">
        <v>7</v>
      </c>
      <c r="C72" s="27"/>
      <c r="D72" s="27"/>
      <c r="E72" s="9"/>
      <c r="F72" s="129"/>
      <c r="G72" s="129"/>
      <c r="H72" s="129"/>
      <c r="I72" s="36"/>
      <c r="J72" s="129"/>
      <c r="K72" s="129"/>
      <c r="L72" s="129"/>
      <c r="M72" s="36"/>
      <c r="N72" s="129"/>
      <c r="O72" s="129"/>
      <c r="P72" s="129"/>
      <c r="Q72" s="36"/>
      <c r="R72" s="129"/>
      <c r="S72" s="129"/>
      <c r="T72" s="129"/>
      <c r="U72" s="36"/>
      <c r="V72" s="36"/>
    </row>
    <row r="73" spans="1:22" ht="13.15" outlineLevel="2">
      <c r="A73" s="24"/>
      <c r="B73" s="27"/>
      <c r="C73" s="28" t="s">
        <v>40</v>
      </c>
      <c r="D73" s="27"/>
      <c r="E73" s="9">
        <v>0</v>
      </c>
      <c r="F73" s="43"/>
      <c r="G73" s="43"/>
      <c r="H73" s="43"/>
      <c r="I73" s="34">
        <f>SUM(F73:H73)</f>
        <v>0</v>
      </c>
      <c r="J73" s="43"/>
      <c r="K73" s="43"/>
      <c r="L73" s="43"/>
      <c r="M73" s="34">
        <f>SUM(J73:L73)</f>
        <v>0</v>
      </c>
      <c r="N73" s="43"/>
      <c r="O73" s="43"/>
      <c r="P73" s="43"/>
      <c r="Q73" s="34">
        <f>SUM(N73:P73)</f>
        <v>0</v>
      </c>
      <c r="R73" s="43"/>
      <c r="S73" s="43"/>
      <c r="T73" s="43"/>
      <c r="U73" s="34">
        <f>SUM(R73:T73)</f>
        <v>0</v>
      </c>
      <c r="V73" s="34">
        <f>I73+M73+Q73+U73</f>
        <v>0</v>
      </c>
    </row>
    <row r="74" spans="1:22" ht="13.15" outlineLevel="2">
      <c r="A74" s="24"/>
      <c r="B74" s="27"/>
      <c r="C74" s="27" t="s">
        <v>8</v>
      </c>
      <c r="D74" s="27"/>
      <c r="E74" s="9">
        <v>0</v>
      </c>
      <c r="F74" s="43"/>
      <c r="G74" s="43"/>
      <c r="H74" s="43"/>
      <c r="I74" s="34">
        <f>SUM(F74:H74)</f>
        <v>0</v>
      </c>
      <c r="J74" s="43"/>
      <c r="K74" s="43"/>
      <c r="L74" s="43"/>
      <c r="M74" s="34">
        <f>SUM(J74:L74)</f>
        <v>0</v>
      </c>
      <c r="N74" s="43"/>
      <c r="O74" s="43"/>
      <c r="P74" s="43"/>
      <c r="Q74" s="34">
        <f>SUM(N74:P74)</f>
        <v>0</v>
      </c>
      <c r="R74" s="43"/>
      <c r="S74" s="43"/>
      <c r="T74" s="43"/>
      <c r="U74" s="34">
        <f>SUM(R74:T74)</f>
        <v>0</v>
      </c>
      <c r="V74" s="34">
        <f>I74+M74+Q74+U74</f>
        <v>0</v>
      </c>
    </row>
    <row r="75" spans="1:22" ht="13.15" outlineLevel="2">
      <c r="A75" s="24"/>
      <c r="B75" s="27"/>
      <c r="C75" s="27" t="s">
        <v>9</v>
      </c>
      <c r="D75" s="27"/>
      <c r="E75" s="9">
        <v>0</v>
      </c>
      <c r="F75" s="43"/>
      <c r="G75" s="43"/>
      <c r="H75" s="43"/>
      <c r="I75" s="34">
        <f>SUM(F75:H75)</f>
        <v>0</v>
      </c>
      <c r="J75" s="43"/>
      <c r="K75" s="43"/>
      <c r="L75" s="43"/>
      <c r="M75" s="34">
        <f>SUM(J75:L75)</f>
        <v>0</v>
      </c>
      <c r="N75" s="43"/>
      <c r="O75" s="43"/>
      <c r="P75" s="43"/>
      <c r="Q75" s="34">
        <f>SUM(N75:P75)</f>
        <v>0</v>
      </c>
      <c r="R75" s="43"/>
      <c r="S75" s="43"/>
      <c r="T75" s="43"/>
      <c r="U75" s="34">
        <f>SUM(R75:T75)</f>
        <v>0</v>
      </c>
      <c r="V75" s="34">
        <f>I75+M75+Q75+U75</f>
        <v>0</v>
      </c>
    </row>
    <row r="76" spans="1:22" ht="13.15" outlineLevel="1">
      <c r="A76" s="24"/>
      <c r="B76" s="29" t="s">
        <v>10</v>
      </c>
      <c r="C76" s="30"/>
      <c r="D76" s="30"/>
      <c r="E76" s="10"/>
      <c r="F76" s="45">
        <f t="shared" ref="F76" si="70">SUM(F73:F75)</f>
        <v>0</v>
      </c>
      <c r="G76" s="45">
        <f t="shared" ref="G76" si="71">SUM(G73:G75)</f>
        <v>0</v>
      </c>
      <c r="H76" s="45">
        <f t="shared" ref="H76" si="72">SUM(H73:H75)</f>
        <v>0</v>
      </c>
      <c r="I76" s="35">
        <f>SUM(I73:I75)</f>
        <v>0</v>
      </c>
      <c r="J76" s="45">
        <f t="shared" ref="J76:L76" si="73">SUM(J73:J75)</f>
        <v>0</v>
      </c>
      <c r="K76" s="45">
        <f t="shared" si="73"/>
        <v>0</v>
      </c>
      <c r="L76" s="45">
        <f t="shared" si="73"/>
        <v>0</v>
      </c>
      <c r="M76" s="35">
        <f>SUM(M73:M75)</f>
        <v>0</v>
      </c>
      <c r="N76" s="45">
        <f t="shared" ref="N76:P76" si="74">SUM(N73:N75)</f>
        <v>0</v>
      </c>
      <c r="O76" s="45">
        <f t="shared" si="74"/>
        <v>0</v>
      </c>
      <c r="P76" s="45">
        <f t="shared" si="74"/>
        <v>0</v>
      </c>
      <c r="Q76" s="35">
        <f>SUM(Q73:Q75)</f>
        <v>0</v>
      </c>
      <c r="R76" s="45">
        <f t="shared" ref="R76:T76" si="75">SUM(R73:R75)</f>
        <v>0</v>
      </c>
      <c r="S76" s="45">
        <f t="shared" si="75"/>
        <v>0</v>
      </c>
      <c r="T76" s="45">
        <f t="shared" si="75"/>
        <v>0</v>
      </c>
      <c r="U76" s="35">
        <f>SUM(U73:U75)</f>
        <v>0</v>
      </c>
      <c r="V76" s="35">
        <f>I76+M76+Q76+U76</f>
        <v>0</v>
      </c>
    </row>
    <row r="77" spans="1:22" ht="13.15">
      <c r="A77" s="31"/>
      <c r="B77" s="32"/>
      <c r="C77" s="31"/>
      <c r="D77" s="32" t="s">
        <v>11</v>
      </c>
      <c r="E77" s="9"/>
      <c r="F77" s="139">
        <f>F52+F53+F66+F71+F76</f>
        <v>37698000</v>
      </c>
      <c r="G77" s="139">
        <f>G52+G53+G66+G71+G76</f>
        <v>37698000</v>
      </c>
      <c r="H77" s="139">
        <f>H52+H53+H66+H71+H76</f>
        <v>37698000</v>
      </c>
      <c r="I77" s="139">
        <f>I76+I71+I66+I53+I52</f>
        <v>113094000</v>
      </c>
      <c r="J77" s="139">
        <f>J52+J53+J66+J71+J76</f>
        <v>37698000</v>
      </c>
      <c r="K77" s="139">
        <f>K52+K53+K66+K71+K76</f>
        <v>37698000</v>
      </c>
      <c r="L77" s="139">
        <f>L52+L53+L66+L71+L76</f>
        <v>37698000</v>
      </c>
      <c r="M77" s="139">
        <f>M76+M71+M66+M53+M52</f>
        <v>113094000</v>
      </c>
      <c r="N77" s="139">
        <f>N52+N53+N66+N71+N76</f>
        <v>37698000</v>
      </c>
      <c r="O77" s="139">
        <f>O52+O53+O66+O71+O76</f>
        <v>37698000</v>
      </c>
      <c r="P77" s="139">
        <f>P52+P53+P66+P71+P76</f>
        <v>37698000</v>
      </c>
      <c r="Q77" s="139">
        <f>Q76+Q71+Q66+Q53+Q52</f>
        <v>113094000</v>
      </c>
      <c r="R77" s="139">
        <f>R52+R53+R66+R71+R76</f>
        <v>37698000</v>
      </c>
      <c r="S77" s="139">
        <f>S52+S53+S66+S71+S76</f>
        <v>37698000</v>
      </c>
      <c r="T77" s="139">
        <f>T52+T53+T66+T71+T76</f>
        <v>37698000</v>
      </c>
      <c r="U77" s="139">
        <f>U76+U71+U66+U53+U52</f>
        <v>113094000</v>
      </c>
      <c r="V77" s="139">
        <f>I77+M77+Q77+U77</f>
        <v>452376000</v>
      </c>
    </row>
    <row r="78" spans="1:22" ht="13.15" outlineLevel="1">
      <c r="A78" s="32" t="s">
        <v>12</v>
      </c>
      <c r="B78" s="32"/>
      <c r="C78" s="33"/>
      <c r="D78" s="33"/>
      <c r="E78" s="9"/>
      <c r="F78" s="44"/>
      <c r="G78" s="44"/>
      <c r="H78" s="44"/>
      <c r="I78" s="35"/>
      <c r="J78" s="44"/>
      <c r="K78" s="44"/>
      <c r="L78" s="44"/>
      <c r="M78" s="35"/>
      <c r="N78" s="44"/>
      <c r="O78" s="44"/>
      <c r="P78" s="44"/>
      <c r="Q78" s="35"/>
      <c r="R78" s="44"/>
      <c r="S78" s="44"/>
      <c r="T78" s="44"/>
      <c r="U78" s="35"/>
      <c r="V78" s="35"/>
    </row>
    <row r="79" spans="1:22" ht="13.15" outlineLevel="2">
      <c r="A79" s="24"/>
      <c r="B79" s="26" t="s">
        <v>13</v>
      </c>
      <c r="C79" s="27"/>
      <c r="D79" s="27"/>
      <c r="E79" s="9"/>
      <c r="F79" s="129"/>
      <c r="G79" s="129"/>
      <c r="H79" s="129"/>
      <c r="I79" s="36"/>
      <c r="J79" s="129"/>
      <c r="K79" s="129"/>
      <c r="L79" s="129"/>
      <c r="M79" s="36"/>
      <c r="N79" s="129"/>
      <c r="O79" s="129"/>
      <c r="P79" s="129"/>
      <c r="Q79" s="36"/>
      <c r="R79" s="129"/>
      <c r="S79" s="129"/>
      <c r="T79" s="129"/>
      <c r="U79" s="36"/>
      <c r="V79" s="36"/>
    </row>
    <row r="80" spans="1:22" ht="13.15" outlineLevel="2">
      <c r="A80" s="24"/>
      <c r="B80" s="27"/>
      <c r="C80" s="28" t="s">
        <v>66</v>
      </c>
      <c r="D80" s="27"/>
      <c r="E80" s="9">
        <v>0</v>
      </c>
      <c r="F80" s="96"/>
      <c r="G80" s="96"/>
      <c r="H80" s="96"/>
      <c r="I80" s="34">
        <f t="shared" ref="I80:I87" si="76">SUM(F80:H80)</f>
        <v>0</v>
      </c>
      <c r="J80" s="96"/>
      <c r="K80" s="96"/>
      <c r="L80" s="96"/>
      <c r="M80" s="34">
        <f t="shared" ref="M80:M87" si="77">SUM(J80:L80)</f>
        <v>0</v>
      </c>
      <c r="N80" s="96"/>
      <c r="O80" s="96"/>
      <c r="P80" s="96"/>
      <c r="Q80" s="34">
        <f t="shared" ref="Q80:Q87" si="78">SUM(N80:P80)</f>
        <v>0</v>
      </c>
      <c r="R80" s="96"/>
      <c r="S80" s="96"/>
      <c r="T80" s="96"/>
      <c r="U80" s="34">
        <f t="shared" ref="U80:U87" si="79">SUM(R80:T80)</f>
        <v>0</v>
      </c>
      <c r="V80" s="34">
        <f t="shared" ref="V80:V97" si="80">I80+M80+Q80+U80</f>
        <v>0</v>
      </c>
    </row>
    <row r="81" spans="1:22" ht="13.15" outlineLevel="2">
      <c r="A81" s="24"/>
      <c r="B81" s="27"/>
      <c r="C81" s="28" t="s">
        <v>67</v>
      </c>
      <c r="D81" s="27"/>
      <c r="E81" s="9">
        <v>0</v>
      </c>
      <c r="F81" s="96">
        <v>0</v>
      </c>
      <c r="G81" s="96"/>
      <c r="H81" s="96"/>
      <c r="I81" s="34">
        <f t="shared" si="76"/>
        <v>0</v>
      </c>
      <c r="J81" s="96"/>
      <c r="K81" s="96"/>
      <c r="L81" s="96"/>
      <c r="M81" s="34">
        <f t="shared" si="77"/>
        <v>0</v>
      </c>
      <c r="N81" s="96"/>
      <c r="O81" s="96"/>
      <c r="P81" s="96"/>
      <c r="Q81" s="34">
        <f t="shared" si="78"/>
        <v>0</v>
      </c>
      <c r="R81" s="96"/>
      <c r="S81" s="96"/>
      <c r="T81" s="96"/>
      <c r="U81" s="34">
        <f t="shared" si="79"/>
        <v>0</v>
      </c>
      <c r="V81" s="34">
        <f t="shared" si="80"/>
        <v>0</v>
      </c>
    </row>
    <row r="82" spans="1:22" ht="13.15" outlineLevel="2">
      <c r="A82" s="24"/>
      <c r="B82" s="27"/>
      <c r="C82" s="28" t="s">
        <v>100</v>
      </c>
      <c r="D82" s="27"/>
      <c r="E82" s="9">
        <v>0</v>
      </c>
      <c r="F82" s="96"/>
      <c r="G82" s="96"/>
      <c r="H82" s="96"/>
      <c r="I82" s="34">
        <f t="shared" si="76"/>
        <v>0</v>
      </c>
      <c r="J82" s="96"/>
      <c r="K82" s="96"/>
      <c r="L82" s="96"/>
      <c r="M82" s="34">
        <f t="shared" si="77"/>
        <v>0</v>
      </c>
      <c r="N82" s="96"/>
      <c r="O82" s="96"/>
      <c r="P82" s="96"/>
      <c r="Q82" s="34">
        <f t="shared" si="78"/>
        <v>0</v>
      </c>
      <c r="R82" s="96"/>
      <c r="S82" s="96"/>
      <c r="T82" s="96"/>
      <c r="U82" s="34">
        <f t="shared" si="79"/>
        <v>0</v>
      </c>
      <c r="V82" s="34">
        <f t="shared" si="80"/>
        <v>0</v>
      </c>
    </row>
    <row r="83" spans="1:22" ht="13.15" outlineLevel="2">
      <c r="A83" s="24"/>
      <c r="B83" s="27"/>
      <c r="C83" s="28" t="s">
        <v>99</v>
      </c>
      <c r="D83" s="27"/>
      <c r="E83" s="9"/>
      <c r="F83" s="96"/>
      <c r="G83" s="96"/>
      <c r="H83" s="96"/>
      <c r="I83" s="34">
        <f t="shared" si="76"/>
        <v>0</v>
      </c>
      <c r="J83" s="96"/>
      <c r="K83" s="96"/>
      <c r="L83" s="96"/>
      <c r="M83" s="34">
        <f t="shared" si="77"/>
        <v>0</v>
      </c>
      <c r="N83" s="96"/>
      <c r="O83" s="96"/>
      <c r="P83" s="96"/>
      <c r="Q83" s="34">
        <f t="shared" si="78"/>
        <v>0</v>
      </c>
      <c r="R83" s="96"/>
      <c r="S83" s="96"/>
      <c r="T83" s="96"/>
      <c r="U83" s="34">
        <f t="shared" si="79"/>
        <v>0</v>
      </c>
      <c r="V83" s="34">
        <f t="shared" si="80"/>
        <v>0</v>
      </c>
    </row>
    <row r="84" spans="1:22" ht="13.15" outlineLevel="2">
      <c r="A84" s="24"/>
      <c r="B84" s="27"/>
      <c r="C84" s="28" t="s">
        <v>101</v>
      </c>
      <c r="D84" s="27"/>
      <c r="E84" s="9"/>
      <c r="F84" s="96"/>
      <c r="G84" s="96"/>
      <c r="H84" s="96"/>
      <c r="I84" s="34">
        <f t="shared" si="76"/>
        <v>0</v>
      </c>
      <c r="J84" s="96"/>
      <c r="K84" s="96"/>
      <c r="L84" s="96"/>
      <c r="M84" s="34">
        <f t="shared" si="77"/>
        <v>0</v>
      </c>
      <c r="N84" s="96"/>
      <c r="O84" s="96"/>
      <c r="P84" s="96"/>
      <c r="Q84" s="34">
        <f t="shared" si="78"/>
        <v>0</v>
      </c>
      <c r="R84" s="96"/>
      <c r="S84" s="96"/>
      <c r="T84" s="96"/>
      <c r="U84" s="34">
        <f t="shared" si="79"/>
        <v>0</v>
      </c>
      <c r="V84" s="34">
        <f t="shared" si="80"/>
        <v>0</v>
      </c>
    </row>
    <row r="85" spans="1:22" ht="13.15" outlineLevel="2">
      <c r="A85" s="24"/>
      <c r="B85" s="27"/>
      <c r="C85" s="28" t="s">
        <v>41</v>
      </c>
      <c r="D85" s="27"/>
      <c r="E85" s="9">
        <v>0</v>
      </c>
      <c r="F85" s="96"/>
      <c r="G85" s="96"/>
      <c r="H85" s="96"/>
      <c r="I85" s="34">
        <f t="shared" si="76"/>
        <v>0</v>
      </c>
      <c r="J85" s="96"/>
      <c r="K85" s="96"/>
      <c r="L85" s="96"/>
      <c r="M85" s="34">
        <f t="shared" si="77"/>
        <v>0</v>
      </c>
      <c r="N85" s="96"/>
      <c r="O85" s="96"/>
      <c r="P85" s="96"/>
      <c r="Q85" s="34">
        <f t="shared" si="78"/>
        <v>0</v>
      </c>
      <c r="R85" s="96"/>
      <c r="S85" s="96"/>
      <c r="T85" s="96"/>
      <c r="U85" s="34">
        <f t="shared" si="79"/>
        <v>0</v>
      </c>
      <c r="V85" s="34">
        <f t="shared" si="80"/>
        <v>0</v>
      </c>
    </row>
    <row r="86" spans="1:22" ht="13.15" outlineLevel="2">
      <c r="A86" s="24"/>
      <c r="B86" s="27"/>
      <c r="C86" s="28" t="s">
        <v>114</v>
      </c>
      <c r="D86" s="27"/>
      <c r="E86" s="9">
        <v>0</v>
      </c>
      <c r="F86" s="96"/>
      <c r="G86" s="96"/>
      <c r="H86" s="96"/>
      <c r="I86" s="34">
        <f t="shared" si="76"/>
        <v>0</v>
      </c>
      <c r="J86" s="96"/>
      <c r="K86" s="96"/>
      <c r="L86" s="96"/>
      <c r="M86" s="34">
        <f t="shared" si="77"/>
        <v>0</v>
      </c>
      <c r="N86" s="96"/>
      <c r="O86" s="96"/>
      <c r="P86" s="96"/>
      <c r="Q86" s="34">
        <f t="shared" si="78"/>
        <v>0</v>
      </c>
      <c r="R86" s="96"/>
      <c r="S86" s="96"/>
      <c r="T86" s="96"/>
      <c r="U86" s="34">
        <f t="shared" si="79"/>
        <v>0</v>
      </c>
      <c r="V86" s="34">
        <f t="shared" si="80"/>
        <v>0</v>
      </c>
    </row>
    <row r="87" spans="1:22" ht="13.15" outlineLevel="2">
      <c r="A87" s="24"/>
      <c r="B87" s="27"/>
      <c r="C87" s="28" t="s">
        <v>105</v>
      </c>
      <c r="D87" s="27"/>
      <c r="E87" s="9">
        <v>0</v>
      </c>
      <c r="F87" s="96"/>
      <c r="G87" s="96"/>
      <c r="H87" s="96"/>
      <c r="I87" s="34">
        <f t="shared" si="76"/>
        <v>0</v>
      </c>
      <c r="J87" s="96"/>
      <c r="K87" s="96"/>
      <c r="L87" s="96"/>
      <c r="M87" s="34">
        <f t="shared" si="77"/>
        <v>0</v>
      </c>
      <c r="N87" s="96"/>
      <c r="O87" s="96"/>
      <c r="P87" s="96"/>
      <c r="Q87" s="34">
        <f t="shared" si="78"/>
        <v>0</v>
      </c>
      <c r="R87" s="96"/>
      <c r="S87" s="96"/>
      <c r="T87" s="96"/>
      <c r="U87" s="34">
        <f t="shared" si="79"/>
        <v>0</v>
      </c>
      <c r="V87" s="34">
        <f t="shared" si="80"/>
        <v>0</v>
      </c>
    </row>
    <row r="88" spans="1:22" ht="13.15" outlineLevel="1">
      <c r="A88" s="24"/>
      <c r="B88" s="30" t="s">
        <v>14</v>
      </c>
      <c r="C88" s="30"/>
      <c r="D88" s="30"/>
      <c r="E88" s="10"/>
      <c r="F88" s="45">
        <f t="shared" ref="F88:Q89" si="81">SUM(F80:F87)</f>
        <v>0</v>
      </c>
      <c r="G88" s="45">
        <f t="shared" si="81"/>
        <v>0</v>
      </c>
      <c r="H88" s="45">
        <f t="shared" ref="H88" si="82">SUM(H80:H87)</f>
        <v>0</v>
      </c>
      <c r="I88" s="35">
        <f t="shared" si="81"/>
        <v>0</v>
      </c>
      <c r="J88" s="45">
        <f t="shared" ref="J88:L88" si="83">SUM(J80:J87)</f>
        <v>0</v>
      </c>
      <c r="K88" s="45">
        <f t="shared" si="83"/>
        <v>0</v>
      </c>
      <c r="L88" s="45">
        <f t="shared" si="83"/>
        <v>0</v>
      </c>
      <c r="M88" s="35">
        <f t="shared" si="81"/>
        <v>0</v>
      </c>
      <c r="N88" s="45">
        <f t="shared" ref="N88:P88" si="84">SUM(N80:N87)</f>
        <v>0</v>
      </c>
      <c r="O88" s="45">
        <f t="shared" si="84"/>
        <v>0</v>
      </c>
      <c r="P88" s="45">
        <f t="shared" si="84"/>
        <v>0</v>
      </c>
      <c r="Q88" s="35">
        <f t="shared" si="81"/>
        <v>0</v>
      </c>
      <c r="R88" s="45">
        <f t="shared" ref="R88:T88" si="85">SUM(R80:R87)</f>
        <v>0</v>
      </c>
      <c r="S88" s="45">
        <f t="shared" si="85"/>
        <v>0</v>
      </c>
      <c r="T88" s="45">
        <f t="shared" si="85"/>
        <v>0</v>
      </c>
      <c r="U88" s="35">
        <f t="shared" ref="U88:U89" si="86">SUM(U80:U87)</f>
        <v>0</v>
      </c>
      <c r="V88" s="35">
        <f t="shared" si="80"/>
        <v>0</v>
      </c>
    </row>
    <row r="89" spans="1:22" s="4" customFormat="1" ht="13.15" outlineLevel="1">
      <c r="A89" s="24"/>
      <c r="B89" s="24" t="s">
        <v>15</v>
      </c>
      <c r="C89" s="24"/>
      <c r="D89" s="24"/>
      <c r="E89" s="8">
        <v>0</v>
      </c>
      <c r="F89" s="44">
        <v>0</v>
      </c>
      <c r="G89" s="44">
        <v>0</v>
      </c>
      <c r="H89" s="44">
        <v>0</v>
      </c>
      <c r="I89" s="35">
        <f t="shared" si="81"/>
        <v>0</v>
      </c>
      <c r="J89" s="44">
        <v>0</v>
      </c>
      <c r="K89" s="44">
        <v>0</v>
      </c>
      <c r="L89" s="44">
        <v>0</v>
      </c>
      <c r="M89" s="35">
        <f t="shared" si="81"/>
        <v>0</v>
      </c>
      <c r="N89" s="44">
        <v>0</v>
      </c>
      <c r="O89" s="44">
        <v>0</v>
      </c>
      <c r="P89" s="44">
        <v>0</v>
      </c>
      <c r="Q89" s="35">
        <f t="shared" si="81"/>
        <v>0</v>
      </c>
      <c r="R89" s="44">
        <v>0</v>
      </c>
      <c r="S89" s="44">
        <v>0</v>
      </c>
      <c r="T89" s="44">
        <v>0</v>
      </c>
      <c r="U89" s="35">
        <f t="shared" si="86"/>
        <v>0</v>
      </c>
      <c r="V89" s="35">
        <f t="shared" si="80"/>
        <v>0</v>
      </c>
    </row>
    <row r="90" spans="1:22" ht="13.15" outlineLevel="2">
      <c r="A90" s="24"/>
      <c r="B90" s="26" t="s">
        <v>16</v>
      </c>
      <c r="C90" s="27"/>
      <c r="D90" s="27"/>
      <c r="E90" s="9"/>
      <c r="F90" s="129"/>
      <c r="G90" s="129"/>
      <c r="H90" s="129"/>
      <c r="I90" s="34">
        <f t="shared" ref="I90:I96" si="87">SUM(F90:H90)</f>
        <v>0</v>
      </c>
      <c r="J90" s="129"/>
      <c r="K90" s="129"/>
      <c r="L90" s="129"/>
      <c r="M90" s="34">
        <f t="shared" ref="M90:M96" si="88">SUM(J90:L90)</f>
        <v>0</v>
      </c>
      <c r="N90" s="129"/>
      <c r="O90" s="129"/>
      <c r="P90" s="129"/>
      <c r="Q90" s="34">
        <f t="shared" ref="Q90:Q96" si="89">SUM(N90:P90)</f>
        <v>0</v>
      </c>
      <c r="R90" s="129"/>
      <c r="S90" s="129"/>
      <c r="T90" s="129"/>
      <c r="U90" s="34">
        <f t="shared" ref="U90" si="90">SUM(R90:T90)</f>
        <v>0</v>
      </c>
      <c r="V90" s="34">
        <f t="shared" si="80"/>
        <v>0</v>
      </c>
    </row>
    <row r="91" spans="1:22" ht="13.15" outlineLevel="2">
      <c r="A91" s="24"/>
      <c r="B91" s="27"/>
      <c r="C91" s="28" t="s">
        <v>42</v>
      </c>
      <c r="D91" s="27"/>
      <c r="E91" s="9">
        <v>0</v>
      </c>
      <c r="F91" s="43"/>
      <c r="G91" s="43"/>
      <c r="H91" s="43"/>
      <c r="I91" s="34">
        <f t="shared" si="87"/>
        <v>0</v>
      </c>
      <c r="J91" s="43"/>
      <c r="K91" s="43"/>
      <c r="L91" s="43"/>
      <c r="M91" s="34">
        <f t="shared" si="88"/>
        <v>0</v>
      </c>
      <c r="N91" s="43"/>
      <c r="O91" s="43"/>
      <c r="P91" s="43"/>
      <c r="Q91" s="34">
        <f t="shared" si="89"/>
        <v>0</v>
      </c>
      <c r="R91" s="43"/>
      <c r="S91" s="43"/>
      <c r="T91" s="43"/>
      <c r="U91" s="34">
        <f t="shared" ref="U91:U96" si="91">SUM(R91:T91)</f>
        <v>0</v>
      </c>
      <c r="V91" s="34">
        <f t="shared" si="80"/>
        <v>0</v>
      </c>
    </row>
    <row r="92" spans="1:22" ht="13.15" outlineLevel="2">
      <c r="A92" s="24"/>
      <c r="B92" s="27"/>
      <c r="C92" s="28" t="s">
        <v>43</v>
      </c>
      <c r="D92" s="27"/>
      <c r="E92" s="9">
        <v>0</v>
      </c>
      <c r="F92" s="43">
        <v>30000</v>
      </c>
      <c r="G92" s="43">
        <v>30000</v>
      </c>
      <c r="H92" s="43">
        <v>30000</v>
      </c>
      <c r="I92" s="34">
        <f t="shared" si="87"/>
        <v>90000</v>
      </c>
      <c r="J92" s="43">
        <v>30000</v>
      </c>
      <c r="K92" s="43">
        <v>30000</v>
      </c>
      <c r="L92" s="43">
        <v>30000</v>
      </c>
      <c r="M92" s="34">
        <f t="shared" si="88"/>
        <v>90000</v>
      </c>
      <c r="N92" s="43">
        <v>30000</v>
      </c>
      <c r="O92" s="43">
        <v>30000</v>
      </c>
      <c r="P92" s="43">
        <v>30000</v>
      </c>
      <c r="Q92" s="34">
        <f t="shared" si="89"/>
        <v>90000</v>
      </c>
      <c r="R92" s="43">
        <v>30000</v>
      </c>
      <c r="S92" s="43">
        <v>30000</v>
      </c>
      <c r="T92" s="43">
        <v>30000</v>
      </c>
      <c r="U92" s="34">
        <f t="shared" si="91"/>
        <v>90000</v>
      </c>
      <c r="V92" s="34">
        <f t="shared" si="80"/>
        <v>360000</v>
      </c>
    </row>
    <row r="93" spans="1:22" ht="13.15" outlineLevel="2">
      <c r="A93" s="24"/>
      <c r="B93" s="27"/>
      <c r="C93" s="28" t="s">
        <v>53</v>
      </c>
      <c r="D93" s="27"/>
      <c r="E93" s="9">
        <v>0</v>
      </c>
      <c r="F93" s="43"/>
      <c r="G93" s="43"/>
      <c r="H93" s="43"/>
      <c r="I93" s="34">
        <f t="shared" si="87"/>
        <v>0</v>
      </c>
      <c r="J93" s="43"/>
      <c r="K93" s="43"/>
      <c r="L93" s="43"/>
      <c r="M93" s="34">
        <f t="shared" si="88"/>
        <v>0</v>
      </c>
      <c r="N93" s="43"/>
      <c r="O93" s="43"/>
      <c r="P93" s="43"/>
      <c r="Q93" s="34">
        <f t="shared" si="89"/>
        <v>0</v>
      </c>
      <c r="R93" s="43"/>
      <c r="S93" s="43"/>
      <c r="T93" s="43"/>
      <c r="U93" s="34">
        <f t="shared" si="91"/>
        <v>0</v>
      </c>
      <c r="V93" s="34">
        <f t="shared" si="80"/>
        <v>0</v>
      </c>
    </row>
    <row r="94" spans="1:22" ht="13.15" outlineLevel="2">
      <c r="A94" s="24"/>
      <c r="B94" s="27"/>
      <c r="C94" s="28" t="s">
        <v>44</v>
      </c>
      <c r="D94" s="27"/>
      <c r="E94" s="9">
        <v>0</v>
      </c>
      <c r="F94" s="43"/>
      <c r="G94" s="43"/>
      <c r="H94" s="43"/>
      <c r="I94" s="34">
        <f t="shared" si="87"/>
        <v>0</v>
      </c>
      <c r="J94" s="43"/>
      <c r="K94" s="43"/>
      <c r="L94" s="43"/>
      <c r="M94" s="34">
        <f t="shared" si="88"/>
        <v>0</v>
      </c>
      <c r="N94" s="43"/>
      <c r="O94" s="43"/>
      <c r="P94" s="43"/>
      <c r="Q94" s="34">
        <f t="shared" si="89"/>
        <v>0</v>
      </c>
      <c r="R94" s="43"/>
      <c r="S94" s="43"/>
      <c r="T94" s="43"/>
      <c r="U94" s="34">
        <f t="shared" si="91"/>
        <v>0</v>
      </c>
      <c r="V94" s="34">
        <f t="shared" si="80"/>
        <v>0</v>
      </c>
    </row>
    <row r="95" spans="1:22" ht="13.15" outlineLevel="2">
      <c r="A95" s="24"/>
      <c r="B95" s="27"/>
      <c r="C95" s="28" t="s">
        <v>51</v>
      </c>
      <c r="D95" s="27"/>
      <c r="E95" s="9">
        <v>0</v>
      </c>
      <c r="F95" s="43"/>
      <c r="G95" s="43"/>
      <c r="H95" s="43"/>
      <c r="I95" s="34">
        <f t="shared" si="87"/>
        <v>0</v>
      </c>
      <c r="J95" s="43"/>
      <c r="K95" s="43"/>
      <c r="L95" s="43"/>
      <c r="M95" s="34">
        <f t="shared" si="88"/>
        <v>0</v>
      </c>
      <c r="N95" s="43"/>
      <c r="O95" s="43"/>
      <c r="P95" s="43"/>
      <c r="Q95" s="34">
        <f t="shared" si="89"/>
        <v>0</v>
      </c>
      <c r="R95" s="43"/>
      <c r="S95" s="43"/>
      <c r="T95" s="43"/>
      <c r="U95" s="34">
        <f t="shared" si="91"/>
        <v>0</v>
      </c>
      <c r="V95" s="34">
        <f t="shared" si="80"/>
        <v>0</v>
      </c>
    </row>
    <row r="96" spans="1:22" ht="13.15" outlineLevel="2">
      <c r="A96" s="24"/>
      <c r="B96" s="27"/>
      <c r="C96" s="28" t="s">
        <v>50</v>
      </c>
      <c r="D96" s="27"/>
      <c r="E96" s="9">
        <v>0</v>
      </c>
      <c r="F96" s="43"/>
      <c r="G96" s="43"/>
      <c r="H96" s="43"/>
      <c r="I96" s="34">
        <f t="shared" si="87"/>
        <v>0</v>
      </c>
      <c r="J96" s="43"/>
      <c r="K96" s="43"/>
      <c r="L96" s="43"/>
      <c r="M96" s="34">
        <f t="shared" si="88"/>
        <v>0</v>
      </c>
      <c r="N96" s="43"/>
      <c r="O96" s="43"/>
      <c r="P96" s="43"/>
      <c r="Q96" s="34">
        <f t="shared" si="89"/>
        <v>0</v>
      </c>
      <c r="R96" s="43"/>
      <c r="S96" s="43"/>
      <c r="T96" s="43"/>
      <c r="U96" s="34">
        <f t="shared" si="91"/>
        <v>0</v>
      </c>
      <c r="V96" s="34">
        <f t="shared" si="80"/>
        <v>0</v>
      </c>
    </row>
    <row r="97" spans="1:22" ht="13.15" outlineLevel="1">
      <c r="A97" s="24"/>
      <c r="B97" s="24" t="s">
        <v>17</v>
      </c>
      <c r="C97" s="24"/>
      <c r="D97" s="24"/>
      <c r="E97" s="8"/>
      <c r="F97" s="44">
        <f t="shared" ref="F97:H97" si="92">SUM(F91:F96)</f>
        <v>30000</v>
      </c>
      <c r="G97" s="44">
        <f t="shared" si="92"/>
        <v>30000</v>
      </c>
      <c r="H97" s="44">
        <f t="shared" si="92"/>
        <v>30000</v>
      </c>
      <c r="I97" s="35">
        <f>SUM(I91:I96)</f>
        <v>90000</v>
      </c>
      <c r="J97" s="44">
        <f t="shared" ref="J97:L97" si="93">SUM(J91:J96)</f>
        <v>30000</v>
      </c>
      <c r="K97" s="44">
        <f t="shared" si="93"/>
        <v>30000</v>
      </c>
      <c r="L97" s="44">
        <f t="shared" si="93"/>
        <v>30000</v>
      </c>
      <c r="M97" s="35">
        <f>SUM(M91:M96)</f>
        <v>90000</v>
      </c>
      <c r="N97" s="44">
        <f t="shared" ref="N97:P97" si="94">SUM(N91:N96)</f>
        <v>30000</v>
      </c>
      <c r="O97" s="44">
        <f t="shared" si="94"/>
        <v>30000</v>
      </c>
      <c r="P97" s="44">
        <f t="shared" si="94"/>
        <v>30000</v>
      </c>
      <c r="Q97" s="35">
        <f>SUM(Q91:Q96)</f>
        <v>90000</v>
      </c>
      <c r="R97" s="44">
        <f t="shared" ref="R97:T97" si="95">SUM(R91:R96)</f>
        <v>30000</v>
      </c>
      <c r="S97" s="44">
        <f t="shared" si="95"/>
        <v>30000</v>
      </c>
      <c r="T97" s="44">
        <f t="shared" si="95"/>
        <v>30000</v>
      </c>
      <c r="U97" s="35">
        <f>SUM(U91:U96)</f>
        <v>90000</v>
      </c>
      <c r="V97" s="35">
        <f t="shared" si="80"/>
        <v>360000</v>
      </c>
    </row>
    <row r="98" spans="1:22" ht="13.15" outlineLevel="2">
      <c r="A98" s="24"/>
      <c r="B98" s="26" t="s">
        <v>18</v>
      </c>
      <c r="C98" s="27"/>
      <c r="D98" s="27"/>
      <c r="E98" s="9"/>
      <c r="F98" s="129"/>
      <c r="G98" s="129"/>
      <c r="H98" s="129"/>
      <c r="I98" s="36"/>
      <c r="J98" s="129"/>
      <c r="K98" s="129"/>
      <c r="L98" s="129"/>
      <c r="M98" s="36"/>
      <c r="N98" s="129"/>
      <c r="O98" s="129"/>
      <c r="P98" s="129"/>
      <c r="Q98" s="36"/>
      <c r="R98" s="129"/>
      <c r="S98" s="129"/>
      <c r="T98" s="129"/>
      <c r="U98" s="36"/>
      <c r="V98" s="36"/>
    </row>
    <row r="99" spans="1:22" ht="13.15" outlineLevel="2">
      <c r="A99" s="24"/>
      <c r="B99" s="27"/>
      <c r="C99" s="28" t="s">
        <v>68</v>
      </c>
      <c r="D99" s="27"/>
      <c r="E99" s="9">
        <v>0</v>
      </c>
      <c r="F99" s="96"/>
      <c r="G99" s="96"/>
      <c r="H99" s="96"/>
      <c r="I99" s="34">
        <f t="shared" ref="I99:I105" si="96">SUM(F99:H99)</f>
        <v>0</v>
      </c>
      <c r="J99" s="96"/>
      <c r="K99" s="96"/>
      <c r="L99" s="96"/>
      <c r="M99" s="34">
        <f t="shared" ref="M99:M105" si="97">SUM(J99:L99)</f>
        <v>0</v>
      </c>
      <c r="N99" s="96"/>
      <c r="O99" s="96"/>
      <c r="P99" s="96"/>
      <c r="Q99" s="34">
        <f t="shared" ref="Q99:Q105" si="98">SUM(N99:P99)</f>
        <v>0</v>
      </c>
      <c r="R99" s="96"/>
      <c r="S99" s="96"/>
      <c r="T99" s="96"/>
      <c r="U99" s="34">
        <f t="shared" ref="U99" si="99">SUM(R99:T99)</f>
        <v>0</v>
      </c>
      <c r="V99" s="34">
        <f t="shared" ref="V99:V106" si="100">I99+M99+Q99+U99</f>
        <v>0</v>
      </c>
    </row>
    <row r="100" spans="1:22" ht="13.15" outlineLevel="2">
      <c r="A100" s="24"/>
      <c r="B100" s="27"/>
      <c r="C100" s="28" t="s">
        <v>45</v>
      </c>
      <c r="D100" s="27"/>
      <c r="E100" s="9">
        <v>0</v>
      </c>
      <c r="F100" s="96"/>
      <c r="G100" s="96"/>
      <c r="H100" s="96"/>
      <c r="I100" s="34">
        <f t="shared" si="96"/>
        <v>0</v>
      </c>
      <c r="J100" s="96"/>
      <c r="K100" s="96"/>
      <c r="L100" s="96"/>
      <c r="M100" s="34">
        <f t="shared" si="97"/>
        <v>0</v>
      </c>
      <c r="N100" s="96"/>
      <c r="O100" s="96"/>
      <c r="P100" s="96"/>
      <c r="Q100" s="34">
        <f t="shared" si="98"/>
        <v>0</v>
      </c>
      <c r="R100" s="96"/>
      <c r="S100" s="96"/>
      <c r="T100" s="96"/>
      <c r="U100" s="34">
        <f t="shared" ref="U100:U105" si="101">SUM(R100:T100)</f>
        <v>0</v>
      </c>
      <c r="V100" s="34">
        <f t="shared" si="100"/>
        <v>0</v>
      </c>
    </row>
    <row r="101" spans="1:22" ht="13.15" outlineLevel="2">
      <c r="A101" s="24"/>
      <c r="B101" s="27"/>
      <c r="C101" s="28" t="s">
        <v>94</v>
      </c>
      <c r="D101" s="27"/>
      <c r="E101" s="9">
        <v>0</v>
      </c>
      <c r="F101" s="96"/>
      <c r="G101" s="96"/>
      <c r="H101" s="96"/>
      <c r="I101" s="34">
        <f t="shared" si="96"/>
        <v>0</v>
      </c>
      <c r="J101" s="96"/>
      <c r="K101" s="96"/>
      <c r="L101" s="96"/>
      <c r="M101" s="34">
        <f t="shared" si="97"/>
        <v>0</v>
      </c>
      <c r="N101" s="96"/>
      <c r="O101" s="96"/>
      <c r="P101" s="96"/>
      <c r="Q101" s="34">
        <f t="shared" si="98"/>
        <v>0</v>
      </c>
      <c r="R101" s="96"/>
      <c r="S101" s="96"/>
      <c r="T101" s="96"/>
      <c r="U101" s="34">
        <f t="shared" si="101"/>
        <v>0</v>
      </c>
      <c r="V101" s="34">
        <f t="shared" si="100"/>
        <v>0</v>
      </c>
    </row>
    <row r="102" spans="1:22" ht="13.15" outlineLevel="2">
      <c r="A102" s="24"/>
      <c r="B102" s="27"/>
      <c r="C102" s="28" t="s">
        <v>46</v>
      </c>
      <c r="D102" s="27"/>
      <c r="E102" s="9">
        <v>0</v>
      </c>
      <c r="F102" s="96"/>
      <c r="G102" s="96"/>
      <c r="H102" s="96"/>
      <c r="I102" s="34">
        <f t="shared" si="96"/>
        <v>0</v>
      </c>
      <c r="J102" s="96"/>
      <c r="K102" s="96"/>
      <c r="L102" s="96"/>
      <c r="M102" s="34">
        <f t="shared" si="97"/>
        <v>0</v>
      </c>
      <c r="N102" s="96"/>
      <c r="O102" s="96"/>
      <c r="P102" s="96"/>
      <c r="Q102" s="34">
        <f t="shared" si="98"/>
        <v>0</v>
      </c>
      <c r="R102" s="96"/>
      <c r="S102" s="96"/>
      <c r="T102" s="96"/>
      <c r="U102" s="34">
        <f t="shared" si="101"/>
        <v>0</v>
      </c>
      <c r="V102" s="34">
        <f t="shared" si="100"/>
        <v>0</v>
      </c>
    </row>
    <row r="103" spans="1:22" ht="13.15" outlineLevel="2">
      <c r="A103" s="24"/>
      <c r="B103" s="27"/>
      <c r="C103" s="28" t="s">
        <v>111</v>
      </c>
      <c r="D103" s="27"/>
      <c r="E103" s="9">
        <v>0</v>
      </c>
      <c r="F103" s="96"/>
      <c r="G103" s="96"/>
      <c r="H103" s="96"/>
      <c r="I103" s="34">
        <f t="shared" si="96"/>
        <v>0</v>
      </c>
      <c r="J103" s="96"/>
      <c r="K103" s="96"/>
      <c r="L103" s="96"/>
      <c r="M103" s="34">
        <f t="shared" si="97"/>
        <v>0</v>
      </c>
      <c r="N103" s="96"/>
      <c r="O103" s="96"/>
      <c r="P103" s="96"/>
      <c r="Q103" s="34">
        <f t="shared" si="98"/>
        <v>0</v>
      </c>
      <c r="R103" s="96"/>
      <c r="S103" s="96"/>
      <c r="T103" s="96"/>
      <c r="U103" s="34">
        <f t="shared" si="101"/>
        <v>0</v>
      </c>
      <c r="V103" s="34">
        <f t="shared" si="100"/>
        <v>0</v>
      </c>
    </row>
    <row r="104" spans="1:22" ht="13.15" outlineLevel="2">
      <c r="A104" s="24"/>
      <c r="B104" s="27"/>
      <c r="C104" s="28" t="s">
        <v>115</v>
      </c>
      <c r="D104" s="27"/>
      <c r="E104" s="9">
        <v>0</v>
      </c>
      <c r="F104" s="96"/>
      <c r="G104" s="96"/>
      <c r="H104" s="96"/>
      <c r="I104" s="34">
        <f t="shared" si="96"/>
        <v>0</v>
      </c>
      <c r="J104" s="96"/>
      <c r="K104" s="96"/>
      <c r="L104" s="96"/>
      <c r="M104" s="34">
        <f t="shared" si="97"/>
        <v>0</v>
      </c>
      <c r="N104" s="96"/>
      <c r="O104" s="96"/>
      <c r="P104" s="96"/>
      <c r="Q104" s="34">
        <f t="shared" si="98"/>
        <v>0</v>
      </c>
      <c r="R104" s="96"/>
      <c r="S104" s="96"/>
      <c r="T104" s="96"/>
      <c r="U104" s="34">
        <f t="shared" si="101"/>
        <v>0</v>
      </c>
      <c r="V104" s="34">
        <f t="shared" si="100"/>
        <v>0</v>
      </c>
    </row>
    <row r="105" spans="1:22" ht="13.15" outlineLevel="2">
      <c r="A105" s="24"/>
      <c r="B105" s="27"/>
      <c r="C105" s="28" t="s">
        <v>26</v>
      </c>
      <c r="D105" s="27"/>
      <c r="E105" s="9"/>
      <c r="F105" s="96"/>
      <c r="G105" s="96"/>
      <c r="H105" s="96"/>
      <c r="I105" s="34">
        <f t="shared" si="96"/>
        <v>0</v>
      </c>
      <c r="J105" s="96"/>
      <c r="K105" s="96"/>
      <c r="L105" s="96"/>
      <c r="M105" s="34">
        <f t="shared" si="97"/>
        <v>0</v>
      </c>
      <c r="N105" s="96"/>
      <c r="O105" s="96"/>
      <c r="P105" s="96"/>
      <c r="Q105" s="34">
        <f t="shared" si="98"/>
        <v>0</v>
      </c>
      <c r="R105" s="96"/>
      <c r="S105" s="96"/>
      <c r="T105" s="96"/>
      <c r="U105" s="34">
        <f t="shared" si="101"/>
        <v>0</v>
      </c>
      <c r="V105" s="34">
        <f t="shared" si="100"/>
        <v>0</v>
      </c>
    </row>
    <row r="106" spans="1:22" ht="13.15" outlineLevel="1">
      <c r="A106" s="24"/>
      <c r="B106" s="29" t="s">
        <v>19</v>
      </c>
      <c r="C106" s="30"/>
      <c r="D106" s="30"/>
      <c r="E106" s="10"/>
      <c r="F106" s="45">
        <f>SUM(F99:F105)</f>
        <v>0</v>
      </c>
      <c r="G106" s="45">
        <f>SUM(G99:G105)</f>
        <v>0</v>
      </c>
      <c r="H106" s="45">
        <f>SUM(H99:H105)</f>
        <v>0</v>
      </c>
      <c r="I106" s="35">
        <f t="shared" ref="I106" si="102">SUM(I99:I105)</f>
        <v>0</v>
      </c>
      <c r="J106" s="45">
        <f>SUM(J99:J105)</f>
        <v>0</v>
      </c>
      <c r="K106" s="45">
        <f>SUM(K99:K105)</f>
        <v>0</v>
      </c>
      <c r="L106" s="45">
        <f>SUM(L99:L105)</f>
        <v>0</v>
      </c>
      <c r="M106" s="35">
        <f t="shared" ref="M106" si="103">SUM(M99:M105)</f>
        <v>0</v>
      </c>
      <c r="N106" s="45">
        <f>SUM(N99:N105)</f>
        <v>0</v>
      </c>
      <c r="O106" s="45">
        <f>SUM(O99:O105)</f>
        <v>0</v>
      </c>
      <c r="P106" s="45">
        <f>SUM(P99:P105)</f>
        <v>0</v>
      </c>
      <c r="Q106" s="35">
        <f t="shared" ref="Q106" si="104">SUM(Q99:Q105)</f>
        <v>0</v>
      </c>
      <c r="R106" s="45">
        <f>SUM(R99:R105)</f>
        <v>0</v>
      </c>
      <c r="S106" s="45">
        <f>SUM(S99:S105)</f>
        <v>0</v>
      </c>
      <c r="T106" s="45">
        <f>SUM(T99:T105)</f>
        <v>0</v>
      </c>
      <c r="U106" s="35">
        <f t="shared" ref="U106" si="105">SUM(U99:U105)</f>
        <v>0</v>
      </c>
      <c r="V106" s="35">
        <f t="shared" si="100"/>
        <v>0</v>
      </c>
    </row>
    <row r="107" spans="1:22" ht="13.15" outlineLevel="2">
      <c r="A107" s="24"/>
      <c r="B107" s="26" t="s">
        <v>20</v>
      </c>
      <c r="C107" s="27"/>
      <c r="D107" s="27"/>
      <c r="E107" s="9"/>
      <c r="F107" s="129"/>
      <c r="G107" s="129"/>
      <c r="H107" s="129"/>
      <c r="I107" s="36"/>
      <c r="J107" s="129"/>
      <c r="K107" s="129"/>
      <c r="L107" s="129"/>
      <c r="M107" s="36"/>
      <c r="N107" s="129"/>
      <c r="O107" s="129"/>
      <c r="P107" s="129"/>
      <c r="Q107" s="36"/>
      <c r="R107" s="129"/>
      <c r="S107" s="129"/>
      <c r="T107" s="129"/>
      <c r="U107" s="36"/>
      <c r="V107" s="36"/>
    </row>
    <row r="108" spans="1:22" ht="13.15" outlineLevel="2">
      <c r="A108" s="24"/>
      <c r="B108" s="27"/>
      <c r="C108" s="28" t="s">
        <v>29</v>
      </c>
      <c r="D108" s="27"/>
      <c r="E108" s="9">
        <v>0</v>
      </c>
      <c r="F108" s="96"/>
      <c r="G108" s="96"/>
      <c r="H108" s="96"/>
      <c r="I108" s="34">
        <f t="shared" ref="I108:I112" si="106">SUM(F108:H108)</f>
        <v>0</v>
      </c>
      <c r="J108" s="96"/>
      <c r="K108" s="96"/>
      <c r="L108" s="96"/>
      <c r="M108" s="34">
        <f t="shared" ref="M108:M112" si="107">SUM(J108:L108)</f>
        <v>0</v>
      </c>
      <c r="N108" s="96"/>
      <c r="O108" s="96"/>
      <c r="P108" s="96"/>
      <c r="Q108" s="34">
        <f t="shared" ref="Q108:Q112" si="108">SUM(N108:P108)</f>
        <v>0</v>
      </c>
      <c r="R108" s="96"/>
      <c r="S108" s="96"/>
      <c r="T108" s="96"/>
      <c r="U108" s="34">
        <f t="shared" ref="U108:U112" si="109">SUM(R108:T108)</f>
        <v>0</v>
      </c>
      <c r="V108" s="34">
        <f t="shared" ref="V108:V117" si="110">I108+M108+Q108+U108</f>
        <v>0</v>
      </c>
    </row>
    <row r="109" spans="1:22" ht="13.15" outlineLevel="2">
      <c r="A109" s="24"/>
      <c r="B109" s="27"/>
      <c r="C109" s="28" t="s">
        <v>33</v>
      </c>
      <c r="D109" s="27"/>
      <c r="E109" s="9">
        <v>0</v>
      </c>
      <c r="F109" s="96"/>
      <c r="G109" s="96"/>
      <c r="H109" s="96"/>
      <c r="I109" s="34">
        <f t="shared" si="106"/>
        <v>0</v>
      </c>
      <c r="J109" s="96"/>
      <c r="K109" s="96"/>
      <c r="L109" s="96"/>
      <c r="M109" s="34">
        <f t="shared" si="107"/>
        <v>0</v>
      </c>
      <c r="N109" s="96"/>
      <c r="O109" s="96"/>
      <c r="P109" s="96"/>
      <c r="Q109" s="34">
        <f t="shared" si="108"/>
        <v>0</v>
      </c>
      <c r="R109" s="96"/>
      <c r="S109" s="96"/>
      <c r="T109" s="96"/>
      <c r="U109" s="34">
        <f t="shared" si="109"/>
        <v>0</v>
      </c>
      <c r="V109" s="34">
        <f t="shared" si="110"/>
        <v>0</v>
      </c>
    </row>
    <row r="110" spans="1:22" ht="13.15" outlineLevel="2">
      <c r="A110" s="24"/>
      <c r="B110" s="27"/>
      <c r="C110" s="28" t="s">
        <v>95</v>
      </c>
      <c r="D110" s="27"/>
      <c r="E110" s="9"/>
      <c r="F110" s="96"/>
      <c r="G110" s="96"/>
      <c r="H110" s="96"/>
      <c r="I110" s="34">
        <f t="shared" si="106"/>
        <v>0</v>
      </c>
      <c r="J110" s="96"/>
      <c r="K110" s="96"/>
      <c r="L110" s="96"/>
      <c r="M110" s="34">
        <f t="shared" si="107"/>
        <v>0</v>
      </c>
      <c r="N110" s="96"/>
      <c r="O110" s="96"/>
      <c r="P110" s="96"/>
      <c r="Q110" s="34">
        <f t="shared" si="108"/>
        <v>0</v>
      </c>
      <c r="R110" s="96"/>
      <c r="S110" s="96"/>
      <c r="T110" s="96"/>
      <c r="U110" s="34">
        <f t="shared" si="109"/>
        <v>0</v>
      </c>
      <c r="V110" s="34">
        <f t="shared" si="110"/>
        <v>0</v>
      </c>
    </row>
    <row r="111" spans="1:22" ht="13.15" outlineLevel="2">
      <c r="A111" s="24"/>
      <c r="B111" s="27"/>
      <c r="C111" s="28" t="s">
        <v>63</v>
      </c>
      <c r="D111" s="27"/>
      <c r="E111" s="9"/>
      <c r="F111" s="96"/>
      <c r="G111" s="96"/>
      <c r="H111" s="96"/>
      <c r="I111" s="34">
        <f t="shared" si="106"/>
        <v>0</v>
      </c>
      <c r="J111" s="96"/>
      <c r="K111" s="96"/>
      <c r="L111" s="96"/>
      <c r="M111" s="34">
        <f t="shared" si="107"/>
        <v>0</v>
      </c>
      <c r="N111" s="96"/>
      <c r="O111" s="96"/>
      <c r="P111" s="96"/>
      <c r="Q111" s="34">
        <f t="shared" si="108"/>
        <v>0</v>
      </c>
      <c r="R111" s="96"/>
      <c r="S111" s="96"/>
      <c r="T111" s="96"/>
      <c r="U111" s="34">
        <f t="shared" si="109"/>
        <v>0</v>
      </c>
      <c r="V111" s="34">
        <f t="shared" si="110"/>
        <v>0</v>
      </c>
    </row>
    <row r="112" spans="1:22" ht="13.15" outlineLevel="2">
      <c r="A112" s="24"/>
      <c r="B112" s="27"/>
      <c r="C112" s="28" t="s">
        <v>153</v>
      </c>
      <c r="D112" s="27"/>
      <c r="E112" s="9">
        <v>0</v>
      </c>
      <c r="F112" s="96"/>
      <c r="G112" s="96"/>
      <c r="H112" s="96"/>
      <c r="I112" s="34">
        <f t="shared" si="106"/>
        <v>0</v>
      </c>
      <c r="J112" s="96"/>
      <c r="K112" s="96"/>
      <c r="L112" s="96"/>
      <c r="M112" s="34">
        <f t="shared" si="107"/>
        <v>0</v>
      </c>
      <c r="N112" s="96"/>
      <c r="O112" s="96"/>
      <c r="P112" s="96"/>
      <c r="Q112" s="34">
        <f t="shared" si="108"/>
        <v>0</v>
      </c>
      <c r="R112" s="96"/>
      <c r="S112" s="96"/>
      <c r="T112" s="96"/>
      <c r="U112" s="34">
        <f t="shared" si="109"/>
        <v>0</v>
      </c>
      <c r="V112" s="34">
        <f t="shared" si="110"/>
        <v>0</v>
      </c>
    </row>
    <row r="113" spans="1:22" ht="13.15" outlineLevel="1">
      <c r="A113" s="24"/>
      <c r="B113" s="30" t="s">
        <v>21</v>
      </c>
      <c r="C113" s="30"/>
      <c r="D113" s="30"/>
      <c r="E113" s="10"/>
      <c r="F113" s="45">
        <f t="shared" ref="F113:U113" si="111">SUM(F108:F112)</f>
        <v>0</v>
      </c>
      <c r="G113" s="45">
        <f t="shared" si="111"/>
        <v>0</v>
      </c>
      <c r="H113" s="45">
        <f t="shared" si="111"/>
        <v>0</v>
      </c>
      <c r="I113" s="35">
        <f t="shared" si="111"/>
        <v>0</v>
      </c>
      <c r="J113" s="45">
        <f t="shared" si="111"/>
        <v>0</v>
      </c>
      <c r="K113" s="45">
        <f t="shared" si="111"/>
        <v>0</v>
      </c>
      <c r="L113" s="45">
        <f t="shared" si="111"/>
        <v>0</v>
      </c>
      <c r="M113" s="35">
        <f t="shared" si="111"/>
        <v>0</v>
      </c>
      <c r="N113" s="45">
        <f t="shared" si="111"/>
        <v>0</v>
      </c>
      <c r="O113" s="45">
        <f t="shared" si="111"/>
        <v>0</v>
      </c>
      <c r="P113" s="45">
        <f t="shared" si="111"/>
        <v>0</v>
      </c>
      <c r="Q113" s="35">
        <f t="shared" si="111"/>
        <v>0</v>
      </c>
      <c r="R113" s="45">
        <f t="shared" si="111"/>
        <v>0</v>
      </c>
      <c r="S113" s="45">
        <f t="shared" si="111"/>
        <v>0</v>
      </c>
      <c r="T113" s="45">
        <f t="shared" si="111"/>
        <v>0</v>
      </c>
      <c r="U113" s="35">
        <f t="shared" si="111"/>
        <v>0</v>
      </c>
      <c r="V113" s="35">
        <f t="shared" si="110"/>
        <v>0</v>
      </c>
    </row>
    <row r="114" spans="1:22" ht="13.15">
      <c r="A114" s="24"/>
      <c r="B114" s="24"/>
      <c r="C114" s="24"/>
      <c r="D114" s="24" t="s">
        <v>22</v>
      </c>
      <c r="E114" s="8"/>
      <c r="F114" s="44">
        <f t="shared" ref="F114:U114" si="112">F88+F89+F97+F106+F113</f>
        <v>30000</v>
      </c>
      <c r="G114" s="44">
        <f t="shared" si="112"/>
        <v>30000</v>
      </c>
      <c r="H114" s="44">
        <f t="shared" si="112"/>
        <v>30000</v>
      </c>
      <c r="I114" s="35">
        <f t="shared" si="112"/>
        <v>90000</v>
      </c>
      <c r="J114" s="44">
        <f t="shared" si="112"/>
        <v>30000</v>
      </c>
      <c r="K114" s="44">
        <f t="shared" si="112"/>
        <v>30000</v>
      </c>
      <c r="L114" s="44">
        <f t="shared" si="112"/>
        <v>30000</v>
      </c>
      <c r="M114" s="35">
        <f t="shared" si="112"/>
        <v>90000</v>
      </c>
      <c r="N114" s="44">
        <f t="shared" si="112"/>
        <v>30000</v>
      </c>
      <c r="O114" s="44">
        <f t="shared" si="112"/>
        <v>30000</v>
      </c>
      <c r="P114" s="44">
        <f t="shared" si="112"/>
        <v>30000</v>
      </c>
      <c r="Q114" s="35">
        <f t="shared" si="112"/>
        <v>90000</v>
      </c>
      <c r="R114" s="44">
        <f t="shared" si="112"/>
        <v>30000</v>
      </c>
      <c r="S114" s="44">
        <f t="shared" si="112"/>
        <v>30000</v>
      </c>
      <c r="T114" s="44">
        <f t="shared" si="112"/>
        <v>30000</v>
      </c>
      <c r="U114" s="35">
        <f t="shared" si="112"/>
        <v>90000</v>
      </c>
      <c r="V114" s="35">
        <f t="shared" si="110"/>
        <v>360000</v>
      </c>
    </row>
    <row r="115" spans="1:22" ht="13.9">
      <c r="A115" s="11" t="s">
        <v>23</v>
      </c>
      <c r="B115" s="11"/>
      <c r="C115" s="11"/>
      <c r="D115" s="11"/>
      <c r="E115" s="12"/>
      <c r="F115" s="46">
        <f t="shared" ref="F115:U115" si="113">F114+F77</f>
        <v>37728000</v>
      </c>
      <c r="G115" s="46">
        <f t="shared" si="113"/>
        <v>37728000</v>
      </c>
      <c r="H115" s="46">
        <f t="shared" si="113"/>
        <v>37728000</v>
      </c>
      <c r="I115" s="109">
        <f t="shared" si="113"/>
        <v>113184000</v>
      </c>
      <c r="J115" s="46">
        <f t="shared" si="113"/>
        <v>37728000</v>
      </c>
      <c r="K115" s="46">
        <f t="shared" si="113"/>
        <v>37728000</v>
      </c>
      <c r="L115" s="46">
        <f t="shared" si="113"/>
        <v>37728000</v>
      </c>
      <c r="M115" s="109">
        <f t="shared" si="113"/>
        <v>113184000</v>
      </c>
      <c r="N115" s="46">
        <f t="shared" si="113"/>
        <v>37728000</v>
      </c>
      <c r="O115" s="46">
        <f t="shared" si="113"/>
        <v>37728000</v>
      </c>
      <c r="P115" s="46">
        <f t="shared" si="113"/>
        <v>37728000</v>
      </c>
      <c r="Q115" s="109">
        <f t="shared" si="113"/>
        <v>113184000</v>
      </c>
      <c r="R115" s="46">
        <f t="shared" si="113"/>
        <v>37728000</v>
      </c>
      <c r="S115" s="46">
        <f t="shared" si="113"/>
        <v>37728000</v>
      </c>
      <c r="T115" s="46">
        <f t="shared" si="113"/>
        <v>37728000</v>
      </c>
      <c r="U115" s="109">
        <f t="shared" si="113"/>
        <v>113184000</v>
      </c>
      <c r="V115" s="40">
        <f t="shared" si="110"/>
        <v>452736000</v>
      </c>
    </row>
    <row r="116" spans="1:22" s="111" customFormat="1" ht="12.75" customHeight="1">
      <c r="A116" s="462" t="s">
        <v>181</v>
      </c>
      <c r="B116" s="463"/>
      <c r="C116" s="463"/>
      <c r="D116" s="464"/>
      <c r="E116" s="8"/>
      <c r="F116" s="43"/>
      <c r="G116" s="43"/>
      <c r="H116" s="43"/>
      <c r="I116" s="34"/>
      <c r="J116" s="43"/>
      <c r="K116" s="43"/>
      <c r="L116" s="43"/>
      <c r="M116" s="34"/>
      <c r="N116" s="43"/>
      <c r="O116" s="43"/>
      <c r="P116" s="43"/>
      <c r="Q116" s="34"/>
      <c r="R116" s="43"/>
      <c r="S116" s="43"/>
      <c r="T116" s="43"/>
      <c r="U116" s="34"/>
      <c r="V116" s="34"/>
    </row>
    <row r="117" spans="1:22" s="111" customFormat="1" ht="12.75" customHeight="1">
      <c r="A117" s="125"/>
      <c r="B117" s="4"/>
      <c r="C117" s="455" t="s">
        <v>182</v>
      </c>
      <c r="D117" s="456"/>
      <c r="E117" s="8"/>
      <c r="F117" s="138">
        <f>F29-F77-F82-F102-F104</f>
        <v>-38798000</v>
      </c>
      <c r="G117" s="138">
        <f>G29-G77-G102-G104</f>
        <v>80202000</v>
      </c>
      <c r="H117" s="138">
        <f>H29-H77-H102-H104</f>
        <v>80202000</v>
      </c>
      <c r="I117" s="35">
        <f>SUM(F117:H117)</f>
        <v>121606000</v>
      </c>
      <c r="J117" s="138">
        <f>J29-J77-J102-J104</f>
        <v>80202000</v>
      </c>
      <c r="K117" s="138">
        <f>K29-K77-K102-K104</f>
        <v>80202000</v>
      </c>
      <c r="L117" s="138">
        <f>L29-L77-L102-L104</f>
        <v>80202000</v>
      </c>
      <c r="M117" s="35">
        <f>SUM(J117:L117)</f>
        <v>240606000</v>
      </c>
      <c r="N117" s="138">
        <f>N29-N77-N102-N104</f>
        <v>80202000</v>
      </c>
      <c r="O117" s="138">
        <f>O29-O77-O102-O104</f>
        <v>80202000</v>
      </c>
      <c r="P117" s="138">
        <f>P29-P77-P102-P104</f>
        <v>80202000</v>
      </c>
      <c r="Q117" s="35">
        <f>SUM(N117:P117)</f>
        <v>240606000</v>
      </c>
      <c r="R117" s="138">
        <f>R29-R77-R102-R104</f>
        <v>80202000</v>
      </c>
      <c r="S117" s="138">
        <f>S29-S77-S102-S104</f>
        <v>80202000</v>
      </c>
      <c r="T117" s="138">
        <f>T29-T77-T102-T104</f>
        <v>80202000</v>
      </c>
      <c r="U117" s="35">
        <f>SUM(R117:T117)</f>
        <v>240606000</v>
      </c>
      <c r="V117" s="35">
        <f t="shared" si="110"/>
        <v>843424000</v>
      </c>
    </row>
    <row r="118" spans="1:22" ht="13.15" thickBot="1">
      <c r="A118" s="14"/>
      <c r="B118" s="14"/>
      <c r="C118" s="14"/>
      <c r="D118" s="14"/>
      <c r="E118" s="15"/>
      <c r="F118" s="47"/>
      <c r="G118" s="47"/>
      <c r="H118" s="47"/>
      <c r="I118" s="37"/>
      <c r="J118" s="47"/>
      <c r="K118" s="47"/>
      <c r="L118" s="47"/>
      <c r="M118" s="37"/>
      <c r="N118" s="47"/>
      <c r="O118" s="47"/>
      <c r="P118" s="47"/>
      <c r="Q118" s="37"/>
      <c r="R118" s="47"/>
      <c r="S118" s="47"/>
      <c r="T118" s="47"/>
      <c r="U118" s="37"/>
      <c r="V118" s="37"/>
    </row>
    <row r="119" spans="1:22">
      <c r="A119" s="7"/>
      <c r="B119" s="7"/>
      <c r="C119" s="7"/>
      <c r="D119" s="7"/>
      <c r="F119" s="13"/>
      <c r="G119" s="13"/>
      <c r="H119" s="13"/>
      <c r="J119" s="13"/>
      <c r="K119" s="13"/>
      <c r="L119" s="13"/>
      <c r="N119" s="13" t="s">
        <v>86</v>
      </c>
      <c r="O119" s="13"/>
      <c r="P119" s="13"/>
      <c r="R119" s="13"/>
      <c r="S119" s="13"/>
      <c r="T119" s="13"/>
    </row>
    <row r="120" spans="1:22">
      <c r="D120" s="106" t="s">
        <v>232</v>
      </c>
      <c r="F120" s="39"/>
      <c r="G120" s="192"/>
      <c r="H120" s="164"/>
      <c r="I120" s="164"/>
      <c r="J120" s="195"/>
      <c r="K120" s="195"/>
      <c r="L120" s="163"/>
      <c r="M120" s="164"/>
      <c r="N120" s="163"/>
      <c r="O120" s="163"/>
      <c r="P120" s="191"/>
      <c r="R120" s="163"/>
      <c r="S120" s="248"/>
      <c r="T120" s="248"/>
    </row>
    <row r="121" spans="1:22">
      <c r="D121" s="106" t="s">
        <v>233</v>
      </c>
      <c r="F121" s="190"/>
      <c r="G121" s="191"/>
      <c r="H121" s="191"/>
      <c r="J121" s="191"/>
      <c r="K121" s="191"/>
      <c r="L121" s="191"/>
      <c r="N121" s="191"/>
      <c r="O121" s="191"/>
      <c r="P121" s="191"/>
      <c r="R121" s="191"/>
      <c r="S121" s="191"/>
      <c r="T121" s="191"/>
    </row>
    <row r="122" spans="1:22" ht="13.15">
      <c r="D122" s="104" t="s">
        <v>275</v>
      </c>
      <c r="F122" s="140">
        <f>F77</f>
        <v>37698000</v>
      </c>
      <c r="G122" s="140">
        <f t="shared" ref="G122:H122" si="114">G77</f>
        <v>37698000</v>
      </c>
      <c r="H122" s="140">
        <f t="shared" si="114"/>
        <v>37698000</v>
      </c>
      <c r="I122" s="157">
        <f>F122+G122+H122</f>
        <v>113094000</v>
      </c>
      <c r="J122" s="140">
        <f>J77</f>
        <v>37698000</v>
      </c>
      <c r="K122" s="140">
        <f t="shared" ref="K122:L122" si="115">K77</f>
        <v>37698000</v>
      </c>
      <c r="L122" s="140">
        <f t="shared" si="115"/>
        <v>37698000</v>
      </c>
      <c r="M122" s="157">
        <f>J122+K122+L122</f>
        <v>113094000</v>
      </c>
      <c r="N122" s="140">
        <f>N77</f>
        <v>37698000</v>
      </c>
      <c r="O122" s="140">
        <f t="shared" ref="O122:P122" si="116">O77</f>
        <v>37698000</v>
      </c>
      <c r="P122" s="140">
        <f t="shared" si="116"/>
        <v>37698000</v>
      </c>
      <c r="Q122" s="157">
        <f>N122+O122+P122</f>
        <v>113094000</v>
      </c>
      <c r="R122" s="140">
        <f>R77</f>
        <v>37698000</v>
      </c>
      <c r="S122" s="140">
        <f t="shared" ref="S122:T122" si="117">S77</f>
        <v>37698000</v>
      </c>
      <c r="T122" s="140">
        <f t="shared" si="117"/>
        <v>37698000</v>
      </c>
      <c r="U122" s="157">
        <f>R122+S122+T122</f>
        <v>113094000</v>
      </c>
      <c r="V122" s="157">
        <f>I122+M122+Q122+U122</f>
        <v>452376000</v>
      </c>
    </row>
    <row r="123" spans="1:22" ht="13.15">
      <c r="D123" s="104" t="s">
        <v>276</v>
      </c>
      <c r="F123" s="141">
        <f>ROUND(JHAHN!F77*F122/(TSG!F124-JHAHN!F77),-3)</f>
        <v>6213000</v>
      </c>
      <c r="G123" s="141">
        <f>ROUND((JHAHN!G77*G122)/(TSG!G124-JHAHN!G77),-3)</f>
        <v>6148000</v>
      </c>
      <c r="H123" s="141">
        <f>ROUND((JHAHN!H77*H122)/(TSG!H124-JHAHN!H77),-3)</f>
        <v>6148000</v>
      </c>
      <c r="I123" s="157">
        <f>F123+G123+H123</f>
        <v>18509000</v>
      </c>
      <c r="J123" s="141">
        <f>ROUND((JHAHN!J77*J122)/(TSG!J124-JHAHN!J77),-3)</f>
        <v>6148000</v>
      </c>
      <c r="K123" s="141">
        <f>ROUND((JHAHN!K77*K122)/(TSG!K124-JHAHN!K77),-3)</f>
        <v>6148000</v>
      </c>
      <c r="L123" s="141">
        <f>ROUND((JHAHN!L77*L122)/(TSG!L124-JHAHN!L77),-3)</f>
        <v>6148000</v>
      </c>
      <c r="M123" s="157">
        <f>J123+K123+L123</f>
        <v>18444000</v>
      </c>
      <c r="N123" s="141">
        <f>ROUND((JHAHN!N77*N122)/(TSG!N124-JHAHN!N77),-3)</f>
        <v>6148000</v>
      </c>
      <c r="O123" s="141">
        <f>ROUND((JHAHN!O77*O122)/(TSG!O124-JHAHN!O77),-3)</f>
        <v>6148000</v>
      </c>
      <c r="P123" s="141">
        <f>ROUND((JHAHN!P77*P122)/(TSG!P124-JHAHN!P77),-3)</f>
        <v>6148000</v>
      </c>
      <c r="Q123" s="157">
        <f>N123+O123+P123</f>
        <v>18444000</v>
      </c>
      <c r="R123" s="141">
        <f>ROUND((JHAHN!R77*R122)/(TSG!R124-JHAHN!R77),-3)</f>
        <v>6148000</v>
      </c>
      <c r="S123" s="141">
        <f>ROUND((JHAHN!S77*S122)/(TSG!S124-JHAHN!S77),-3)</f>
        <v>6148000</v>
      </c>
      <c r="T123" s="141">
        <f>ROUND((JHAHN!T77*T122)/(TSG!T124-JHAHN!T77),-3)</f>
        <v>6148000</v>
      </c>
      <c r="U123" s="157">
        <f>R123+S123+T123</f>
        <v>18444000</v>
      </c>
      <c r="V123" s="157">
        <f t="shared" ref="V123:V126" si="118">I123+M123+Q123+U123</f>
        <v>73841000</v>
      </c>
    </row>
    <row r="124" spans="1:22" ht="13.15">
      <c r="D124" s="104" t="s">
        <v>281</v>
      </c>
      <c r="F124" s="140">
        <f>F122+F123</f>
        <v>43911000</v>
      </c>
      <c r="G124" s="140">
        <f t="shared" ref="G124:H124" si="119">G122+G123</f>
        <v>43846000</v>
      </c>
      <c r="H124" s="140">
        <f t="shared" si="119"/>
        <v>43846000</v>
      </c>
      <c r="I124" s="157">
        <f t="shared" ref="I124:I126" si="120">F124+G124+H124</f>
        <v>131603000</v>
      </c>
      <c r="J124" s="140">
        <f>J122+J123</f>
        <v>43846000</v>
      </c>
      <c r="K124" s="140">
        <f t="shared" ref="K124" si="121">K122+K123</f>
        <v>43846000</v>
      </c>
      <c r="L124" s="140">
        <f t="shared" ref="L124" si="122">L122+L123</f>
        <v>43846000</v>
      </c>
      <c r="M124" s="157">
        <f>J124+K124+L124</f>
        <v>131538000</v>
      </c>
      <c r="N124" s="140">
        <f>N122+N123</f>
        <v>43846000</v>
      </c>
      <c r="O124" s="140">
        <f t="shared" ref="O124" si="123">O122+O123</f>
        <v>43846000</v>
      </c>
      <c r="P124" s="140">
        <f t="shared" ref="P124" si="124">P122+P123</f>
        <v>43846000</v>
      </c>
      <c r="Q124" s="157">
        <f t="shared" ref="Q124:Q126" si="125">N124+O124+P124</f>
        <v>131538000</v>
      </c>
      <c r="R124" s="140">
        <f>R122+R123</f>
        <v>43846000</v>
      </c>
      <c r="S124" s="140">
        <f t="shared" ref="S124" si="126">S122+S123</f>
        <v>43846000</v>
      </c>
      <c r="T124" s="140">
        <f t="shared" ref="T124" si="127">T122+T123</f>
        <v>43846000</v>
      </c>
      <c r="U124" s="157">
        <f>R124+S124+T124</f>
        <v>131538000</v>
      </c>
      <c r="V124" s="157">
        <f t="shared" si="118"/>
        <v>526217000</v>
      </c>
    </row>
    <row r="125" spans="1:22" ht="13.15">
      <c r="D125" s="105" t="s">
        <v>207</v>
      </c>
      <c r="F125" s="141">
        <f>ROUND((간접!F124*F124)/(SDT!F124+TST!F124+TSG!F124),-3)</f>
        <v>13071000</v>
      </c>
      <c r="G125" s="141">
        <f>ROUND((간접!G124*G124)/(SDT!G122+TST!G124+TSG!G124),-3)</f>
        <v>12957000</v>
      </c>
      <c r="H125" s="141">
        <f>ROUND((간접!H124*H124)/(SDT!H122+TST!H124+TSG!H124),-3)</f>
        <v>12957000</v>
      </c>
      <c r="I125" s="157">
        <f t="shared" si="120"/>
        <v>38985000</v>
      </c>
      <c r="J125" s="141">
        <f>ROUND((간접!J124*J124)/(SDT!J122+TST!J124+TSG!J124),-3)</f>
        <v>12957000</v>
      </c>
      <c r="K125" s="141">
        <f>ROUND((간접!K124*K124)/(SDT!K122+TST!K124+TSG!K124),-3)</f>
        <v>12957000</v>
      </c>
      <c r="L125" s="141">
        <f>ROUND((간접!L124*L124)/(SDT!L122+TST!L124+TSG!L124),-3)</f>
        <v>12957000</v>
      </c>
      <c r="M125" s="157">
        <f t="shared" ref="M125:M126" si="128">J125+K125+L125</f>
        <v>38871000</v>
      </c>
      <c r="N125" s="141">
        <f>ROUND((간접!N124*N124)/(SDT!N122+TST!N124+TSG!N124),-3)</f>
        <v>12957000</v>
      </c>
      <c r="O125" s="141">
        <f>ROUND((간접!O124*O124)/(SDT!O122+TST!O124+TSG!O124),-3)</f>
        <v>12957000</v>
      </c>
      <c r="P125" s="141">
        <f>ROUND((간접!P124*P124)/(SDT!P122+TST!P124+TSG!P124),-3)</f>
        <v>12957000</v>
      </c>
      <c r="Q125" s="157">
        <f t="shared" si="125"/>
        <v>38871000</v>
      </c>
      <c r="R125" s="141">
        <f>ROUND((간접!R124*R124)/(SDT!R122+TST!R124+TSG!R124),-3)</f>
        <v>12957000</v>
      </c>
      <c r="S125" s="141">
        <f>ROUND((간접!S124*S124)/(SDT!S122+TST!S124+TSG!S124),-3)</f>
        <v>12957000</v>
      </c>
      <c r="T125" s="141">
        <f>ROUND((간접!T124*T124)/(SDT!T122+TST!T124+TSG!T124),-3)</f>
        <v>12957000</v>
      </c>
      <c r="U125" s="157">
        <f t="shared" ref="U125:U126" si="129">R125+S125+T125</f>
        <v>38871000</v>
      </c>
      <c r="V125" s="157">
        <f t="shared" si="118"/>
        <v>155598000</v>
      </c>
    </row>
    <row r="126" spans="1:22" ht="13.15">
      <c r="D126" s="105" t="s">
        <v>282</v>
      </c>
      <c r="F126" s="141">
        <f>F124+F125</f>
        <v>56982000</v>
      </c>
      <c r="G126" s="141">
        <f t="shared" ref="G126:H126" si="130">G124+G125</f>
        <v>56803000</v>
      </c>
      <c r="H126" s="141">
        <f t="shared" si="130"/>
        <v>56803000</v>
      </c>
      <c r="I126" s="157">
        <f t="shared" si="120"/>
        <v>170588000</v>
      </c>
      <c r="J126" s="141">
        <f>J124+J125</f>
        <v>56803000</v>
      </c>
      <c r="K126" s="141">
        <f t="shared" ref="K126" si="131">K124+K125</f>
        <v>56803000</v>
      </c>
      <c r="L126" s="141">
        <f t="shared" ref="L126" si="132">L124+L125</f>
        <v>56803000</v>
      </c>
      <c r="M126" s="157">
        <f t="shared" si="128"/>
        <v>170409000</v>
      </c>
      <c r="N126" s="141">
        <f>N124+N125</f>
        <v>56803000</v>
      </c>
      <c r="O126" s="141">
        <f t="shared" ref="O126" si="133">O124+O125</f>
        <v>56803000</v>
      </c>
      <c r="P126" s="141">
        <f t="shared" ref="P126" si="134">P124+P125</f>
        <v>56803000</v>
      </c>
      <c r="Q126" s="157">
        <f t="shared" si="125"/>
        <v>170409000</v>
      </c>
      <c r="R126" s="141">
        <f>R124+R125</f>
        <v>56803000</v>
      </c>
      <c r="S126" s="141">
        <f t="shared" ref="S126" si="135">S124+S125</f>
        <v>56803000</v>
      </c>
      <c r="T126" s="141">
        <f t="shared" ref="T126" si="136">T124+T125</f>
        <v>56803000</v>
      </c>
      <c r="U126" s="157">
        <f t="shared" si="129"/>
        <v>170409000</v>
      </c>
      <c r="V126" s="157">
        <f t="shared" si="118"/>
        <v>681815000</v>
      </c>
    </row>
    <row r="127" spans="1:22" ht="13.15">
      <c r="D127" s="94" t="s">
        <v>209</v>
      </c>
      <c r="F127" s="142">
        <f>F126/(SDT!F126+TST!F126+TSG!F126)</f>
        <v>0.1952200516640058</v>
      </c>
      <c r="G127" s="142">
        <f>G126/(SDT!G126+TST!G126+TSG!G126)</f>
        <v>0.19470952792288812</v>
      </c>
      <c r="H127" s="142">
        <f>H126/(SDT!H126+TST!H126+TSG!H126)</f>
        <v>0.19470952792288812</v>
      </c>
      <c r="I127" s="158">
        <f>AVERAGE(F127:H127)</f>
        <v>0.19487970250326067</v>
      </c>
      <c r="J127" s="142">
        <f>J126/(SDT!J126+TST!J126+TSG!J126)</f>
        <v>0.19470952792288812</v>
      </c>
      <c r="K127" s="142">
        <f>K126/(SDT!K126+TST!K126+TSG!K126)</f>
        <v>0.19470952792288812</v>
      </c>
      <c r="L127" s="142">
        <f>L126/(SDT!L126+TST!L126+TSG!L126)</f>
        <v>0.19470952792288812</v>
      </c>
      <c r="M127" s="158">
        <f>AVERAGE(J127:L127)</f>
        <v>0.19470952792288812</v>
      </c>
      <c r="N127" s="142">
        <f>N126/(SDT!N126+TST!N126+TSG!N126)</f>
        <v>0.19470952792288812</v>
      </c>
      <c r="O127" s="142">
        <f>O126/(SDT!O126+TST!O126+TSG!O126)</f>
        <v>0.19470952792288812</v>
      </c>
      <c r="P127" s="142">
        <f>P126/(SDT!P126+TST!P126+TSG!P126)</f>
        <v>0.19470952792288812</v>
      </c>
      <c r="Q127" s="158">
        <f>AVERAGE(N127:P127)</f>
        <v>0.19470952792288812</v>
      </c>
      <c r="R127" s="142">
        <f>R126/(SDT!R126+TST!R126+TSG!R126)</f>
        <v>0.1942361417438612</v>
      </c>
      <c r="S127" s="142">
        <f>S126/(SDT!S126+TST!S126+TSG!S126)</f>
        <v>0.19470952792288812</v>
      </c>
      <c r="T127" s="142">
        <f>T126/(SDT!T126+TST!T126+TSG!T126)</f>
        <v>0.19470952792288812</v>
      </c>
      <c r="U127" s="158">
        <f>AVERAGE(R127:T127)</f>
        <v>0.19455173252987915</v>
      </c>
      <c r="V127" s="158">
        <f>AVERAGE(I127,M127,Q127,U127)</f>
        <v>0.194712622719729</v>
      </c>
    </row>
  </sheetData>
  <mergeCells count="17">
    <mergeCell ref="A28:D28"/>
    <mergeCell ref="C23:D23"/>
    <mergeCell ref="A116:D116"/>
    <mergeCell ref="C117:D117"/>
    <mergeCell ref="C29:D29"/>
    <mergeCell ref="A15:A25"/>
    <mergeCell ref="C15:D15"/>
    <mergeCell ref="C21:D21"/>
    <mergeCell ref="C22:D22"/>
    <mergeCell ref="C24:D24"/>
    <mergeCell ref="C25:D25"/>
    <mergeCell ref="A26:D26"/>
    <mergeCell ref="A3:D3"/>
    <mergeCell ref="A4:A11"/>
    <mergeCell ref="B5:B10"/>
    <mergeCell ref="A12:D12"/>
    <mergeCell ref="A14:D14"/>
  </mergeCells>
  <phoneticPr fontId="8" type="noConversion"/>
  <pageMargins left="0.59055118110236227" right="0.39370078740157483" top="0.78740157480314965" bottom="0.39370078740157483" header="0.31496062992125984" footer="0.51181102362204722"/>
  <pageSetup scale="10" fitToHeight="2" orientation="portrait" r:id="rId1"/>
  <headerFooter alignWithMargins="0">
    <oddHeader>&amp;L&amp;Z&amp;F&amp;A</oddHead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00">
    <pageSetUpPr fitToPage="1"/>
  </sheetPr>
  <dimension ref="A1:AU129"/>
  <sheetViews>
    <sheetView workbookViewId="0">
      <pane xSplit="4" ySplit="2" topLeftCell="E40" activePane="bottomRight" state="frozen"/>
      <selection pane="topRight" activeCell="E1" sqref="E1"/>
      <selection pane="bottomLeft" activeCell="A3" sqref="A3"/>
      <selection pane="bottomRight" activeCell="U71" sqref="U71"/>
    </sheetView>
  </sheetViews>
  <sheetFormatPr defaultColWidth="8.87890625" defaultRowHeight="12.75" outlineLevelRow="2" outlineLevelCol="1"/>
  <cols>
    <col min="1" max="3" width="1.3515625" style="3" customWidth="1"/>
    <col min="4" max="4" width="21.1171875" style="3" customWidth="1"/>
    <col min="5" max="5" width="1.64453125" style="7" customWidth="1"/>
    <col min="6" max="6" width="10.234375" style="3" customWidth="1" outlineLevel="1"/>
    <col min="7" max="8" width="10.87890625" style="3" customWidth="1" outlineLevel="1"/>
    <col min="9" max="9" width="10.87890625" style="3" bestFit="1" customWidth="1"/>
    <col min="10" max="10" width="10.234375" style="3" customWidth="1" outlineLevel="1"/>
    <col min="11" max="12" width="10.87890625" style="3" customWidth="1" outlineLevel="1"/>
    <col min="13" max="13" width="10.87890625" style="3" bestFit="1" customWidth="1"/>
    <col min="14" max="14" width="10.234375" style="3" customWidth="1" outlineLevel="1"/>
    <col min="15" max="16" width="10.87890625" style="3" customWidth="1" outlineLevel="1"/>
    <col min="17" max="17" width="10.87890625" style="3" bestFit="1" customWidth="1"/>
    <col min="18" max="20" width="10.234375" style="3" customWidth="1" outlineLevel="1"/>
    <col min="21" max="22" width="10.87890625" style="3" bestFit="1" customWidth="1"/>
    <col min="23" max="16384" width="8.87890625" style="3"/>
  </cols>
  <sheetData>
    <row r="1" spans="1:47" ht="13.9" thickBot="1">
      <c r="A1" s="1"/>
      <c r="B1" s="1"/>
      <c r="C1" s="1"/>
      <c r="D1" s="38"/>
      <c r="E1" s="2"/>
      <c r="F1" s="18" t="s">
        <v>69</v>
      </c>
      <c r="G1" s="18" t="s">
        <v>70</v>
      </c>
      <c r="H1" s="18" t="s">
        <v>71</v>
      </c>
      <c r="I1" s="18" t="s">
        <v>72</v>
      </c>
      <c r="J1" s="18" t="s">
        <v>74</v>
      </c>
      <c r="K1" s="18" t="s">
        <v>75</v>
      </c>
      <c r="L1" s="18" t="s">
        <v>76</v>
      </c>
      <c r="M1" s="18" t="s">
        <v>77</v>
      </c>
      <c r="N1" s="18" t="s">
        <v>80</v>
      </c>
      <c r="O1" s="18" t="s">
        <v>81</v>
      </c>
      <c r="P1" s="18" t="s">
        <v>82</v>
      </c>
      <c r="Q1" s="18" t="s">
        <v>83</v>
      </c>
      <c r="R1" s="18" t="s">
        <v>90</v>
      </c>
      <c r="S1" s="18" t="s">
        <v>91</v>
      </c>
      <c r="T1" s="18" t="s">
        <v>92</v>
      </c>
      <c r="U1" s="18" t="s">
        <v>93</v>
      </c>
      <c r="V1" s="18">
        <v>2026</v>
      </c>
      <c r="AU1" s="4"/>
    </row>
    <row r="2" spans="1:47" ht="13.15">
      <c r="A2" s="5"/>
      <c r="B2" s="5"/>
      <c r="C2" s="5"/>
      <c r="D2" s="6"/>
      <c r="E2" s="2"/>
      <c r="F2" s="19" t="s">
        <v>24</v>
      </c>
      <c r="G2" s="19" t="s">
        <v>24</v>
      </c>
      <c r="H2" s="19" t="s">
        <v>24</v>
      </c>
      <c r="I2" s="20" t="s">
        <v>25</v>
      </c>
      <c r="J2" s="19" t="s">
        <v>24</v>
      </c>
      <c r="K2" s="19" t="s">
        <v>24</v>
      </c>
      <c r="L2" s="19" t="s">
        <v>24</v>
      </c>
      <c r="M2" s="20" t="s">
        <v>25</v>
      </c>
      <c r="N2" s="19" t="s">
        <v>24</v>
      </c>
      <c r="O2" s="19" t="s">
        <v>24</v>
      </c>
      <c r="P2" s="19" t="s">
        <v>24</v>
      </c>
      <c r="Q2" s="20" t="s">
        <v>25</v>
      </c>
      <c r="R2" s="19" t="s">
        <v>24</v>
      </c>
      <c r="S2" s="19" t="s">
        <v>24</v>
      </c>
      <c r="T2" s="19" t="s">
        <v>24</v>
      </c>
      <c r="U2" s="20" t="s">
        <v>25</v>
      </c>
      <c r="V2" s="20" t="s">
        <v>25</v>
      </c>
    </row>
    <row r="3" spans="1:47" s="111" customFormat="1" ht="12.75" customHeight="1">
      <c r="A3" s="447" t="s">
        <v>159</v>
      </c>
      <c r="B3" s="448"/>
      <c r="C3" s="448"/>
      <c r="D3" s="449"/>
      <c r="E3" s="2"/>
      <c r="F3" s="43"/>
      <c r="G3" s="43"/>
      <c r="H3" s="43"/>
      <c r="I3" s="34"/>
      <c r="J3" s="43"/>
      <c r="K3" s="43"/>
      <c r="L3" s="43"/>
      <c r="M3" s="34"/>
      <c r="N3" s="43"/>
      <c r="O3" s="43"/>
      <c r="P3" s="43"/>
      <c r="Q3" s="34"/>
      <c r="R3" s="43"/>
      <c r="S3" s="43"/>
      <c r="T3" s="43"/>
      <c r="U3" s="34"/>
      <c r="V3" s="34"/>
    </row>
    <row r="4" spans="1:47" s="111" customFormat="1" ht="12.75" customHeight="1">
      <c r="A4" s="450"/>
      <c r="B4" s="112" t="s">
        <v>160</v>
      </c>
      <c r="C4" s="112"/>
      <c r="D4" s="113"/>
      <c r="E4" s="2"/>
      <c r="F4" s="43"/>
      <c r="G4" s="43"/>
      <c r="H4" s="43"/>
      <c r="I4" s="34"/>
      <c r="J4" s="43"/>
      <c r="K4" s="43"/>
      <c r="L4" s="43"/>
      <c r="M4" s="34"/>
      <c r="N4" s="43"/>
      <c r="O4" s="43"/>
      <c r="P4" s="43"/>
      <c r="Q4" s="34"/>
      <c r="R4" s="43"/>
      <c r="S4" s="43"/>
      <c r="T4" s="43"/>
      <c r="U4" s="34"/>
      <c r="V4" s="34"/>
    </row>
    <row r="5" spans="1:47" s="111" customFormat="1" ht="12.75" customHeight="1" outlineLevel="1">
      <c r="A5" s="450"/>
      <c r="B5" s="451"/>
      <c r="C5" s="114"/>
      <c r="D5" s="115" t="s">
        <v>161</v>
      </c>
      <c r="E5" s="7">
        <v>1</v>
      </c>
      <c r="F5" s="43"/>
      <c r="G5" s="43"/>
      <c r="H5" s="43"/>
      <c r="I5" s="34">
        <f t="shared" ref="I5:I10" si="0">H5+G5+F5</f>
        <v>0</v>
      </c>
      <c r="J5" s="43"/>
      <c r="K5" s="43"/>
      <c r="L5" s="43"/>
      <c r="M5" s="34">
        <f t="shared" ref="M5:M10" si="1">L5+K5+J5</f>
        <v>0</v>
      </c>
      <c r="N5" s="43"/>
      <c r="O5" s="43"/>
      <c r="P5" s="43"/>
      <c r="Q5" s="34">
        <f t="shared" ref="Q5:Q10" si="2">P5+O5+N5</f>
        <v>0</v>
      </c>
      <c r="R5" s="43"/>
      <c r="S5" s="43"/>
      <c r="T5" s="43"/>
      <c r="U5" s="34">
        <f t="shared" ref="U5:U10" si="3">T5+S5+R5</f>
        <v>0</v>
      </c>
      <c r="V5" s="34">
        <f>U5+Q5+M5+I5</f>
        <v>0</v>
      </c>
    </row>
    <row r="6" spans="1:47" s="111" customFormat="1" ht="12.75" customHeight="1" outlineLevel="1">
      <c r="A6" s="450"/>
      <c r="B6" s="451"/>
      <c r="C6" s="116"/>
      <c r="D6" s="117" t="s">
        <v>162</v>
      </c>
      <c r="E6" s="7">
        <v>1</v>
      </c>
      <c r="F6" s="43"/>
      <c r="G6" s="43"/>
      <c r="H6" s="43"/>
      <c r="I6" s="34">
        <f t="shared" si="0"/>
        <v>0</v>
      </c>
      <c r="J6" s="43"/>
      <c r="K6" s="43"/>
      <c r="L6" s="43"/>
      <c r="M6" s="34">
        <f t="shared" si="1"/>
        <v>0</v>
      </c>
      <c r="N6" s="43"/>
      <c r="O6" s="43"/>
      <c r="P6" s="43"/>
      <c r="Q6" s="34">
        <f t="shared" si="2"/>
        <v>0</v>
      </c>
      <c r="R6" s="43"/>
      <c r="S6" s="43"/>
      <c r="T6" s="43"/>
      <c r="U6" s="34">
        <f t="shared" si="3"/>
        <v>0</v>
      </c>
      <c r="V6" s="34">
        <f>U6+Q6+M6+I6</f>
        <v>0</v>
      </c>
    </row>
    <row r="7" spans="1:47" s="111" customFormat="1" ht="12.75" customHeight="1" outlineLevel="1">
      <c r="A7" s="450"/>
      <c r="B7" s="451"/>
      <c r="C7" s="116"/>
      <c r="D7" s="117" t="s">
        <v>163</v>
      </c>
      <c r="E7" s="7">
        <v>1</v>
      </c>
      <c r="F7" s="43"/>
      <c r="G7" s="43"/>
      <c r="H7" s="43"/>
      <c r="I7" s="34">
        <f t="shared" si="0"/>
        <v>0</v>
      </c>
      <c r="J7" s="43"/>
      <c r="K7" s="43"/>
      <c r="L7" s="43"/>
      <c r="M7" s="34">
        <f t="shared" si="1"/>
        <v>0</v>
      </c>
      <c r="N7" s="43"/>
      <c r="O7" s="43"/>
      <c r="P7" s="43"/>
      <c r="Q7" s="34">
        <f t="shared" si="2"/>
        <v>0</v>
      </c>
      <c r="R7" s="43"/>
      <c r="S7" s="43"/>
      <c r="T7" s="43"/>
      <c r="U7" s="34">
        <f t="shared" si="3"/>
        <v>0</v>
      </c>
      <c r="V7" s="34">
        <f t="shared" ref="V7:V10" si="4">U7+Q7+M7+I7</f>
        <v>0</v>
      </c>
    </row>
    <row r="8" spans="1:47" s="111" customFormat="1" ht="12.75" customHeight="1" outlineLevel="1">
      <c r="A8" s="450"/>
      <c r="B8" s="451"/>
      <c r="C8" s="116"/>
      <c r="D8" s="118" t="s">
        <v>164</v>
      </c>
      <c r="E8" s="7"/>
      <c r="F8" s="43"/>
      <c r="G8" s="43"/>
      <c r="H8" s="43"/>
      <c r="I8" s="34">
        <f t="shared" si="0"/>
        <v>0</v>
      </c>
      <c r="J8" s="43"/>
      <c r="K8" s="43"/>
      <c r="L8" s="43"/>
      <c r="M8" s="34">
        <f t="shared" si="1"/>
        <v>0</v>
      </c>
      <c r="N8" s="43"/>
      <c r="O8" s="43"/>
      <c r="P8" s="43"/>
      <c r="Q8" s="34">
        <f t="shared" si="2"/>
        <v>0</v>
      </c>
      <c r="R8" s="43"/>
      <c r="S8" s="43"/>
      <c r="T8" s="43"/>
      <c r="U8" s="34">
        <f t="shared" si="3"/>
        <v>0</v>
      </c>
      <c r="V8" s="34">
        <f t="shared" si="4"/>
        <v>0</v>
      </c>
    </row>
    <row r="9" spans="1:47" s="111" customFormat="1" ht="12.75" customHeight="1" outlineLevel="1">
      <c r="A9" s="450"/>
      <c r="B9" s="451"/>
      <c r="C9" s="116"/>
      <c r="D9" s="117" t="s">
        <v>166</v>
      </c>
      <c r="E9" s="7"/>
      <c r="F9" s="43"/>
      <c r="G9" s="43"/>
      <c r="H9" s="43"/>
      <c r="I9" s="34">
        <f t="shared" si="0"/>
        <v>0</v>
      </c>
      <c r="J9" s="43"/>
      <c r="K9" s="43"/>
      <c r="L9" s="43"/>
      <c r="M9" s="34">
        <f t="shared" si="1"/>
        <v>0</v>
      </c>
      <c r="N9" s="43"/>
      <c r="O9" s="43"/>
      <c r="P9" s="43"/>
      <c r="Q9" s="34">
        <f t="shared" si="2"/>
        <v>0</v>
      </c>
      <c r="R9" s="43"/>
      <c r="S9" s="43"/>
      <c r="T9" s="43"/>
      <c r="U9" s="34">
        <f t="shared" si="3"/>
        <v>0</v>
      </c>
      <c r="V9" s="34">
        <f t="shared" si="4"/>
        <v>0</v>
      </c>
    </row>
    <row r="10" spans="1:47" s="111" customFormat="1" ht="12.75" customHeight="1" outlineLevel="1">
      <c r="A10" s="450"/>
      <c r="B10" s="451"/>
      <c r="C10" s="116"/>
      <c r="D10" s="117" t="s">
        <v>165</v>
      </c>
      <c r="E10" s="7"/>
      <c r="F10" s="43">
        <v>0</v>
      </c>
      <c r="G10" s="43">
        <v>5000000</v>
      </c>
      <c r="H10" s="43">
        <v>5000000</v>
      </c>
      <c r="I10" s="34">
        <f t="shared" si="0"/>
        <v>10000000</v>
      </c>
      <c r="J10" s="43">
        <v>5000000</v>
      </c>
      <c r="K10" s="43">
        <v>5000000</v>
      </c>
      <c r="L10" s="43">
        <v>5000000</v>
      </c>
      <c r="M10" s="34">
        <f t="shared" si="1"/>
        <v>15000000</v>
      </c>
      <c r="N10" s="43">
        <v>5000000</v>
      </c>
      <c r="O10" s="43">
        <v>5000000</v>
      </c>
      <c r="P10" s="43">
        <v>5000000</v>
      </c>
      <c r="Q10" s="34">
        <f t="shared" si="2"/>
        <v>15000000</v>
      </c>
      <c r="R10" s="43">
        <v>5000000</v>
      </c>
      <c r="S10" s="43">
        <v>5000000</v>
      </c>
      <c r="T10" s="43">
        <v>5000000</v>
      </c>
      <c r="U10" s="34">
        <f t="shared" si="3"/>
        <v>15000000</v>
      </c>
      <c r="V10" s="34">
        <f t="shared" si="4"/>
        <v>55000000</v>
      </c>
    </row>
    <row r="11" spans="1:47" s="111" customFormat="1" ht="6.75" customHeight="1">
      <c r="A11" s="450"/>
      <c r="B11" s="4"/>
      <c r="C11" s="4"/>
      <c r="D11" s="119"/>
      <c r="E11" s="120"/>
      <c r="F11" s="43"/>
      <c r="G11" s="43"/>
      <c r="H11" s="43"/>
      <c r="I11" s="34"/>
      <c r="J11" s="43"/>
      <c r="K11" s="43"/>
      <c r="L11" s="43"/>
      <c r="M11" s="34"/>
      <c r="N11" s="43"/>
      <c r="O11" s="43"/>
      <c r="P11" s="43"/>
      <c r="Q11" s="34"/>
      <c r="R11" s="43"/>
      <c r="S11" s="43"/>
      <c r="T11" s="43"/>
      <c r="U11" s="34"/>
      <c r="V11" s="34"/>
    </row>
    <row r="12" spans="1:47" s="111" customFormat="1" ht="12.75" customHeight="1">
      <c r="A12" s="447" t="s">
        <v>167</v>
      </c>
      <c r="B12" s="448"/>
      <c r="C12" s="448"/>
      <c r="D12" s="449"/>
      <c r="E12" s="8"/>
      <c r="F12" s="44">
        <f t="shared" ref="F12:V12" si="5">SUM(F5:F10)</f>
        <v>0</v>
      </c>
      <c r="G12" s="44">
        <f t="shared" si="5"/>
        <v>5000000</v>
      </c>
      <c r="H12" s="44">
        <f t="shared" ref="H12" si="6">SUM(H5:H10)</f>
        <v>5000000</v>
      </c>
      <c r="I12" s="35">
        <f t="shared" si="5"/>
        <v>10000000</v>
      </c>
      <c r="J12" s="44">
        <f t="shared" ref="J12:L12" si="7">SUM(J5:J10)</f>
        <v>5000000</v>
      </c>
      <c r="K12" s="44">
        <f t="shared" si="7"/>
        <v>5000000</v>
      </c>
      <c r="L12" s="44">
        <f t="shared" si="7"/>
        <v>5000000</v>
      </c>
      <c r="M12" s="35">
        <f t="shared" ref="M12:P12" si="8">SUM(M5:M10)</f>
        <v>15000000</v>
      </c>
      <c r="N12" s="44">
        <f t="shared" si="8"/>
        <v>5000000</v>
      </c>
      <c r="O12" s="44">
        <f t="shared" si="8"/>
        <v>5000000</v>
      </c>
      <c r="P12" s="44">
        <f t="shared" si="8"/>
        <v>5000000</v>
      </c>
      <c r="Q12" s="35">
        <f t="shared" ref="Q12:T12" si="9">SUM(Q5:Q10)</f>
        <v>15000000</v>
      </c>
      <c r="R12" s="44">
        <f t="shared" si="9"/>
        <v>5000000</v>
      </c>
      <c r="S12" s="44">
        <f t="shared" si="9"/>
        <v>5000000</v>
      </c>
      <c r="T12" s="44">
        <f t="shared" si="9"/>
        <v>5000000</v>
      </c>
      <c r="U12" s="35">
        <f t="shared" ref="U12" si="10">SUM(U5:U10)</f>
        <v>15000000</v>
      </c>
      <c r="V12" s="35">
        <f t="shared" si="5"/>
        <v>55000000</v>
      </c>
    </row>
    <row r="13" spans="1:47" s="111" customFormat="1" ht="5.25" customHeight="1">
      <c r="A13" s="121"/>
      <c r="B13" s="3"/>
      <c r="C13" s="3"/>
      <c r="D13" s="119"/>
      <c r="E13" s="4"/>
      <c r="F13" s="43"/>
      <c r="G13" s="43"/>
      <c r="H13" s="43"/>
      <c r="I13" s="34"/>
      <c r="J13" s="43"/>
      <c r="K13" s="43"/>
      <c r="L13" s="43"/>
      <c r="M13" s="34"/>
      <c r="N13" s="43"/>
      <c r="O13" s="43"/>
      <c r="P13" s="43"/>
      <c r="Q13" s="34"/>
      <c r="R13" s="43"/>
      <c r="S13" s="43"/>
      <c r="T13" s="43"/>
      <c r="U13" s="34"/>
      <c r="V13" s="34"/>
    </row>
    <row r="14" spans="1:47" s="111" customFormat="1" ht="12.75" customHeight="1">
      <c r="A14" s="452" t="s">
        <v>168</v>
      </c>
      <c r="B14" s="453"/>
      <c r="C14" s="453"/>
      <c r="D14" s="454"/>
      <c r="E14" s="7"/>
      <c r="F14" s="43"/>
      <c r="G14" s="43"/>
      <c r="H14" s="43"/>
      <c r="I14" s="34"/>
      <c r="J14" s="43"/>
      <c r="K14" s="43"/>
      <c r="L14" s="43"/>
      <c r="M14" s="34"/>
      <c r="N14" s="43"/>
      <c r="O14" s="43"/>
      <c r="P14" s="43"/>
      <c r="Q14" s="34"/>
      <c r="R14" s="43"/>
      <c r="S14" s="43"/>
      <c r="T14" s="43"/>
      <c r="U14" s="34"/>
      <c r="V14" s="34"/>
    </row>
    <row r="15" spans="1:47" s="111" customFormat="1" ht="12.75" customHeight="1" outlineLevel="1">
      <c r="A15" s="465"/>
      <c r="B15" s="3"/>
      <c r="C15" s="466" t="s">
        <v>169</v>
      </c>
      <c r="D15" s="467"/>
      <c r="E15" s="7"/>
      <c r="F15" s="43"/>
      <c r="G15" s="43"/>
      <c r="H15" s="43"/>
      <c r="I15" s="34"/>
      <c r="J15" s="43"/>
      <c r="K15" s="43"/>
      <c r="L15" s="43"/>
      <c r="M15" s="34"/>
      <c r="N15" s="43"/>
      <c r="O15" s="43"/>
      <c r="P15" s="43"/>
      <c r="Q15" s="34"/>
      <c r="R15" s="43"/>
      <c r="S15" s="43"/>
      <c r="T15" s="43"/>
      <c r="U15" s="34"/>
      <c r="V15" s="34"/>
    </row>
    <row r="16" spans="1:47" s="111" customFormat="1" ht="12.75" customHeight="1" outlineLevel="1">
      <c r="A16" s="465"/>
      <c r="B16" s="3"/>
      <c r="C16" s="116"/>
      <c r="D16" s="117" t="s">
        <v>170</v>
      </c>
      <c r="E16" s="7">
        <v>0</v>
      </c>
      <c r="F16" s="43"/>
      <c r="G16" s="43"/>
      <c r="H16" s="43"/>
      <c r="I16" s="34">
        <f t="shared" ref="I16:I22" si="11">H16+G16+F16</f>
        <v>0</v>
      </c>
      <c r="J16" s="43"/>
      <c r="K16" s="43"/>
      <c r="L16" s="43"/>
      <c r="M16" s="34">
        <f t="shared" ref="M16:M22" si="12">L16+K16+J16</f>
        <v>0</v>
      </c>
      <c r="N16" s="43"/>
      <c r="O16" s="43"/>
      <c r="P16" s="43"/>
      <c r="Q16" s="34">
        <f t="shared" ref="Q16:Q22" si="13">P16+O16+N16</f>
        <v>0</v>
      </c>
      <c r="R16" s="43"/>
      <c r="S16" s="43"/>
      <c r="T16" s="43"/>
      <c r="U16" s="34">
        <f t="shared" ref="U16:U22" si="14">T16+S16+R16</f>
        <v>0</v>
      </c>
      <c r="V16" s="34">
        <f t="shared" ref="V16:V22" si="15">U16+Q16+M16+I16</f>
        <v>0</v>
      </c>
    </row>
    <row r="17" spans="1:23" s="111" customFormat="1" ht="12.75" customHeight="1" outlineLevel="1">
      <c r="A17" s="465"/>
      <c r="B17" s="3"/>
      <c r="C17" s="116"/>
      <c r="D17" s="117" t="s">
        <v>172</v>
      </c>
      <c r="E17" s="7"/>
      <c r="F17" s="43"/>
      <c r="G17" s="43"/>
      <c r="H17" s="43"/>
      <c r="I17" s="34">
        <f t="shared" si="11"/>
        <v>0</v>
      </c>
      <c r="J17" s="43"/>
      <c r="K17" s="43"/>
      <c r="L17" s="43"/>
      <c r="M17" s="34">
        <f t="shared" si="12"/>
        <v>0</v>
      </c>
      <c r="N17" s="43"/>
      <c r="O17" s="43"/>
      <c r="P17" s="43"/>
      <c r="Q17" s="34">
        <f t="shared" si="13"/>
        <v>0</v>
      </c>
      <c r="R17" s="43"/>
      <c r="S17" s="43"/>
      <c r="T17" s="43"/>
      <c r="U17" s="34">
        <f t="shared" si="14"/>
        <v>0</v>
      </c>
      <c r="V17" s="34">
        <f t="shared" si="15"/>
        <v>0</v>
      </c>
    </row>
    <row r="18" spans="1:23" s="111" customFormat="1" ht="12.75" customHeight="1" outlineLevel="1">
      <c r="A18" s="465"/>
      <c r="B18" s="3"/>
      <c r="C18" s="116"/>
      <c r="D18" s="117" t="s">
        <v>294</v>
      </c>
      <c r="E18" s="7"/>
      <c r="F18" s="43"/>
      <c r="G18" s="43"/>
      <c r="H18" s="43"/>
      <c r="I18" s="34">
        <f t="shared" si="11"/>
        <v>0</v>
      </c>
      <c r="J18" s="43"/>
      <c r="K18" s="43"/>
      <c r="L18" s="43"/>
      <c r="M18" s="34">
        <f t="shared" si="12"/>
        <v>0</v>
      </c>
      <c r="N18" s="43"/>
      <c r="O18" s="43"/>
      <c r="P18" s="43"/>
      <c r="Q18" s="34">
        <f t="shared" si="13"/>
        <v>0</v>
      </c>
      <c r="R18" s="43"/>
      <c r="S18" s="43"/>
      <c r="T18" s="43"/>
      <c r="U18" s="34">
        <f t="shared" si="14"/>
        <v>0</v>
      </c>
      <c r="V18" s="34">
        <f t="shared" si="15"/>
        <v>0</v>
      </c>
    </row>
    <row r="19" spans="1:23" s="111" customFormat="1" ht="12.75" customHeight="1" outlineLevel="1">
      <c r="A19" s="465"/>
      <c r="B19" s="3"/>
      <c r="C19" s="116"/>
      <c r="D19" s="117" t="s">
        <v>173</v>
      </c>
      <c r="E19" s="7"/>
      <c r="F19" s="43"/>
      <c r="G19" s="43"/>
      <c r="H19" s="43"/>
      <c r="I19" s="34">
        <f t="shared" si="11"/>
        <v>0</v>
      </c>
      <c r="J19" s="43"/>
      <c r="K19" s="43"/>
      <c r="L19" s="43"/>
      <c r="M19" s="34">
        <f t="shared" si="12"/>
        <v>0</v>
      </c>
      <c r="N19" s="43"/>
      <c r="O19" s="43"/>
      <c r="P19" s="43"/>
      <c r="Q19" s="34">
        <f t="shared" si="13"/>
        <v>0</v>
      </c>
      <c r="R19" s="43"/>
      <c r="S19" s="43"/>
      <c r="T19" s="43"/>
      <c r="U19" s="34">
        <f t="shared" si="14"/>
        <v>0</v>
      </c>
      <c r="V19" s="34">
        <f t="shared" si="15"/>
        <v>0</v>
      </c>
    </row>
    <row r="20" spans="1:23" s="111" customFormat="1" ht="12.75" customHeight="1" outlineLevel="1">
      <c r="A20" s="465"/>
      <c r="B20" s="3"/>
      <c r="C20" s="116"/>
      <c r="D20" s="118" t="s">
        <v>174</v>
      </c>
      <c r="E20" s="7">
        <v>0</v>
      </c>
      <c r="F20" s="43"/>
      <c r="G20" s="43"/>
      <c r="H20" s="43"/>
      <c r="I20" s="34">
        <f t="shared" si="11"/>
        <v>0</v>
      </c>
      <c r="J20" s="43"/>
      <c r="K20" s="43"/>
      <c r="L20" s="43"/>
      <c r="M20" s="34">
        <f t="shared" si="12"/>
        <v>0</v>
      </c>
      <c r="N20" s="43"/>
      <c r="O20" s="43"/>
      <c r="P20" s="43"/>
      <c r="Q20" s="34">
        <f t="shared" si="13"/>
        <v>0</v>
      </c>
      <c r="R20" s="43"/>
      <c r="S20" s="43"/>
      <c r="T20" s="43"/>
      <c r="U20" s="34">
        <f t="shared" si="14"/>
        <v>0</v>
      </c>
      <c r="V20" s="34">
        <f t="shared" si="15"/>
        <v>0</v>
      </c>
    </row>
    <row r="21" spans="1:23" s="111" customFormat="1" ht="12.75" customHeight="1" outlineLevel="1">
      <c r="A21" s="465"/>
      <c r="B21" s="3"/>
      <c r="C21" s="468" t="s">
        <v>175</v>
      </c>
      <c r="D21" s="469"/>
      <c r="E21" s="7"/>
      <c r="F21" s="43"/>
      <c r="G21" s="43"/>
      <c r="H21" s="43"/>
      <c r="I21" s="34">
        <f t="shared" si="11"/>
        <v>0</v>
      </c>
      <c r="J21" s="43"/>
      <c r="K21" s="43"/>
      <c r="L21" s="43"/>
      <c r="M21" s="34">
        <f t="shared" si="12"/>
        <v>0</v>
      </c>
      <c r="N21" s="43"/>
      <c r="O21" s="43"/>
      <c r="P21" s="43"/>
      <c r="Q21" s="34">
        <f t="shared" si="13"/>
        <v>0</v>
      </c>
      <c r="R21" s="43"/>
      <c r="S21" s="43"/>
      <c r="T21" s="43"/>
      <c r="U21" s="34">
        <f t="shared" si="14"/>
        <v>0</v>
      </c>
      <c r="V21" s="34">
        <f t="shared" si="15"/>
        <v>0</v>
      </c>
    </row>
    <row r="22" spans="1:23" s="111" customFormat="1" ht="12.75" customHeight="1" outlineLevel="1">
      <c r="A22" s="465"/>
      <c r="B22" s="3"/>
      <c r="C22" s="468" t="s">
        <v>176</v>
      </c>
      <c r="D22" s="469"/>
      <c r="E22" s="7"/>
      <c r="F22" s="43"/>
      <c r="G22" s="43"/>
      <c r="H22" s="43"/>
      <c r="I22" s="34">
        <f t="shared" si="11"/>
        <v>0</v>
      </c>
      <c r="J22" s="43"/>
      <c r="K22" s="43"/>
      <c r="L22" s="43"/>
      <c r="M22" s="34">
        <f t="shared" si="12"/>
        <v>0</v>
      </c>
      <c r="N22" s="43"/>
      <c r="O22" s="43"/>
      <c r="P22" s="43"/>
      <c r="Q22" s="34">
        <f t="shared" si="13"/>
        <v>0</v>
      </c>
      <c r="R22" s="43"/>
      <c r="S22" s="43"/>
      <c r="T22" s="43"/>
      <c r="U22" s="34">
        <f t="shared" si="14"/>
        <v>0</v>
      </c>
      <c r="V22" s="34">
        <f t="shared" si="15"/>
        <v>0</v>
      </c>
    </row>
    <row r="23" spans="1:23" s="111" customFormat="1" ht="12.75" customHeight="1" outlineLevel="1">
      <c r="A23" s="465"/>
      <c r="B23" s="3"/>
      <c r="C23" s="457" t="s">
        <v>203</v>
      </c>
      <c r="D23" s="470"/>
      <c r="E23" s="7"/>
      <c r="F23" s="96"/>
      <c r="G23" s="96"/>
      <c r="H23" s="96"/>
      <c r="I23" s="34">
        <f>H23+G23+F23</f>
        <v>0</v>
      </c>
      <c r="J23" s="96"/>
      <c r="K23" s="96"/>
      <c r="L23" s="96"/>
      <c r="M23" s="34">
        <f>L23+K23+J23</f>
        <v>0</v>
      </c>
      <c r="N23" s="96"/>
      <c r="O23" s="96"/>
      <c r="P23" s="96"/>
      <c r="Q23" s="34">
        <f>P23+O23+N23</f>
        <v>0</v>
      </c>
      <c r="R23" s="96"/>
      <c r="S23" s="96"/>
      <c r="T23" s="96"/>
      <c r="U23" s="34">
        <f>T23+S23+R23</f>
        <v>0</v>
      </c>
      <c r="V23" s="34">
        <f>U23+Q23+M23+I23</f>
        <v>0</v>
      </c>
    </row>
    <row r="24" spans="1:23" s="111" customFormat="1" ht="12.75" customHeight="1" outlineLevel="1">
      <c r="A24" s="465"/>
      <c r="B24" s="3"/>
      <c r="C24" s="457" t="s">
        <v>184</v>
      </c>
      <c r="D24" s="458"/>
      <c r="E24" s="7"/>
      <c r="F24" s="96">
        <v>2081000</v>
      </c>
      <c r="G24" s="96"/>
      <c r="H24" s="96"/>
      <c r="I24" s="34">
        <f t="shared" ref="I24:I25" si="16">H24+G24+F24</f>
        <v>2081000</v>
      </c>
      <c r="J24" s="96"/>
      <c r="K24" s="96"/>
      <c r="L24" s="96"/>
      <c r="M24" s="34">
        <f t="shared" ref="M24:M25" si="17">L24+K24+J24</f>
        <v>0</v>
      </c>
      <c r="N24" s="96"/>
      <c r="O24" s="96"/>
      <c r="P24" s="96"/>
      <c r="Q24" s="34">
        <f t="shared" ref="Q24:Q25" si="18">P24+O24+N24</f>
        <v>0</v>
      </c>
      <c r="R24" s="96"/>
      <c r="S24" s="96"/>
      <c r="T24" s="96"/>
      <c r="U24" s="34">
        <f t="shared" ref="U24:U25" si="19">T24+S24+R24</f>
        <v>0</v>
      </c>
      <c r="V24" s="34">
        <f t="shared" ref="V24:V25" si="20">U24+Q24+M24+I24</f>
        <v>2081000</v>
      </c>
    </row>
    <row r="25" spans="1:23" s="111" customFormat="1" ht="12.75" customHeight="1" outlineLevel="1">
      <c r="A25" s="465"/>
      <c r="B25" s="3"/>
      <c r="C25" s="457" t="s">
        <v>183</v>
      </c>
      <c r="D25" s="458"/>
      <c r="E25" s="7">
        <v>0</v>
      </c>
      <c r="F25" s="43"/>
      <c r="G25" s="43"/>
      <c r="H25" s="43"/>
      <c r="I25" s="34">
        <f t="shared" si="16"/>
        <v>0</v>
      </c>
      <c r="J25" s="43"/>
      <c r="K25" s="43"/>
      <c r="L25" s="43"/>
      <c r="M25" s="34">
        <f t="shared" si="17"/>
        <v>0</v>
      </c>
      <c r="N25" s="43"/>
      <c r="O25" s="43"/>
      <c r="P25" s="43"/>
      <c r="Q25" s="34">
        <f t="shared" si="18"/>
        <v>0</v>
      </c>
      <c r="R25" s="43"/>
      <c r="S25" s="43"/>
      <c r="T25" s="43"/>
      <c r="U25" s="34">
        <f t="shared" si="19"/>
        <v>0</v>
      </c>
      <c r="V25" s="34">
        <f t="shared" si="20"/>
        <v>0</v>
      </c>
    </row>
    <row r="26" spans="1:23" s="111" customFormat="1" ht="12.75" customHeight="1">
      <c r="A26" s="459" t="s">
        <v>177</v>
      </c>
      <c r="B26" s="460"/>
      <c r="C26" s="460"/>
      <c r="D26" s="461"/>
      <c r="E26" s="8"/>
      <c r="F26" s="44">
        <f t="shared" ref="F26:V26" si="21">SUM(F16:F25)</f>
        <v>2081000</v>
      </c>
      <c r="G26" s="44">
        <f t="shared" si="21"/>
        <v>0</v>
      </c>
      <c r="H26" s="44">
        <f t="shared" ref="H26" si="22">SUM(H16:H25)</f>
        <v>0</v>
      </c>
      <c r="I26" s="35">
        <f t="shared" si="21"/>
        <v>2081000</v>
      </c>
      <c r="J26" s="44">
        <f t="shared" ref="J26:L26" si="23">SUM(J16:J25)</f>
        <v>0</v>
      </c>
      <c r="K26" s="44">
        <f t="shared" si="23"/>
        <v>0</v>
      </c>
      <c r="L26" s="44">
        <f t="shared" si="23"/>
        <v>0</v>
      </c>
      <c r="M26" s="35">
        <f t="shared" si="21"/>
        <v>0</v>
      </c>
      <c r="N26" s="44">
        <f t="shared" ref="N26:P26" si="24">SUM(N16:N25)</f>
        <v>0</v>
      </c>
      <c r="O26" s="44">
        <f t="shared" si="24"/>
        <v>0</v>
      </c>
      <c r="P26" s="44">
        <f t="shared" si="24"/>
        <v>0</v>
      </c>
      <c r="Q26" s="35">
        <f t="shared" si="21"/>
        <v>0</v>
      </c>
      <c r="R26" s="44">
        <f t="shared" ref="R26:T26" si="25">SUM(R16:R25)</f>
        <v>0</v>
      </c>
      <c r="S26" s="44">
        <f t="shared" si="25"/>
        <v>0</v>
      </c>
      <c r="T26" s="44">
        <f t="shared" si="25"/>
        <v>0</v>
      </c>
      <c r="U26" s="35">
        <f t="shared" si="21"/>
        <v>0</v>
      </c>
      <c r="V26" s="35">
        <f t="shared" si="21"/>
        <v>2081000</v>
      </c>
    </row>
    <row r="27" spans="1:23" s="111" customFormat="1" ht="8.25" customHeight="1">
      <c r="A27" s="122"/>
      <c r="B27" s="123"/>
      <c r="C27" s="123"/>
      <c r="D27" s="124"/>
      <c r="E27" s="8"/>
      <c r="F27" s="43"/>
      <c r="G27" s="43"/>
      <c r="H27" s="43"/>
      <c r="I27" s="34"/>
      <c r="J27" s="43"/>
      <c r="K27" s="43"/>
      <c r="L27" s="43"/>
      <c r="M27" s="34"/>
      <c r="N27" s="43"/>
      <c r="O27" s="43"/>
      <c r="P27" s="43"/>
      <c r="Q27" s="34"/>
      <c r="R27" s="43"/>
      <c r="S27" s="43"/>
      <c r="T27" s="43"/>
      <c r="U27" s="34"/>
      <c r="V27" s="34"/>
    </row>
    <row r="28" spans="1:23" s="111" customFormat="1" ht="12.75" customHeight="1">
      <c r="A28" s="462" t="s">
        <v>178</v>
      </c>
      <c r="B28" s="463"/>
      <c r="C28" s="463"/>
      <c r="D28" s="464"/>
      <c r="E28" s="8"/>
      <c r="F28" s="43"/>
      <c r="G28" s="43"/>
      <c r="H28" s="43"/>
      <c r="I28" s="34"/>
      <c r="J28" s="43"/>
      <c r="K28" s="43"/>
      <c r="L28" s="43"/>
      <c r="M28" s="34"/>
      <c r="N28" s="43"/>
      <c r="O28" s="43"/>
      <c r="P28" s="43"/>
      <c r="Q28" s="34"/>
      <c r="R28" s="43"/>
      <c r="S28" s="43"/>
      <c r="T28" s="43"/>
      <c r="U28" s="34"/>
      <c r="V28" s="34"/>
    </row>
    <row r="29" spans="1:23" s="111" customFormat="1" ht="12.75" customHeight="1">
      <c r="A29" s="125"/>
      <c r="B29" s="4"/>
      <c r="C29" s="455" t="s">
        <v>179</v>
      </c>
      <c r="D29" s="456"/>
      <c r="E29" s="8"/>
      <c r="F29" s="44">
        <f t="shared" ref="F29:V29" si="26">F12-F26</f>
        <v>-2081000</v>
      </c>
      <c r="G29" s="44">
        <f t="shared" si="26"/>
        <v>5000000</v>
      </c>
      <c r="H29" s="44">
        <f t="shared" ref="H29" si="27">H12-H26</f>
        <v>5000000</v>
      </c>
      <c r="I29" s="35">
        <f t="shared" si="26"/>
        <v>7919000</v>
      </c>
      <c r="J29" s="44">
        <f t="shared" ref="J29:L29" si="28">J12-J26</f>
        <v>5000000</v>
      </c>
      <c r="K29" s="44">
        <f t="shared" si="28"/>
        <v>5000000</v>
      </c>
      <c r="L29" s="44">
        <f t="shared" si="28"/>
        <v>5000000</v>
      </c>
      <c r="M29" s="35">
        <f t="shared" si="26"/>
        <v>15000000</v>
      </c>
      <c r="N29" s="44">
        <f t="shared" ref="N29:P29" si="29">N12-N26</f>
        <v>5000000</v>
      </c>
      <c r="O29" s="44">
        <f t="shared" si="29"/>
        <v>5000000</v>
      </c>
      <c r="P29" s="44">
        <f t="shared" si="29"/>
        <v>5000000</v>
      </c>
      <c r="Q29" s="35">
        <f t="shared" si="26"/>
        <v>15000000</v>
      </c>
      <c r="R29" s="44">
        <f t="shared" ref="R29:T29" si="30">R12-R26</f>
        <v>5000000</v>
      </c>
      <c r="S29" s="44">
        <f t="shared" si="30"/>
        <v>5000000</v>
      </c>
      <c r="T29" s="44">
        <f t="shared" si="30"/>
        <v>5000000</v>
      </c>
      <c r="U29" s="35">
        <f t="shared" si="26"/>
        <v>15000000</v>
      </c>
      <c r="V29" s="35">
        <f t="shared" si="26"/>
        <v>52919000</v>
      </c>
    </row>
    <row r="30" spans="1:23" s="111" customFormat="1" ht="12.75" customHeight="1">
      <c r="A30" s="121"/>
      <c r="B30" s="3"/>
      <c r="C30" s="3"/>
      <c r="D30" s="118" t="s">
        <v>180</v>
      </c>
      <c r="E30" s="7"/>
      <c r="F30" s="126">
        <f t="shared" ref="F30:V30" si="31">IF(F12=0,0,F29/F12)</f>
        <v>0</v>
      </c>
      <c r="G30" s="126">
        <f t="shared" si="31"/>
        <v>1</v>
      </c>
      <c r="H30" s="126">
        <f t="shared" ref="H30" si="32">IF(H12=0,0,H29/H12)</f>
        <v>1</v>
      </c>
      <c r="I30" s="127">
        <f t="shared" si="31"/>
        <v>0.79190000000000005</v>
      </c>
      <c r="J30" s="126">
        <f t="shared" ref="J30:L30" si="33">IF(J12=0,0,J29/J12)</f>
        <v>1</v>
      </c>
      <c r="K30" s="126">
        <f t="shared" si="33"/>
        <v>1</v>
      </c>
      <c r="L30" s="126">
        <f t="shared" si="33"/>
        <v>1</v>
      </c>
      <c r="M30" s="127">
        <f t="shared" si="31"/>
        <v>1</v>
      </c>
      <c r="N30" s="126">
        <f t="shared" ref="N30:P30" si="34">IF(N12=0,0,N29/N12)</f>
        <v>1</v>
      </c>
      <c r="O30" s="126">
        <f t="shared" si="34"/>
        <v>1</v>
      </c>
      <c r="P30" s="126">
        <f t="shared" si="34"/>
        <v>1</v>
      </c>
      <c r="Q30" s="127">
        <f t="shared" si="31"/>
        <v>1</v>
      </c>
      <c r="R30" s="126">
        <f t="shared" ref="R30:T30" si="35">IF(R12=0,0,R29/R12)</f>
        <v>1</v>
      </c>
      <c r="S30" s="126">
        <f t="shared" si="35"/>
        <v>1</v>
      </c>
      <c r="T30" s="126">
        <f t="shared" si="35"/>
        <v>1</v>
      </c>
      <c r="U30" s="127">
        <f t="shared" si="31"/>
        <v>1</v>
      </c>
      <c r="V30" s="127">
        <f t="shared" si="31"/>
        <v>0.96216363636363633</v>
      </c>
      <c r="W30" s="128"/>
    </row>
    <row r="31" spans="1:23" ht="13.15" outlineLevel="1">
      <c r="A31" s="21" t="s">
        <v>49</v>
      </c>
      <c r="B31" s="22"/>
      <c r="C31" s="22"/>
      <c r="D31" s="22"/>
      <c r="F31" s="43"/>
      <c r="G31" s="43"/>
      <c r="H31" s="43"/>
      <c r="I31" s="34"/>
      <c r="J31" s="43"/>
      <c r="K31" s="43"/>
      <c r="L31" s="43"/>
      <c r="M31" s="34"/>
      <c r="N31" s="43"/>
      <c r="O31" s="43"/>
      <c r="P31" s="43"/>
      <c r="Q31" s="34"/>
      <c r="R31" s="43"/>
      <c r="S31" s="43"/>
      <c r="T31" s="43"/>
      <c r="U31" s="34"/>
      <c r="V31" s="34"/>
    </row>
    <row r="32" spans="1:23" ht="13.5" outlineLevel="2">
      <c r="A32" s="22"/>
      <c r="B32" s="22"/>
      <c r="C32" s="23" t="s">
        <v>37</v>
      </c>
      <c r="D32" s="24"/>
      <c r="E32" s="8"/>
      <c r="F32" s="43"/>
      <c r="G32" s="43"/>
      <c r="H32" s="43"/>
      <c r="I32" s="34"/>
      <c r="J32" s="43"/>
      <c r="K32" s="43"/>
      <c r="L32" s="43"/>
      <c r="M32" s="34"/>
      <c r="N32" s="43"/>
      <c r="O32" s="43"/>
      <c r="P32" s="43"/>
      <c r="Q32" s="34"/>
      <c r="R32" s="43"/>
      <c r="S32" s="43"/>
      <c r="T32" s="43"/>
      <c r="U32" s="34"/>
      <c r="V32" s="34"/>
    </row>
    <row r="33" spans="1:22" ht="13.15" outlineLevel="2">
      <c r="A33" s="22"/>
      <c r="B33" s="22"/>
      <c r="C33" s="22"/>
      <c r="D33" s="25" t="s">
        <v>27</v>
      </c>
      <c r="E33" s="7">
        <v>0</v>
      </c>
      <c r="F33" s="43">
        <v>20000000</v>
      </c>
      <c r="G33" s="43">
        <v>20000000</v>
      </c>
      <c r="H33" s="43">
        <v>20000000</v>
      </c>
      <c r="I33" s="34">
        <f>SUM(F33:H33)</f>
        <v>60000000</v>
      </c>
      <c r="J33" s="43">
        <v>20000000</v>
      </c>
      <c r="K33" s="43">
        <v>20000000</v>
      </c>
      <c r="L33" s="43">
        <v>20000000</v>
      </c>
      <c r="M33" s="34">
        <f>SUM(J33:L33)</f>
        <v>60000000</v>
      </c>
      <c r="N33" s="43">
        <v>20000000</v>
      </c>
      <c r="O33" s="43">
        <v>20000000</v>
      </c>
      <c r="P33" s="43">
        <v>20000000</v>
      </c>
      <c r="Q33" s="34">
        <f>SUM(N33:P33)</f>
        <v>60000000</v>
      </c>
      <c r="R33" s="43">
        <v>20000000</v>
      </c>
      <c r="S33" s="43">
        <v>20000000</v>
      </c>
      <c r="T33" s="43">
        <v>20000000</v>
      </c>
      <c r="U33" s="34">
        <f>SUM(R33:T33)</f>
        <v>60000000</v>
      </c>
      <c r="V33" s="34">
        <f t="shared" ref="V33:V37" si="36">I33+M33+Q33+U33</f>
        <v>240000000</v>
      </c>
    </row>
    <row r="34" spans="1:22" ht="13.15" outlineLevel="2">
      <c r="A34" s="22"/>
      <c r="B34" s="22"/>
      <c r="C34" s="22"/>
      <c r="D34" s="25" t="s">
        <v>73</v>
      </c>
      <c r="F34" s="43">
        <v>0</v>
      </c>
      <c r="G34" s="43">
        <v>0</v>
      </c>
      <c r="H34" s="43">
        <v>0</v>
      </c>
      <c r="I34" s="34">
        <f>SUM(F34:H34)</f>
        <v>0</v>
      </c>
      <c r="J34" s="43">
        <v>0</v>
      </c>
      <c r="K34" s="43">
        <v>0</v>
      </c>
      <c r="L34" s="43">
        <v>0</v>
      </c>
      <c r="M34" s="34">
        <f>SUM(J34:L34)</f>
        <v>0</v>
      </c>
      <c r="N34" s="43">
        <v>0</v>
      </c>
      <c r="O34" s="43">
        <v>0</v>
      </c>
      <c r="P34" s="43">
        <v>0</v>
      </c>
      <c r="Q34" s="34">
        <f>SUM(N34:P34)</f>
        <v>0</v>
      </c>
      <c r="R34" s="43">
        <v>0</v>
      </c>
      <c r="S34" s="43">
        <v>0</v>
      </c>
      <c r="T34" s="43">
        <v>0</v>
      </c>
      <c r="U34" s="34">
        <f>SUM(R34:T34)</f>
        <v>0</v>
      </c>
      <c r="V34" s="34">
        <f t="shared" si="36"/>
        <v>0</v>
      </c>
    </row>
    <row r="35" spans="1:22" ht="13.15" outlineLevel="2">
      <c r="A35" s="22"/>
      <c r="B35" s="22"/>
      <c r="C35" s="22"/>
      <c r="D35" s="25" t="s">
        <v>55</v>
      </c>
      <c r="E35" s="7">
        <v>0</v>
      </c>
      <c r="F35" s="43"/>
      <c r="G35" s="43"/>
      <c r="H35" s="43"/>
      <c r="I35" s="34">
        <f>SUM(F35:H35)</f>
        <v>0</v>
      </c>
      <c r="J35" s="43"/>
      <c r="K35" s="43"/>
      <c r="L35" s="43"/>
      <c r="M35" s="34">
        <f>SUM(J35:L35)</f>
        <v>0</v>
      </c>
      <c r="N35" s="43"/>
      <c r="O35" s="43"/>
      <c r="P35" s="43"/>
      <c r="Q35" s="34">
        <f>SUM(N35:P35)</f>
        <v>0</v>
      </c>
      <c r="R35" s="43"/>
      <c r="S35" s="43"/>
      <c r="T35" s="43"/>
      <c r="U35" s="34">
        <f>SUM(R35:T35)</f>
        <v>0</v>
      </c>
      <c r="V35" s="34">
        <f t="shared" si="36"/>
        <v>0</v>
      </c>
    </row>
    <row r="36" spans="1:22" ht="13.15" outlineLevel="2">
      <c r="A36" s="22"/>
      <c r="B36" s="22"/>
      <c r="C36" s="22"/>
      <c r="D36" s="25" t="s">
        <v>96</v>
      </c>
      <c r="E36" s="7">
        <v>0</v>
      </c>
      <c r="F36" s="43">
        <v>2000000</v>
      </c>
      <c r="G36" s="43">
        <v>2000000</v>
      </c>
      <c r="H36" s="43">
        <v>2000000</v>
      </c>
      <c r="I36" s="34">
        <f>SUM(F36:H36)</f>
        <v>6000000</v>
      </c>
      <c r="J36" s="43">
        <v>2000000</v>
      </c>
      <c r="K36" s="43">
        <v>2000000</v>
      </c>
      <c r="L36" s="43">
        <v>2000000</v>
      </c>
      <c r="M36" s="34">
        <f>SUM(J36:L36)</f>
        <v>6000000</v>
      </c>
      <c r="N36" s="43">
        <v>2000000</v>
      </c>
      <c r="O36" s="43">
        <v>2000000</v>
      </c>
      <c r="P36" s="43">
        <v>2000000</v>
      </c>
      <c r="Q36" s="34">
        <f>SUM(N36:P36)</f>
        <v>6000000</v>
      </c>
      <c r="R36" s="43">
        <v>2000000</v>
      </c>
      <c r="S36" s="43">
        <v>2000000</v>
      </c>
      <c r="T36" s="43">
        <v>2000000</v>
      </c>
      <c r="U36" s="34">
        <f>SUM(R36:T36)</f>
        <v>6000000</v>
      </c>
      <c r="V36" s="34">
        <f t="shared" si="36"/>
        <v>24000000</v>
      </c>
    </row>
    <row r="37" spans="1:22" ht="13.15" outlineLevel="1">
      <c r="A37" s="24"/>
      <c r="B37" s="24" t="s">
        <v>0</v>
      </c>
      <c r="C37" s="24"/>
      <c r="D37" s="24"/>
      <c r="E37" s="8"/>
      <c r="F37" s="44">
        <f t="shared" ref="F37:G37" si="37">SUM(F33:F36)</f>
        <v>22000000</v>
      </c>
      <c r="G37" s="44">
        <f t="shared" si="37"/>
        <v>22000000</v>
      </c>
      <c r="H37" s="44">
        <f t="shared" ref="H37" si="38">SUM(H33:H36)</f>
        <v>22000000</v>
      </c>
      <c r="I37" s="35">
        <f>SUM(I33:I36)</f>
        <v>66000000</v>
      </c>
      <c r="J37" s="44">
        <f t="shared" ref="J37:L37" si="39">SUM(J33:J36)</f>
        <v>22000000</v>
      </c>
      <c r="K37" s="44">
        <f t="shared" si="39"/>
        <v>22000000</v>
      </c>
      <c r="L37" s="44">
        <f t="shared" si="39"/>
        <v>22000000</v>
      </c>
      <c r="M37" s="35">
        <f>SUM(M33:M36)</f>
        <v>66000000</v>
      </c>
      <c r="N37" s="44">
        <f t="shared" ref="N37:P37" si="40">SUM(N33:N36)</f>
        <v>22000000</v>
      </c>
      <c r="O37" s="44">
        <f t="shared" si="40"/>
        <v>22000000</v>
      </c>
      <c r="P37" s="44">
        <f t="shared" si="40"/>
        <v>22000000</v>
      </c>
      <c r="Q37" s="35">
        <f>SUM(Q33:Q36)</f>
        <v>66000000</v>
      </c>
      <c r="R37" s="44">
        <f t="shared" ref="R37:T37" si="41">SUM(R33:R36)</f>
        <v>22000000</v>
      </c>
      <c r="S37" s="44">
        <f t="shared" si="41"/>
        <v>22000000</v>
      </c>
      <c r="T37" s="44">
        <f t="shared" si="41"/>
        <v>22000000</v>
      </c>
      <c r="U37" s="35">
        <f>SUM(U33:U36)</f>
        <v>66000000</v>
      </c>
      <c r="V37" s="35">
        <f t="shared" si="36"/>
        <v>264000000</v>
      </c>
    </row>
    <row r="38" spans="1:22" ht="13.15" outlineLevel="2">
      <c r="A38" s="22"/>
      <c r="B38" s="22"/>
      <c r="C38" s="23" t="s">
        <v>38</v>
      </c>
      <c r="D38" s="22"/>
      <c r="F38" s="43"/>
      <c r="G38" s="43"/>
      <c r="H38" s="43"/>
      <c r="I38" s="34"/>
      <c r="J38" s="43"/>
      <c r="K38" s="43"/>
      <c r="L38" s="43"/>
      <c r="M38" s="34"/>
      <c r="N38" s="43"/>
      <c r="O38" s="43"/>
      <c r="P38" s="43"/>
      <c r="Q38" s="34"/>
      <c r="R38" s="43"/>
      <c r="S38" s="43"/>
      <c r="T38" s="43"/>
      <c r="U38" s="34"/>
      <c r="V38" s="34"/>
    </row>
    <row r="39" spans="1:22" ht="13.15" outlineLevel="2">
      <c r="A39" s="22"/>
      <c r="B39" s="22"/>
      <c r="C39" s="22"/>
      <c r="D39" s="25" t="s">
        <v>30</v>
      </c>
      <c r="E39" s="7">
        <v>0</v>
      </c>
      <c r="F39" s="43">
        <v>1000000</v>
      </c>
      <c r="G39" s="43">
        <v>1000000</v>
      </c>
      <c r="H39" s="43">
        <v>1000000</v>
      </c>
      <c r="I39" s="34">
        <f t="shared" ref="I39:I50" si="42">SUM(F39:H39)</f>
        <v>3000000</v>
      </c>
      <c r="J39" s="43">
        <v>1000000</v>
      </c>
      <c r="K39" s="43">
        <v>1000000</v>
      </c>
      <c r="L39" s="43">
        <v>1000000</v>
      </c>
      <c r="M39" s="34">
        <f t="shared" ref="M39:M50" si="43">SUM(J39:L39)</f>
        <v>3000000</v>
      </c>
      <c r="N39" s="43">
        <v>1000000</v>
      </c>
      <c r="O39" s="43">
        <v>1000000</v>
      </c>
      <c r="P39" s="43">
        <v>1000000</v>
      </c>
      <c r="Q39" s="34">
        <f t="shared" ref="Q39:Q50" si="44">SUM(N39:P39)</f>
        <v>3000000</v>
      </c>
      <c r="R39" s="43">
        <v>1000000</v>
      </c>
      <c r="S39" s="43">
        <v>1000000</v>
      </c>
      <c r="T39" s="43">
        <v>1000000</v>
      </c>
      <c r="U39" s="34">
        <f t="shared" ref="U39:U50" si="45">SUM(R39:T39)</f>
        <v>3000000</v>
      </c>
      <c r="V39" s="34">
        <f t="shared" ref="V39:V53" si="46">I39+M39+Q39+U39</f>
        <v>12000000</v>
      </c>
    </row>
    <row r="40" spans="1:22" ht="13.15" outlineLevel="2">
      <c r="A40" s="22"/>
      <c r="B40" s="22"/>
      <c r="C40" s="22"/>
      <c r="D40" s="25" t="s">
        <v>31</v>
      </c>
      <c r="E40" s="7">
        <v>0</v>
      </c>
      <c r="F40" s="43">
        <v>1000000</v>
      </c>
      <c r="G40" s="43">
        <v>1000000</v>
      </c>
      <c r="H40" s="43">
        <v>1000000</v>
      </c>
      <c r="I40" s="34">
        <f t="shared" si="42"/>
        <v>3000000</v>
      </c>
      <c r="J40" s="43">
        <v>1000000</v>
      </c>
      <c r="K40" s="43">
        <v>1000000</v>
      </c>
      <c r="L40" s="43">
        <v>1000000</v>
      </c>
      <c r="M40" s="34">
        <f t="shared" si="43"/>
        <v>3000000</v>
      </c>
      <c r="N40" s="43">
        <v>1000000</v>
      </c>
      <c r="O40" s="43">
        <v>1000000</v>
      </c>
      <c r="P40" s="43">
        <v>1000000</v>
      </c>
      <c r="Q40" s="34">
        <f t="shared" si="44"/>
        <v>3000000</v>
      </c>
      <c r="R40" s="43">
        <v>1000000</v>
      </c>
      <c r="S40" s="43">
        <v>1000000</v>
      </c>
      <c r="T40" s="43">
        <v>1000000</v>
      </c>
      <c r="U40" s="34">
        <f t="shared" si="45"/>
        <v>3000000</v>
      </c>
      <c r="V40" s="34">
        <f t="shared" si="46"/>
        <v>12000000</v>
      </c>
    </row>
    <row r="41" spans="1:22" ht="13.15" outlineLevel="2">
      <c r="A41" s="22"/>
      <c r="B41" s="22"/>
      <c r="C41" s="22"/>
      <c r="D41" s="25" t="s">
        <v>32</v>
      </c>
      <c r="E41" s="7">
        <v>0</v>
      </c>
      <c r="F41" s="43">
        <v>200000</v>
      </c>
      <c r="G41" s="43">
        <v>200000</v>
      </c>
      <c r="H41" s="43">
        <v>200000</v>
      </c>
      <c r="I41" s="34">
        <f t="shared" si="42"/>
        <v>600000</v>
      </c>
      <c r="J41" s="43">
        <v>200000</v>
      </c>
      <c r="K41" s="43">
        <v>200000</v>
      </c>
      <c r="L41" s="43">
        <v>200000</v>
      </c>
      <c r="M41" s="34">
        <f t="shared" si="43"/>
        <v>600000</v>
      </c>
      <c r="N41" s="43">
        <v>200000</v>
      </c>
      <c r="O41" s="43">
        <v>200000</v>
      </c>
      <c r="P41" s="43">
        <v>200000</v>
      </c>
      <c r="Q41" s="34">
        <f t="shared" si="44"/>
        <v>600000</v>
      </c>
      <c r="R41" s="43">
        <v>200000</v>
      </c>
      <c r="S41" s="43">
        <v>200000</v>
      </c>
      <c r="T41" s="43">
        <v>200000</v>
      </c>
      <c r="U41" s="34">
        <f t="shared" si="45"/>
        <v>600000</v>
      </c>
      <c r="V41" s="34">
        <f t="shared" si="46"/>
        <v>2400000</v>
      </c>
    </row>
    <row r="42" spans="1:22" ht="13.15" outlineLevel="2">
      <c r="A42" s="22"/>
      <c r="B42" s="22"/>
      <c r="C42" s="22"/>
      <c r="D42" s="25" t="s">
        <v>98</v>
      </c>
      <c r="E42" s="7">
        <v>0</v>
      </c>
      <c r="F42" s="43">
        <v>120000</v>
      </c>
      <c r="G42" s="43">
        <v>120000</v>
      </c>
      <c r="H42" s="43">
        <v>120000</v>
      </c>
      <c r="I42" s="34">
        <f t="shared" ref="I42" si="47">SUM(F42:H42)</f>
        <v>360000</v>
      </c>
      <c r="J42" s="43">
        <v>120000</v>
      </c>
      <c r="K42" s="43">
        <v>120000</v>
      </c>
      <c r="L42" s="43">
        <v>120000</v>
      </c>
      <c r="M42" s="34">
        <f t="shared" ref="M42" si="48">SUM(J42:L42)</f>
        <v>360000</v>
      </c>
      <c r="N42" s="43">
        <v>120000</v>
      </c>
      <c r="O42" s="43">
        <v>120000</v>
      </c>
      <c r="P42" s="43">
        <v>120000</v>
      </c>
      <c r="Q42" s="34">
        <f t="shared" ref="Q42" si="49">SUM(N42:P42)</f>
        <v>360000</v>
      </c>
      <c r="R42" s="43">
        <v>120000</v>
      </c>
      <c r="S42" s="43">
        <v>120000</v>
      </c>
      <c r="T42" s="43">
        <v>120000</v>
      </c>
      <c r="U42" s="34">
        <f t="shared" ref="U42" si="50">SUM(R42:T42)</f>
        <v>360000</v>
      </c>
      <c r="V42" s="34">
        <f t="shared" ref="V42" si="51">I42+M42+Q42+U42</f>
        <v>1440000</v>
      </c>
    </row>
    <row r="43" spans="1:22" ht="13.15" outlineLevel="2">
      <c r="A43" s="22"/>
      <c r="B43" s="22"/>
      <c r="C43" s="22"/>
      <c r="D43" s="25" t="s">
        <v>56</v>
      </c>
      <c r="E43" s="7">
        <v>0</v>
      </c>
      <c r="F43" s="43"/>
      <c r="G43" s="43"/>
      <c r="H43" s="43"/>
      <c r="I43" s="34">
        <f t="shared" si="42"/>
        <v>0</v>
      </c>
      <c r="J43" s="43"/>
      <c r="K43" s="43"/>
      <c r="L43" s="43"/>
      <c r="M43" s="34">
        <f t="shared" si="43"/>
        <v>0</v>
      </c>
      <c r="N43" s="43"/>
      <c r="O43" s="43"/>
      <c r="P43" s="43"/>
      <c r="Q43" s="34">
        <f t="shared" si="44"/>
        <v>0</v>
      </c>
      <c r="R43" s="43"/>
      <c r="S43" s="43"/>
      <c r="T43" s="43"/>
      <c r="U43" s="34">
        <f t="shared" si="45"/>
        <v>0</v>
      </c>
      <c r="V43" s="34">
        <f t="shared" si="46"/>
        <v>0</v>
      </c>
    </row>
    <row r="44" spans="1:22" ht="13.15" outlineLevel="2">
      <c r="A44" s="22"/>
      <c r="B44" s="22"/>
      <c r="C44" s="22"/>
      <c r="D44" s="25" t="s">
        <v>57</v>
      </c>
      <c r="F44" s="43">
        <v>210000</v>
      </c>
      <c r="G44" s="43">
        <v>210000</v>
      </c>
      <c r="H44" s="43">
        <v>210000</v>
      </c>
      <c r="I44" s="34">
        <f t="shared" si="42"/>
        <v>630000</v>
      </c>
      <c r="J44" s="43">
        <v>210000</v>
      </c>
      <c r="K44" s="43">
        <v>210000</v>
      </c>
      <c r="L44" s="43">
        <v>210000</v>
      </c>
      <c r="M44" s="34">
        <f t="shared" si="43"/>
        <v>630000</v>
      </c>
      <c r="N44" s="43">
        <v>210000</v>
      </c>
      <c r="O44" s="43">
        <v>210000</v>
      </c>
      <c r="P44" s="43">
        <v>210000</v>
      </c>
      <c r="Q44" s="34">
        <f t="shared" si="44"/>
        <v>630000</v>
      </c>
      <c r="R44" s="43">
        <v>210000</v>
      </c>
      <c r="S44" s="43">
        <v>210000</v>
      </c>
      <c r="T44" s="43">
        <v>210000</v>
      </c>
      <c r="U44" s="34">
        <f t="shared" si="45"/>
        <v>630000</v>
      </c>
      <c r="V44" s="34">
        <f t="shared" si="46"/>
        <v>2520000</v>
      </c>
    </row>
    <row r="45" spans="1:22" ht="13.15" outlineLevel="2">
      <c r="A45" s="22"/>
      <c r="B45" s="22"/>
      <c r="C45" s="22"/>
      <c r="D45" s="25" t="s">
        <v>54</v>
      </c>
      <c r="E45" s="7">
        <v>0</v>
      </c>
      <c r="F45" s="43">
        <v>100000</v>
      </c>
      <c r="G45" s="43">
        <v>100000</v>
      </c>
      <c r="H45" s="43">
        <v>100000</v>
      </c>
      <c r="I45" s="34">
        <f t="shared" si="42"/>
        <v>300000</v>
      </c>
      <c r="J45" s="43">
        <v>100000</v>
      </c>
      <c r="K45" s="43">
        <v>100000</v>
      </c>
      <c r="L45" s="43">
        <v>100000</v>
      </c>
      <c r="M45" s="34">
        <f t="shared" si="43"/>
        <v>300000</v>
      </c>
      <c r="N45" s="43">
        <v>100000</v>
      </c>
      <c r="O45" s="43">
        <v>100000</v>
      </c>
      <c r="P45" s="43">
        <v>100000</v>
      </c>
      <c r="Q45" s="34">
        <f t="shared" si="44"/>
        <v>300000</v>
      </c>
      <c r="R45" s="43">
        <v>100000</v>
      </c>
      <c r="S45" s="43">
        <v>100000</v>
      </c>
      <c r="T45" s="43">
        <v>100000</v>
      </c>
      <c r="U45" s="34">
        <f t="shared" si="45"/>
        <v>300000</v>
      </c>
      <c r="V45" s="34">
        <f t="shared" si="46"/>
        <v>1200000</v>
      </c>
    </row>
    <row r="46" spans="1:22" ht="13.15" outlineLevel="2">
      <c r="A46" s="22"/>
      <c r="B46" s="22"/>
      <c r="C46" s="22"/>
      <c r="D46" s="25" t="s">
        <v>34</v>
      </c>
      <c r="E46" s="7">
        <v>0</v>
      </c>
      <c r="F46" s="43"/>
      <c r="G46" s="43"/>
      <c r="H46" s="43"/>
      <c r="I46" s="34">
        <f t="shared" si="42"/>
        <v>0</v>
      </c>
      <c r="J46" s="43"/>
      <c r="K46" s="43"/>
      <c r="L46" s="43"/>
      <c r="M46" s="34">
        <f t="shared" si="43"/>
        <v>0</v>
      </c>
      <c r="N46" s="43"/>
      <c r="O46" s="43"/>
      <c r="P46" s="43"/>
      <c r="Q46" s="34">
        <f t="shared" si="44"/>
        <v>0</v>
      </c>
      <c r="R46" s="43"/>
      <c r="S46" s="43"/>
      <c r="T46" s="43"/>
      <c r="U46" s="34">
        <f t="shared" si="45"/>
        <v>0</v>
      </c>
      <c r="V46" s="34">
        <f t="shared" si="46"/>
        <v>0</v>
      </c>
    </row>
    <row r="47" spans="1:22" ht="13.15" outlineLevel="2">
      <c r="A47" s="22"/>
      <c r="B47" s="22"/>
      <c r="C47" s="22"/>
      <c r="D47" s="25" t="s">
        <v>65</v>
      </c>
      <c r="E47" s="7">
        <v>0</v>
      </c>
      <c r="F47" s="43"/>
      <c r="G47" s="43"/>
      <c r="H47" s="43"/>
      <c r="I47" s="34">
        <f t="shared" si="42"/>
        <v>0</v>
      </c>
      <c r="J47" s="43"/>
      <c r="K47" s="43"/>
      <c r="L47" s="43"/>
      <c r="M47" s="34">
        <f t="shared" si="43"/>
        <v>0</v>
      </c>
      <c r="N47" s="43"/>
      <c r="O47" s="43"/>
      <c r="P47" s="43"/>
      <c r="Q47" s="34">
        <f t="shared" si="44"/>
        <v>0</v>
      </c>
      <c r="R47" s="43"/>
      <c r="S47" s="43"/>
      <c r="T47" s="43"/>
      <c r="U47" s="34">
        <f t="shared" si="45"/>
        <v>0</v>
      </c>
      <c r="V47" s="34">
        <f t="shared" si="46"/>
        <v>0</v>
      </c>
    </row>
    <row r="48" spans="1:22" ht="13.15" outlineLevel="2">
      <c r="A48" s="22"/>
      <c r="B48" s="22"/>
      <c r="C48" s="22"/>
      <c r="D48" s="25" t="s">
        <v>64</v>
      </c>
      <c r="E48" s="7">
        <v>0</v>
      </c>
      <c r="F48" s="43"/>
      <c r="G48" s="43"/>
      <c r="H48" s="43"/>
      <c r="I48" s="34">
        <f t="shared" si="42"/>
        <v>0</v>
      </c>
      <c r="J48" s="43"/>
      <c r="K48" s="43"/>
      <c r="L48" s="43"/>
      <c r="M48" s="34">
        <f t="shared" si="43"/>
        <v>0</v>
      </c>
      <c r="N48" s="43"/>
      <c r="O48" s="43"/>
      <c r="P48" s="43"/>
      <c r="Q48" s="34">
        <f t="shared" si="44"/>
        <v>0</v>
      </c>
      <c r="R48" s="43"/>
      <c r="S48" s="43"/>
      <c r="T48" s="43"/>
      <c r="U48" s="34">
        <f t="shared" si="45"/>
        <v>0</v>
      </c>
      <c r="V48" s="34">
        <f t="shared" si="46"/>
        <v>0</v>
      </c>
    </row>
    <row r="49" spans="1:22" ht="13.15" outlineLevel="2">
      <c r="A49" s="22"/>
      <c r="B49" s="22"/>
      <c r="C49" s="22"/>
      <c r="D49" s="25" t="s">
        <v>112</v>
      </c>
      <c r="F49" s="43">
        <v>150000</v>
      </c>
      <c r="G49" s="43">
        <v>150000</v>
      </c>
      <c r="H49" s="43">
        <v>150000</v>
      </c>
      <c r="I49" s="34">
        <f t="shared" si="42"/>
        <v>450000</v>
      </c>
      <c r="J49" s="43">
        <v>150000</v>
      </c>
      <c r="K49" s="43">
        <v>150000</v>
      </c>
      <c r="L49" s="43">
        <v>150000</v>
      </c>
      <c r="M49" s="34">
        <f t="shared" si="43"/>
        <v>450000</v>
      </c>
      <c r="N49" s="43">
        <v>150000</v>
      </c>
      <c r="O49" s="43">
        <v>150000</v>
      </c>
      <c r="P49" s="43">
        <v>150000</v>
      </c>
      <c r="Q49" s="34">
        <f t="shared" si="44"/>
        <v>450000</v>
      </c>
      <c r="R49" s="43">
        <v>150000</v>
      </c>
      <c r="S49" s="43">
        <v>150000</v>
      </c>
      <c r="T49" s="43">
        <v>150000</v>
      </c>
      <c r="U49" s="34">
        <f t="shared" si="45"/>
        <v>450000</v>
      </c>
      <c r="V49" s="34">
        <f t="shared" si="46"/>
        <v>1800000</v>
      </c>
    </row>
    <row r="50" spans="1:22" ht="13.15" outlineLevel="2">
      <c r="A50" s="22"/>
      <c r="B50" s="22"/>
      <c r="C50" s="22"/>
      <c r="D50" s="25" t="s">
        <v>119</v>
      </c>
      <c r="F50" s="43">
        <v>116000</v>
      </c>
      <c r="G50" s="43">
        <v>116000</v>
      </c>
      <c r="H50" s="43">
        <v>116000</v>
      </c>
      <c r="I50" s="34">
        <f t="shared" si="42"/>
        <v>348000</v>
      </c>
      <c r="J50" s="43">
        <v>116000</v>
      </c>
      <c r="K50" s="43">
        <v>116000</v>
      </c>
      <c r="L50" s="43">
        <v>116000</v>
      </c>
      <c r="M50" s="34">
        <f t="shared" si="43"/>
        <v>348000</v>
      </c>
      <c r="N50" s="43">
        <v>116000</v>
      </c>
      <c r="O50" s="43">
        <v>116000</v>
      </c>
      <c r="P50" s="43">
        <v>116000</v>
      </c>
      <c r="Q50" s="34">
        <f t="shared" si="44"/>
        <v>348000</v>
      </c>
      <c r="R50" s="43">
        <v>116000</v>
      </c>
      <c r="S50" s="43">
        <v>116000</v>
      </c>
      <c r="T50" s="43">
        <v>116000</v>
      </c>
      <c r="U50" s="34">
        <f t="shared" si="45"/>
        <v>348000</v>
      </c>
      <c r="V50" s="34">
        <f t="shared" si="46"/>
        <v>1392000</v>
      </c>
    </row>
    <row r="51" spans="1:22" ht="13.15" outlineLevel="1">
      <c r="A51" s="24"/>
      <c r="B51" s="24" t="s">
        <v>1</v>
      </c>
      <c r="C51" s="24"/>
      <c r="D51" s="24"/>
      <c r="E51" s="8"/>
      <c r="F51" s="44">
        <f t="shared" ref="F51" si="52">SUM(F39:F50)</f>
        <v>2896000</v>
      </c>
      <c r="G51" s="44">
        <f t="shared" ref="G51" si="53">SUM(G39:G50)</f>
        <v>2896000</v>
      </c>
      <c r="H51" s="44">
        <f t="shared" ref="H51" si="54">SUM(H39:H50)</f>
        <v>2896000</v>
      </c>
      <c r="I51" s="35">
        <f>SUM(I39:I50)</f>
        <v>8688000</v>
      </c>
      <c r="J51" s="44">
        <f t="shared" ref="J51:L51" si="55">SUM(J39:J50)</f>
        <v>2896000</v>
      </c>
      <c r="K51" s="44">
        <f t="shared" si="55"/>
        <v>2896000</v>
      </c>
      <c r="L51" s="44">
        <f t="shared" si="55"/>
        <v>2896000</v>
      </c>
      <c r="M51" s="35">
        <f>SUM(M39:M50)</f>
        <v>8688000</v>
      </c>
      <c r="N51" s="44">
        <f t="shared" ref="N51:P51" si="56">SUM(N39:N50)</f>
        <v>2896000</v>
      </c>
      <c r="O51" s="44">
        <f t="shared" si="56"/>
        <v>2896000</v>
      </c>
      <c r="P51" s="44">
        <f t="shared" si="56"/>
        <v>2896000</v>
      </c>
      <c r="Q51" s="35">
        <f>SUM(Q39:Q50)</f>
        <v>8688000</v>
      </c>
      <c r="R51" s="44">
        <f t="shared" ref="R51:T51" si="57">SUM(R39:R50)</f>
        <v>2896000</v>
      </c>
      <c r="S51" s="44">
        <f t="shared" si="57"/>
        <v>2896000</v>
      </c>
      <c r="T51" s="44">
        <f t="shared" si="57"/>
        <v>2896000</v>
      </c>
      <c r="U51" s="35">
        <f>SUM(U39:U50)</f>
        <v>8688000</v>
      </c>
      <c r="V51" s="35">
        <f t="shared" si="46"/>
        <v>34752000</v>
      </c>
    </row>
    <row r="52" spans="1:22" ht="13.15" outlineLevel="1">
      <c r="A52" s="24"/>
      <c r="B52" s="24" t="s">
        <v>2</v>
      </c>
      <c r="C52" s="24"/>
      <c r="D52" s="24"/>
      <c r="E52" s="8"/>
      <c r="F52" s="44">
        <f>F37+F51</f>
        <v>24896000</v>
      </c>
      <c r="G52" s="44">
        <f>G37+G51</f>
        <v>24896000</v>
      </c>
      <c r="H52" s="44">
        <f>H37+H51</f>
        <v>24896000</v>
      </c>
      <c r="I52" s="35">
        <f>I51+I37</f>
        <v>74688000</v>
      </c>
      <c r="J52" s="44">
        <f>J37+J51</f>
        <v>24896000</v>
      </c>
      <c r="K52" s="44">
        <f>K37+K51</f>
        <v>24896000</v>
      </c>
      <c r="L52" s="44">
        <f>L37+L51</f>
        <v>24896000</v>
      </c>
      <c r="M52" s="35">
        <f>M51+M37</f>
        <v>74688000</v>
      </c>
      <c r="N52" s="44">
        <f>N37+N51</f>
        <v>24896000</v>
      </c>
      <c r="O52" s="44">
        <f>O37+O51</f>
        <v>24896000</v>
      </c>
      <c r="P52" s="44">
        <f>P37+P51</f>
        <v>24896000</v>
      </c>
      <c r="Q52" s="35">
        <f>Q51+Q37</f>
        <v>74688000</v>
      </c>
      <c r="R52" s="44">
        <f>R37+R51</f>
        <v>24896000</v>
      </c>
      <c r="S52" s="44">
        <f>S37+S51</f>
        <v>24896000</v>
      </c>
      <c r="T52" s="44">
        <f>T37+T51</f>
        <v>24896000</v>
      </c>
      <c r="U52" s="35">
        <f>U51+U37</f>
        <v>74688000</v>
      </c>
      <c r="V52" s="35">
        <f t="shared" si="46"/>
        <v>298752000</v>
      </c>
    </row>
    <row r="53" spans="1:22" s="4" customFormat="1" ht="13.15" outlineLevel="1">
      <c r="A53" s="24"/>
      <c r="B53" s="24" t="s">
        <v>3</v>
      </c>
      <c r="C53" s="24"/>
      <c r="D53" s="24"/>
      <c r="E53" s="8">
        <v>0</v>
      </c>
      <c r="F53" s="44">
        <v>0</v>
      </c>
      <c r="G53" s="44">
        <v>0</v>
      </c>
      <c r="H53" s="44">
        <v>0</v>
      </c>
      <c r="I53" s="35">
        <v>0</v>
      </c>
      <c r="J53" s="44">
        <v>0</v>
      </c>
      <c r="K53" s="44">
        <v>0</v>
      </c>
      <c r="L53" s="44">
        <v>0</v>
      </c>
      <c r="M53" s="35">
        <v>0</v>
      </c>
      <c r="N53" s="44">
        <v>0</v>
      </c>
      <c r="O53" s="44">
        <v>0</v>
      </c>
      <c r="P53" s="44">
        <v>0</v>
      </c>
      <c r="Q53" s="35">
        <v>0</v>
      </c>
      <c r="R53" s="44">
        <v>0</v>
      </c>
      <c r="S53" s="44">
        <v>0</v>
      </c>
      <c r="T53" s="44">
        <v>0</v>
      </c>
      <c r="U53" s="35">
        <v>0</v>
      </c>
      <c r="V53" s="35">
        <f t="shared" si="46"/>
        <v>0</v>
      </c>
    </row>
    <row r="54" spans="1:22" ht="13.15" outlineLevel="2">
      <c r="A54" s="22"/>
      <c r="B54" s="23" t="s">
        <v>39</v>
      </c>
      <c r="C54" s="22"/>
      <c r="D54" s="22"/>
      <c r="F54" s="43"/>
      <c r="G54" s="43"/>
      <c r="H54" s="43"/>
      <c r="I54" s="34"/>
      <c r="J54" s="43"/>
      <c r="K54" s="43"/>
      <c r="L54" s="43"/>
      <c r="M54" s="34"/>
      <c r="N54" s="43"/>
      <c r="O54" s="43"/>
      <c r="P54" s="43"/>
      <c r="Q54" s="34"/>
      <c r="R54" s="43"/>
      <c r="S54" s="43"/>
      <c r="T54" s="43"/>
      <c r="U54" s="34"/>
      <c r="V54" s="34"/>
    </row>
    <row r="55" spans="1:22" ht="13.15" outlineLevel="2">
      <c r="A55" s="22"/>
      <c r="B55" s="22"/>
      <c r="C55" s="25" t="s">
        <v>58</v>
      </c>
      <c r="D55" s="22"/>
      <c r="E55" s="7">
        <v>0</v>
      </c>
      <c r="F55" s="43"/>
      <c r="G55" s="43"/>
      <c r="H55" s="43"/>
      <c r="I55" s="34">
        <f t="shared" ref="I55:I65" si="58">SUM(F55:H55)</f>
        <v>0</v>
      </c>
      <c r="J55" s="43"/>
      <c r="K55" s="43"/>
      <c r="L55" s="43"/>
      <c r="M55" s="34">
        <f t="shared" ref="M55:M65" si="59">SUM(J55:L55)</f>
        <v>0</v>
      </c>
      <c r="N55" s="43"/>
      <c r="O55" s="43"/>
      <c r="P55" s="43"/>
      <c r="Q55" s="34">
        <f t="shared" ref="Q55:Q65" si="60">SUM(N55:P55)</f>
        <v>0</v>
      </c>
      <c r="R55" s="43"/>
      <c r="S55" s="43"/>
      <c r="T55" s="43"/>
      <c r="U55" s="34">
        <f t="shared" ref="U55:U65" si="61">SUM(R55:T55)</f>
        <v>0</v>
      </c>
      <c r="V55" s="34">
        <f t="shared" ref="V55:V66" si="62">I55+M55+Q55+U55</f>
        <v>0</v>
      </c>
    </row>
    <row r="56" spans="1:22" ht="13.15" outlineLevel="2">
      <c r="A56" s="22"/>
      <c r="B56" s="22"/>
      <c r="C56" s="25" t="s">
        <v>59</v>
      </c>
      <c r="D56" s="22"/>
      <c r="F56" s="43">
        <v>100000</v>
      </c>
      <c r="G56" s="43">
        <v>100000</v>
      </c>
      <c r="H56" s="43">
        <v>100000</v>
      </c>
      <c r="I56" s="34">
        <f t="shared" si="58"/>
        <v>300000</v>
      </c>
      <c r="J56" s="43">
        <v>100000</v>
      </c>
      <c r="K56" s="43">
        <v>100000</v>
      </c>
      <c r="L56" s="43">
        <v>100000</v>
      </c>
      <c r="M56" s="34">
        <f t="shared" si="59"/>
        <v>300000</v>
      </c>
      <c r="N56" s="43">
        <v>100000</v>
      </c>
      <c r="O56" s="43">
        <v>100000</v>
      </c>
      <c r="P56" s="43">
        <v>100000</v>
      </c>
      <c r="Q56" s="34">
        <f t="shared" si="60"/>
        <v>300000</v>
      </c>
      <c r="R56" s="43">
        <v>100000</v>
      </c>
      <c r="S56" s="43">
        <v>100000</v>
      </c>
      <c r="T56" s="43">
        <v>100000</v>
      </c>
      <c r="U56" s="34">
        <f t="shared" si="61"/>
        <v>300000</v>
      </c>
      <c r="V56" s="34">
        <f t="shared" si="62"/>
        <v>1200000</v>
      </c>
    </row>
    <row r="57" spans="1:22" ht="13.15" outlineLevel="2">
      <c r="A57" s="22"/>
      <c r="B57" s="22"/>
      <c r="C57" s="25" t="s">
        <v>60</v>
      </c>
      <c r="D57" s="22"/>
      <c r="F57" s="43">
        <v>33000</v>
      </c>
      <c r="G57" s="43">
        <v>33000</v>
      </c>
      <c r="H57" s="43">
        <v>33000</v>
      </c>
      <c r="I57" s="34">
        <f t="shared" si="58"/>
        <v>99000</v>
      </c>
      <c r="J57" s="43">
        <v>33000</v>
      </c>
      <c r="K57" s="43">
        <v>33000</v>
      </c>
      <c r="L57" s="43">
        <v>33000</v>
      </c>
      <c r="M57" s="34">
        <f t="shared" si="59"/>
        <v>99000</v>
      </c>
      <c r="N57" s="43">
        <v>33000</v>
      </c>
      <c r="O57" s="43">
        <v>33000</v>
      </c>
      <c r="P57" s="43">
        <v>33000</v>
      </c>
      <c r="Q57" s="34">
        <f t="shared" si="60"/>
        <v>99000</v>
      </c>
      <c r="R57" s="43">
        <v>33000</v>
      </c>
      <c r="S57" s="43">
        <v>33000</v>
      </c>
      <c r="T57" s="43">
        <v>33000</v>
      </c>
      <c r="U57" s="34">
        <f t="shared" si="61"/>
        <v>99000</v>
      </c>
      <c r="V57" s="34">
        <f t="shared" si="62"/>
        <v>396000</v>
      </c>
    </row>
    <row r="58" spans="1:22" ht="13.15" outlineLevel="2">
      <c r="A58" s="22"/>
      <c r="B58" s="22"/>
      <c r="C58" s="25" t="s">
        <v>61</v>
      </c>
      <c r="D58" s="22"/>
      <c r="F58" s="43">
        <v>225000</v>
      </c>
      <c r="G58" s="43">
        <v>225000</v>
      </c>
      <c r="H58" s="43">
        <v>225000</v>
      </c>
      <c r="I58" s="34">
        <f t="shared" si="58"/>
        <v>675000</v>
      </c>
      <c r="J58" s="43">
        <v>225000</v>
      </c>
      <c r="K58" s="43">
        <v>225000</v>
      </c>
      <c r="L58" s="43">
        <v>225000</v>
      </c>
      <c r="M58" s="34">
        <f t="shared" si="59"/>
        <v>675000</v>
      </c>
      <c r="N58" s="43">
        <v>225000</v>
      </c>
      <c r="O58" s="43">
        <v>225000</v>
      </c>
      <c r="P58" s="43">
        <v>225000</v>
      </c>
      <c r="Q58" s="34">
        <f t="shared" si="60"/>
        <v>675000</v>
      </c>
      <c r="R58" s="43">
        <v>225000</v>
      </c>
      <c r="S58" s="43">
        <v>225000</v>
      </c>
      <c r="T58" s="43">
        <v>225000</v>
      </c>
      <c r="U58" s="34">
        <f t="shared" si="61"/>
        <v>675000</v>
      </c>
      <c r="V58" s="34">
        <f t="shared" si="62"/>
        <v>2700000</v>
      </c>
    </row>
    <row r="59" spans="1:22" ht="13.15" outlineLevel="2">
      <c r="A59" s="22"/>
      <c r="B59" s="22"/>
      <c r="C59" s="25" t="s">
        <v>62</v>
      </c>
      <c r="D59" s="22"/>
      <c r="F59" s="43">
        <v>186000</v>
      </c>
      <c r="G59" s="43">
        <v>186000</v>
      </c>
      <c r="H59" s="43">
        <v>186000</v>
      </c>
      <c r="I59" s="34">
        <f t="shared" si="58"/>
        <v>558000</v>
      </c>
      <c r="J59" s="43">
        <v>186000</v>
      </c>
      <c r="K59" s="43">
        <v>186000</v>
      </c>
      <c r="L59" s="43">
        <v>186000</v>
      </c>
      <c r="M59" s="34">
        <f t="shared" si="59"/>
        <v>558000</v>
      </c>
      <c r="N59" s="43">
        <v>186000</v>
      </c>
      <c r="O59" s="43">
        <v>186000</v>
      </c>
      <c r="P59" s="43">
        <v>186000</v>
      </c>
      <c r="Q59" s="34">
        <f t="shared" si="60"/>
        <v>558000</v>
      </c>
      <c r="R59" s="43">
        <v>186000</v>
      </c>
      <c r="S59" s="43">
        <v>186000</v>
      </c>
      <c r="T59" s="43">
        <v>186000</v>
      </c>
      <c r="U59" s="34">
        <f t="shared" si="61"/>
        <v>558000</v>
      </c>
      <c r="V59" s="34">
        <f t="shared" si="62"/>
        <v>2232000</v>
      </c>
    </row>
    <row r="60" spans="1:22" ht="13.15" outlineLevel="2">
      <c r="A60" s="22"/>
      <c r="B60" s="22"/>
      <c r="C60" s="25" t="s">
        <v>118</v>
      </c>
      <c r="D60" s="22"/>
      <c r="F60" s="43">
        <v>249000</v>
      </c>
      <c r="G60" s="43">
        <v>249000</v>
      </c>
      <c r="H60" s="43">
        <v>249000</v>
      </c>
      <c r="I60" s="34">
        <f t="shared" si="58"/>
        <v>747000</v>
      </c>
      <c r="J60" s="43">
        <v>249000</v>
      </c>
      <c r="K60" s="43">
        <v>249000</v>
      </c>
      <c r="L60" s="43">
        <v>249000</v>
      </c>
      <c r="M60" s="34">
        <f t="shared" si="59"/>
        <v>747000</v>
      </c>
      <c r="N60" s="43">
        <v>249000</v>
      </c>
      <c r="O60" s="43">
        <v>249000</v>
      </c>
      <c r="P60" s="43">
        <v>249000</v>
      </c>
      <c r="Q60" s="34">
        <f t="shared" si="60"/>
        <v>747000</v>
      </c>
      <c r="R60" s="43">
        <v>249000</v>
      </c>
      <c r="S60" s="43">
        <v>249000</v>
      </c>
      <c r="T60" s="43">
        <v>249000</v>
      </c>
      <c r="U60" s="34">
        <f t="shared" si="61"/>
        <v>747000</v>
      </c>
      <c r="V60" s="34">
        <f t="shared" si="62"/>
        <v>2988000</v>
      </c>
    </row>
    <row r="61" spans="1:22" ht="13.15" outlineLevel="2">
      <c r="A61" s="22"/>
      <c r="B61" s="22"/>
      <c r="C61" s="25" t="s">
        <v>157</v>
      </c>
      <c r="D61" s="22"/>
      <c r="F61" s="43"/>
      <c r="G61" s="43"/>
      <c r="H61" s="43"/>
      <c r="I61" s="34">
        <f t="shared" si="58"/>
        <v>0</v>
      </c>
      <c r="J61" s="43"/>
      <c r="K61" s="43"/>
      <c r="L61" s="43"/>
      <c r="M61" s="34">
        <f t="shared" si="59"/>
        <v>0</v>
      </c>
      <c r="N61" s="43"/>
      <c r="O61" s="43"/>
      <c r="P61" s="43"/>
      <c r="Q61" s="34">
        <f t="shared" si="60"/>
        <v>0</v>
      </c>
      <c r="R61" s="43"/>
      <c r="S61" s="43"/>
      <c r="T61" s="43"/>
      <c r="U61" s="34">
        <f t="shared" si="61"/>
        <v>0</v>
      </c>
      <c r="V61" s="34">
        <f t="shared" si="62"/>
        <v>0</v>
      </c>
    </row>
    <row r="62" spans="1:22" ht="13.15" outlineLevel="2">
      <c r="A62" s="22"/>
      <c r="B62" s="22"/>
      <c r="C62" s="25" t="s">
        <v>28</v>
      </c>
      <c r="D62" s="22"/>
      <c r="E62" s="7">
        <v>0</v>
      </c>
      <c r="F62" s="43"/>
      <c r="G62" s="43"/>
      <c r="H62" s="43"/>
      <c r="I62" s="34">
        <f t="shared" si="58"/>
        <v>0</v>
      </c>
      <c r="J62" s="43"/>
      <c r="K62" s="43"/>
      <c r="L62" s="43"/>
      <c r="M62" s="34">
        <f t="shared" si="59"/>
        <v>0</v>
      </c>
      <c r="N62" s="43"/>
      <c r="O62" s="43"/>
      <c r="P62" s="43"/>
      <c r="Q62" s="34">
        <f t="shared" si="60"/>
        <v>0</v>
      </c>
      <c r="R62" s="43"/>
      <c r="S62" s="43"/>
      <c r="T62" s="43"/>
      <c r="U62" s="34">
        <f t="shared" si="61"/>
        <v>0</v>
      </c>
      <c r="V62" s="34">
        <f t="shared" si="62"/>
        <v>0</v>
      </c>
    </row>
    <row r="63" spans="1:22" ht="13.15" outlineLevel="2">
      <c r="A63" s="22"/>
      <c r="B63" s="22"/>
      <c r="C63" s="25" t="s">
        <v>35</v>
      </c>
      <c r="D63" s="22"/>
      <c r="E63" s="7">
        <v>0</v>
      </c>
      <c r="F63" s="43">
        <v>724000</v>
      </c>
      <c r="G63" s="43">
        <v>724000</v>
      </c>
      <c r="H63" s="43">
        <v>724000</v>
      </c>
      <c r="I63" s="34">
        <f t="shared" si="58"/>
        <v>2172000</v>
      </c>
      <c r="J63" s="43">
        <v>724000</v>
      </c>
      <c r="K63" s="43">
        <v>724000</v>
      </c>
      <c r="L63" s="43">
        <v>724000</v>
      </c>
      <c r="M63" s="34">
        <f t="shared" si="59"/>
        <v>2172000</v>
      </c>
      <c r="N63" s="43">
        <v>724000</v>
      </c>
      <c r="O63" s="43">
        <v>724000</v>
      </c>
      <c r="P63" s="43">
        <v>724000</v>
      </c>
      <c r="Q63" s="34">
        <f t="shared" si="60"/>
        <v>2172000</v>
      </c>
      <c r="R63" s="43">
        <v>724000</v>
      </c>
      <c r="S63" s="43">
        <v>724000</v>
      </c>
      <c r="T63" s="43">
        <v>724000</v>
      </c>
      <c r="U63" s="34">
        <f t="shared" si="61"/>
        <v>2172000</v>
      </c>
      <c r="V63" s="34">
        <f t="shared" si="62"/>
        <v>8688000</v>
      </c>
    </row>
    <row r="64" spans="1:22" ht="13.15" outlineLevel="2">
      <c r="A64" s="22"/>
      <c r="B64" s="22"/>
      <c r="C64" s="25" t="s">
        <v>52</v>
      </c>
      <c r="D64" s="22"/>
      <c r="E64" s="7">
        <v>0</v>
      </c>
      <c r="F64" s="43"/>
      <c r="G64" s="43"/>
      <c r="H64" s="43"/>
      <c r="I64" s="34">
        <f t="shared" si="58"/>
        <v>0</v>
      </c>
      <c r="J64" s="43"/>
      <c r="K64" s="43"/>
      <c r="L64" s="43"/>
      <c r="M64" s="34">
        <f t="shared" si="59"/>
        <v>0</v>
      </c>
      <c r="N64" s="43"/>
      <c r="O64" s="43"/>
      <c r="P64" s="43"/>
      <c r="Q64" s="34">
        <f t="shared" si="60"/>
        <v>0</v>
      </c>
      <c r="R64" s="43"/>
      <c r="S64" s="43"/>
      <c r="T64" s="43"/>
      <c r="U64" s="34">
        <f t="shared" si="61"/>
        <v>0</v>
      </c>
      <c r="V64" s="34">
        <f t="shared" si="62"/>
        <v>0</v>
      </c>
    </row>
    <row r="65" spans="1:22" ht="13.15" outlineLevel="2">
      <c r="A65" s="22"/>
      <c r="B65" s="22"/>
      <c r="C65" s="25" t="s">
        <v>36</v>
      </c>
      <c r="D65" s="22"/>
      <c r="E65" s="7">
        <v>0</v>
      </c>
      <c r="F65" s="43">
        <v>109000</v>
      </c>
      <c r="G65" s="43">
        <v>109000</v>
      </c>
      <c r="H65" s="43">
        <v>109000</v>
      </c>
      <c r="I65" s="34">
        <f t="shared" si="58"/>
        <v>327000</v>
      </c>
      <c r="J65" s="43">
        <v>109000</v>
      </c>
      <c r="K65" s="43">
        <v>109000</v>
      </c>
      <c r="L65" s="43">
        <v>109000</v>
      </c>
      <c r="M65" s="34">
        <f t="shared" si="59"/>
        <v>327000</v>
      </c>
      <c r="N65" s="43">
        <v>109000</v>
      </c>
      <c r="O65" s="43">
        <v>109000</v>
      </c>
      <c r="P65" s="43">
        <v>109000</v>
      </c>
      <c r="Q65" s="34">
        <f t="shared" si="60"/>
        <v>327000</v>
      </c>
      <c r="R65" s="43">
        <v>109000</v>
      </c>
      <c r="S65" s="43">
        <v>109000</v>
      </c>
      <c r="T65" s="43">
        <v>109000</v>
      </c>
      <c r="U65" s="34">
        <f t="shared" si="61"/>
        <v>327000</v>
      </c>
      <c r="V65" s="34">
        <f t="shared" si="62"/>
        <v>1308000</v>
      </c>
    </row>
    <row r="66" spans="1:22" ht="13.15" outlineLevel="1">
      <c r="A66" s="24"/>
      <c r="B66" s="24" t="s">
        <v>4</v>
      </c>
      <c r="C66" s="24"/>
      <c r="D66" s="24"/>
      <c r="E66" s="8"/>
      <c r="F66" s="44">
        <f t="shared" ref="F66" si="63">SUM(F55:F65)</f>
        <v>1626000</v>
      </c>
      <c r="G66" s="44">
        <f t="shared" ref="G66" si="64">SUM(G55:G65)</f>
        <v>1626000</v>
      </c>
      <c r="H66" s="44">
        <f t="shared" ref="H66" si="65">SUM(H55:H65)</f>
        <v>1626000</v>
      </c>
      <c r="I66" s="35">
        <f>SUM(I55:I65)</f>
        <v>4878000</v>
      </c>
      <c r="J66" s="44">
        <f t="shared" ref="J66:L66" si="66">SUM(J55:J65)</f>
        <v>1626000</v>
      </c>
      <c r="K66" s="44">
        <f t="shared" si="66"/>
        <v>1626000</v>
      </c>
      <c r="L66" s="44">
        <f t="shared" si="66"/>
        <v>1626000</v>
      </c>
      <c r="M66" s="35">
        <f>SUM(M55:M65)</f>
        <v>4878000</v>
      </c>
      <c r="N66" s="44">
        <f t="shared" ref="N66:P66" si="67">SUM(N55:N65)</f>
        <v>1626000</v>
      </c>
      <c r="O66" s="44">
        <f t="shared" si="67"/>
        <v>1626000</v>
      </c>
      <c r="P66" s="44">
        <f t="shared" si="67"/>
        <v>1626000</v>
      </c>
      <c r="Q66" s="35">
        <f>SUM(Q55:Q65)</f>
        <v>4878000</v>
      </c>
      <c r="R66" s="44">
        <f t="shared" ref="R66:T66" si="68">SUM(R55:R65)</f>
        <v>1626000</v>
      </c>
      <c r="S66" s="44">
        <f t="shared" si="68"/>
        <v>1626000</v>
      </c>
      <c r="T66" s="44">
        <f t="shared" si="68"/>
        <v>1626000</v>
      </c>
      <c r="U66" s="35">
        <f>SUM(U55:U65)</f>
        <v>4878000</v>
      </c>
      <c r="V66" s="35">
        <f t="shared" si="62"/>
        <v>19512000</v>
      </c>
    </row>
    <row r="67" spans="1:22" ht="13.15" outlineLevel="2">
      <c r="A67" s="24"/>
      <c r="B67" s="26" t="s">
        <v>5</v>
      </c>
      <c r="C67" s="27"/>
      <c r="D67" s="27"/>
      <c r="E67" s="9"/>
      <c r="F67" s="129"/>
      <c r="G67" s="129"/>
      <c r="H67" s="129"/>
      <c r="I67" s="36"/>
      <c r="J67" s="129"/>
      <c r="K67" s="129"/>
      <c r="L67" s="129"/>
      <c r="M67" s="36"/>
      <c r="N67" s="129"/>
      <c r="O67" s="129"/>
      <c r="P67" s="129"/>
      <c r="Q67" s="36"/>
      <c r="R67" s="129"/>
      <c r="S67" s="129"/>
      <c r="T67" s="129"/>
      <c r="U67" s="36"/>
      <c r="V67" s="35" t="s">
        <v>86</v>
      </c>
    </row>
    <row r="68" spans="1:22" ht="13.15" outlineLevel="2">
      <c r="A68" s="24"/>
      <c r="B68" s="27"/>
      <c r="C68" s="28" t="s">
        <v>47</v>
      </c>
      <c r="D68" s="27"/>
      <c r="E68" s="9">
        <v>0</v>
      </c>
      <c r="F68" s="43"/>
      <c r="G68" s="43"/>
      <c r="H68" s="43"/>
      <c r="I68" s="34">
        <f>SUM(F68:H68)</f>
        <v>0</v>
      </c>
      <c r="J68" s="43"/>
      <c r="K68" s="43"/>
      <c r="L68" s="43"/>
      <c r="M68" s="34">
        <f>SUM(J68:L68)</f>
        <v>0</v>
      </c>
      <c r="N68" s="43"/>
      <c r="O68" s="43"/>
      <c r="P68" s="43"/>
      <c r="Q68" s="34">
        <f>SUM(N68:P68)</f>
        <v>0</v>
      </c>
      <c r="R68" s="43"/>
      <c r="S68" s="43"/>
      <c r="T68" s="43"/>
      <c r="U68" s="34">
        <f>SUM(R68:T68)</f>
        <v>0</v>
      </c>
      <c r="V68" s="34">
        <f>I68+M68+Q68+U68</f>
        <v>0</v>
      </c>
    </row>
    <row r="69" spans="1:22" ht="13.15" outlineLevel="2">
      <c r="A69" s="24"/>
      <c r="B69" s="27"/>
      <c r="C69" s="28" t="s">
        <v>48</v>
      </c>
      <c r="D69" s="27"/>
      <c r="E69" s="9">
        <v>0</v>
      </c>
      <c r="F69" s="43"/>
      <c r="G69" s="43"/>
      <c r="H69" s="43"/>
      <c r="I69" s="34">
        <f>SUM(F69:H69)</f>
        <v>0</v>
      </c>
      <c r="J69" s="43"/>
      <c r="K69" s="43"/>
      <c r="L69" s="43"/>
      <c r="M69" s="34">
        <f>SUM(J69:L69)</f>
        <v>0</v>
      </c>
      <c r="N69" s="43"/>
      <c r="O69" s="43"/>
      <c r="P69" s="43"/>
      <c r="Q69" s="34">
        <f>SUM(N69:P69)</f>
        <v>0</v>
      </c>
      <c r="R69" s="43"/>
      <c r="S69" s="43"/>
      <c r="T69" s="43"/>
      <c r="U69" s="34">
        <f>SUM(R69:T69)</f>
        <v>0</v>
      </c>
      <c r="V69" s="34">
        <f>I69+M69+Q69+U69</f>
        <v>0</v>
      </c>
    </row>
    <row r="70" spans="1:22" ht="13.15" outlineLevel="2">
      <c r="A70" s="24"/>
      <c r="B70" s="27"/>
      <c r="C70" s="28" t="s">
        <v>26</v>
      </c>
      <c r="D70" s="27"/>
      <c r="E70" s="9">
        <v>0</v>
      </c>
      <c r="F70" s="43"/>
      <c r="G70" s="43"/>
      <c r="H70" s="43"/>
      <c r="I70" s="34">
        <f>SUM(F70:H70)</f>
        <v>0</v>
      </c>
      <c r="J70" s="43"/>
      <c r="K70" s="43"/>
      <c r="L70" s="43"/>
      <c r="M70" s="34">
        <f>SUM(J70:L70)</f>
        <v>0</v>
      </c>
      <c r="N70" s="43"/>
      <c r="O70" s="43"/>
      <c r="P70" s="43"/>
      <c r="Q70" s="34">
        <f>SUM(N70:P70)</f>
        <v>0</v>
      </c>
      <c r="R70" s="43"/>
      <c r="S70" s="43"/>
      <c r="T70" s="43"/>
      <c r="U70" s="34">
        <f>SUM(R70:T70)</f>
        <v>0</v>
      </c>
      <c r="V70" s="34">
        <f>I70+M70+Q70+U70</f>
        <v>0</v>
      </c>
    </row>
    <row r="71" spans="1:22" ht="13.15" outlineLevel="1">
      <c r="A71" s="24"/>
      <c r="B71" s="29" t="s">
        <v>6</v>
      </c>
      <c r="C71" s="30"/>
      <c r="D71" s="30"/>
      <c r="E71" s="10"/>
      <c r="F71" s="45">
        <f>SUM(F68:F70)</f>
        <v>0</v>
      </c>
      <c r="G71" s="45">
        <f>SUM(G68:G70)</f>
        <v>0</v>
      </c>
      <c r="H71" s="45">
        <f>SUM(H68:H70)</f>
        <v>0</v>
      </c>
      <c r="I71" s="35">
        <f t="shared" ref="I71:U71" si="69">SUM(I68:I70)</f>
        <v>0</v>
      </c>
      <c r="J71" s="45">
        <f>SUM(J68:J70)</f>
        <v>0</v>
      </c>
      <c r="K71" s="45">
        <f>SUM(K68:K70)</f>
        <v>0</v>
      </c>
      <c r="L71" s="45">
        <f>SUM(L68:L70)</f>
        <v>0</v>
      </c>
      <c r="M71" s="35">
        <f t="shared" si="69"/>
        <v>0</v>
      </c>
      <c r="N71" s="45">
        <f>SUM(N68:N70)</f>
        <v>0</v>
      </c>
      <c r="O71" s="45">
        <f>SUM(O68:O70)</f>
        <v>0</v>
      </c>
      <c r="P71" s="45">
        <f>SUM(P68:P70)</f>
        <v>0</v>
      </c>
      <c r="Q71" s="35">
        <f t="shared" si="69"/>
        <v>0</v>
      </c>
      <c r="R71" s="45">
        <f>SUM(R68:R70)</f>
        <v>0</v>
      </c>
      <c r="S71" s="45">
        <f>SUM(S68:S70)</f>
        <v>0</v>
      </c>
      <c r="T71" s="45">
        <f>SUM(T68:T70)</f>
        <v>0</v>
      </c>
      <c r="U71" s="35">
        <f t="shared" si="69"/>
        <v>0</v>
      </c>
      <c r="V71" s="35">
        <f>I71+M71+Q71+U71</f>
        <v>0</v>
      </c>
    </row>
    <row r="72" spans="1:22" ht="13.15" outlineLevel="2">
      <c r="A72" s="24"/>
      <c r="B72" s="26" t="s">
        <v>7</v>
      </c>
      <c r="C72" s="27"/>
      <c r="D72" s="27"/>
      <c r="E72" s="9"/>
      <c r="F72" s="129"/>
      <c r="G72" s="129"/>
      <c r="H72" s="129"/>
      <c r="I72" s="36"/>
      <c r="J72" s="129"/>
      <c r="K72" s="129"/>
      <c r="L72" s="129"/>
      <c r="M72" s="36"/>
      <c r="N72" s="129"/>
      <c r="O72" s="129"/>
      <c r="P72" s="129"/>
      <c r="Q72" s="36"/>
      <c r="R72" s="129"/>
      <c r="S72" s="129"/>
      <c r="T72" s="129"/>
      <c r="U72" s="36"/>
      <c r="V72" s="36"/>
    </row>
    <row r="73" spans="1:22" ht="13.15" outlineLevel="2">
      <c r="A73" s="24"/>
      <c r="B73" s="27"/>
      <c r="C73" s="28" t="s">
        <v>40</v>
      </c>
      <c r="D73" s="27"/>
      <c r="E73" s="9">
        <v>0</v>
      </c>
      <c r="F73" s="43"/>
      <c r="G73" s="43"/>
      <c r="H73" s="43"/>
      <c r="I73" s="34">
        <f>SUM(F73:H73)</f>
        <v>0</v>
      </c>
      <c r="J73" s="43"/>
      <c r="K73" s="43"/>
      <c r="L73" s="43"/>
      <c r="M73" s="34">
        <f>SUM(J73:L73)</f>
        <v>0</v>
      </c>
      <c r="N73" s="43"/>
      <c r="O73" s="43"/>
      <c r="P73" s="43"/>
      <c r="Q73" s="34">
        <f>SUM(N73:P73)</f>
        <v>0</v>
      </c>
      <c r="R73" s="43"/>
      <c r="S73" s="43"/>
      <c r="T73" s="43"/>
      <c r="U73" s="34">
        <f>SUM(R73:T73)</f>
        <v>0</v>
      </c>
      <c r="V73" s="34">
        <f>I73+M73+Q73+U73</f>
        <v>0</v>
      </c>
    </row>
    <row r="74" spans="1:22" ht="13.15" outlineLevel="2">
      <c r="A74" s="24"/>
      <c r="B74" s="27"/>
      <c r="C74" s="27" t="s">
        <v>8</v>
      </c>
      <c r="D74" s="27"/>
      <c r="E74" s="9">
        <v>0</v>
      </c>
      <c r="F74" s="43"/>
      <c r="G74" s="43"/>
      <c r="H74" s="43"/>
      <c r="I74" s="34">
        <f>SUM(F74:H74)</f>
        <v>0</v>
      </c>
      <c r="J74" s="43"/>
      <c r="K74" s="43"/>
      <c r="L74" s="43"/>
      <c r="M74" s="34">
        <f>SUM(J74:L74)</f>
        <v>0</v>
      </c>
      <c r="N74" s="43"/>
      <c r="O74" s="43"/>
      <c r="P74" s="43"/>
      <c r="Q74" s="34">
        <f>SUM(N74:P74)</f>
        <v>0</v>
      </c>
      <c r="R74" s="43"/>
      <c r="S74" s="43"/>
      <c r="T74" s="43"/>
      <c r="U74" s="34">
        <f>SUM(R74:T74)</f>
        <v>0</v>
      </c>
      <c r="V74" s="34">
        <f>I74+M74+Q74+U74</f>
        <v>0</v>
      </c>
    </row>
    <row r="75" spans="1:22" ht="13.15" outlineLevel="2">
      <c r="A75" s="24"/>
      <c r="B75" s="27"/>
      <c r="C75" s="27" t="s">
        <v>9</v>
      </c>
      <c r="D75" s="27"/>
      <c r="E75" s="9">
        <v>0</v>
      </c>
      <c r="F75" s="43"/>
      <c r="G75" s="43"/>
      <c r="H75" s="43"/>
      <c r="I75" s="34">
        <f>SUM(F75:H75)</f>
        <v>0</v>
      </c>
      <c r="J75" s="43"/>
      <c r="K75" s="43"/>
      <c r="L75" s="43"/>
      <c r="M75" s="34">
        <f>SUM(J75:L75)</f>
        <v>0</v>
      </c>
      <c r="N75" s="43"/>
      <c r="O75" s="43"/>
      <c r="P75" s="43"/>
      <c r="Q75" s="34">
        <f>SUM(N75:P75)</f>
        <v>0</v>
      </c>
      <c r="R75" s="43"/>
      <c r="S75" s="43"/>
      <c r="T75" s="43"/>
      <c r="U75" s="34">
        <f>SUM(R75:T75)</f>
        <v>0</v>
      </c>
      <c r="V75" s="34">
        <f>I75+M75+Q75+U75</f>
        <v>0</v>
      </c>
    </row>
    <row r="76" spans="1:22" ht="13.15" outlineLevel="1">
      <c r="A76" s="24"/>
      <c r="B76" s="29" t="s">
        <v>10</v>
      </c>
      <c r="C76" s="30"/>
      <c r="D76" s="30"/>
      <c r="E76" s="10"/>
      <c r="F76" s="45">
        <f t="shared" ref="F76" si="70">SUM(F73:F75)</f>
        <v>0</v>
      </c>
      <c r="G76" s="45">
        <f t="shared" ref="G76" si="71">SUM(G73:G75)</f>
        <v>0</v>
      </c>
      <c r="H76" s="45">
        <f t="shared" ref="H76" si="72">SUM(H73:H75)</f>
        <v>0</v>
      </c>
      <c r="I76" s="35">
        <f>SUM(I73:I75)</f>
        <v>0</v>
      </c>
      <c r="J76" s="45">
        <f t="shared" ref="J76:L76" si="73">SUM(J73:J75)</f>
        <v>0</v>
      </c>
      <c r="K76" s="45">
        <f t="shared" si="73"/>
        <v>0</v>
      </c>
      <c r="L76" s="45">
        <f t="shared" si="73"/>
        <v>0</v>
      </c>
      <c r="M76" s="35">
        <f>SUM(M73:M75)</f>
        <v>0</v>
      </c>
      <c r="N76" s="45">
        <f t="shared" ref="N76:P76" si="74">SUM(N73:N75)</f>
        <v>0</v>
      </c>
      <c r="O76" s="45">
        <f t="shared" si="74"/>
        <v>0</v>
      </c>
      <c r="P76" s="45">
        <f t="shared" si="74"/>
        <v>0</v>
      </c>
      <c r="Q76" s="35">
        <f>SUM(Q73:Q75)</f>
        <v>0</v>
      </c>
      <c r="R76" s="45">
        <f t="shared" ref="R76:T76" si="75">SUM(R73:R75)</f>
        <v>0</v>
      </c>
      <c r="S76" s="45">
        <f t="shared" si="75"/>
        <v>0</v>
      </c>
      <c r="T76" s="45">
        <f t="shared" si="75"/>
        <v>0</v>
      </c>
      <c r="U76" s="35">
        <f>SUM(U73:U75)</f>
        <v>0</v>
      </c>
      <c r="V76" s="35">
        <f>I76+M76+Q76+U76</f>
        <v>0</v>
      </c>
    </row>
    <row r="77" spans="1:22" ht="13.15">
      <c r="A77" s="31"/>
      <c r="B77" s="32"/>
      <c r="C77" s="31"/>
      <c r="D77" s="32" t="s">
        <v>11</v>
      </c>
      <c r="E77" s="9"/>
      <c r="F77" s="139">
        <f>F52+F53+F66+F71+F76</f>
        <v>26522000</v>
      </c>
      <c r="G77" s="139">
        <f>G52+G53+G66+G71+G76</f>
        <v>26522000</v>
      </c>
      <c r="H77" s="139">
        <f>H52+H53+H66+H71+H76</f>
        <v>26522000</v>
      </c>
      <c r="I77" s="139">
        <f>I76+I71+I66+I53+I52</f>
        <v>79566000</v>
      </c>
      <c r="J77" s="139">
        <f>J52+J53+J66+J71+J76</f>
        <v>26522000</v>
      </c>
      <c r="K77" s="139">
        <f>K52+K53+K66+K71+K76</f>
        <v>26522000</v>
      </c>
      <c r="L77" s="139">
        <f>L52+L53+L66+L71+L76</f>
        <v>26522000</v>
      </c>
      <c r="M77" s="139">
        <f>M76+M71+M66+M53+M52</f>
        <v>79566000</v>
      </c>
      <c r="N77" s="139">
        <f>N52+N53+N66+N71+N76</f>
        <v>26522000</v>
      </c>
      <c r="O77" s="139">
        <f>O52+O53+O66+O71+O76</f>
        <v>26522000</v>
      </c>
      <c r="P77" s="139">
        <f>P52+P53+P66+P71+P76</f>
        <v>26522000</v>
      </c>
      <c r="Q77" s="139">
        <f>Q76+Q71+Q66+Q53+Q52</f>
        <v>79566000</v>
      </c>
      <c r="R77" s="139">
        <f>R52+R53+R66+R71+R76</f>
        <v>26522000</v>
      </c>
      <c r="S77" s="139">
        <f>S52+S53+S66+S71+S76</f>
        <v>26522000</v>
      </c>
      <c r="T77" s="139">
        <f>T52+T53+T66+T71+T76</f>
        <v>26522000</v>
      </c>
      <c r="U77" s="139">
        <f>U76+U71+U66+U53+U52</f>
        <v>79566000</v>
      </c>
      <c r="V77" s="139">
        <f>I77+M77+Q77+U77</f>
        <v>318264000</v>
      </c>
    </row>
    <row r="78" spans="1:22" ht="13.15" outlineLevel="1">
      <c r="A78" s="32" t="s">
        <v>12</v>
      </c>
      <c r="B78" s="32"/>
      <c r="C78" s="33"/>
      <c r="D78" s="33"/>
      <c r="E78" s="9"/>
      <c r="F78" s="44"/>
      <c r="G78" s="44"/>
      <c r="H78" s="44"/>
      <c r="I78" s="35"/>
      <c r="J78" s="44"/>
      <c r="K78" s="44"/>
      <c r="L78" s="44"/>
      <c r="M78" s="35"/>
      <c r="N78" s="44"/>
      <c r="O78" s="44"/>
      <c r="P78" s="44"/>
      <c r="Q78" s="35"/>
      <c r="R78" s="44"/>
      <c r="S78" s="44"/>
      <c r="T78" s="44"/>
      <c r="U78" s="35"/>
      <c r="V78" s="35"/>
    </row>
    <row r="79" spans="1:22" ht="13.15" outlineLevel="2">
      <c r="A79" s="24"/>
      <c r="B79" s="26" t="s">
        <v>13</v>
      </c>
      <c r="C79" s="27"/>
      <c r="D79" s="27"/>
      <c r="E79" s="9"/>
      <c r="F79" s="129"/>
      <c r="G79" s="129"/>
      <c r="H79" s="129"/>
      <c r="I79" s="36"/>
      <c r="J79" s="129"/>
      <c r="K79" s="129"/>
      <c r="L79" s="129"/>
      <c r="M79" s="36"/>
      <c r="N79" s="129"/>
      <c r="O79" s="129"/>
      <c r="P79" s="129"/>
      <c r="Q79" s="36"/>
      <c r="R79" s="129"/>
      <c r="S79" s="129"/>
      <c r="T79" s="129"/>
      <c r="U79" s="36"/>
      <c r="V79" s="36"/>
    </row>
    <row r="80" spans="1:22" ht="13.15" outlineLevel="2">
      <c r="A80" s="24"/>
      <c r="B80" s="27"/>
      <c r="C80" s="28" t="s">
        <v>66</v>
      </c>
      <c r="D80" s="27"/>
      <c r="E80" s="9">
        <v>0</v>
      </c>
      <c r="F80" s="96"/>
      <c r="G80" s="96"/>
      <c r="H80" s="96"/>
      <c r="I80" s="34">
        <f t="shared" ref="I80:I87" si="76">SUM(F80:H80)</f>
        <v>0</v>
      </c>
      <c r="J80" s="96"/>
      <c r="K80" s="96"/>
      <c r="L80" s="96"/>
      <c r="M80" s="34">
        <f t="shared" ref="M80:M87" si="77">SUM(J80:L80)</f>
        <v>0</v>
      </c>
      <c r="N80" s="96"/>
      <c r="O80" s="96"/>
      <c r="P80" s="96"/>
      <c r="Q80" s="34">
        <f t="shared" ref="Q80:Q87" si="78">SUM(N80:P80)</f>
        <v>0</v>
      </c>
      <c r="R80" s="96"/>
      <c r="S80" s="96"/>
      <c r="T80" s="96"/>
      <c r="U80" s="34">
        <f t="shared" ref="U80:U87" si="79">SUM(R80:T80)</f>
        <v>0</v>
      </c>
      <c r="V80" s="34">
        <f t="shared" ref="V80:V89" si="80">I80+M80+Q80+U80</f>
        <v>0</v>
      </c>
    </row>
    <row r="81" spans="1:22" ht="13.15" outlineLevel="2">
      <c r="A81" s="24"/>
      <c r="B81" s="27"/>
      <c r="C81" s="28" t="s">
        <v>67</v>
      </c>
      <c r="D81" s="27"/>
      <c r="E81" s="9">
        <v>0</v>
      </c>
      <c r="F81" s="96"/>
      <c r="G81" s="96"/>
      <c r="H81" s="96"/>
      <c r="I81" s="34">
        <f t="shared" si="76"/>
        <v>0</v>
      </c>
      <c r="J81" s="96"/>
      <c r="K81" s="96"/>
      <c r="L81" s="96"/>
      <c r="M81" s="34">
        <f t="shared" si="77"/>
        <v>0</v>
      </c>
      <c r="N81" s="96"/>
      <c r="O81" s="96"/>
      <c r="P81" s="96"/>
      <c r="Q81" s="34">
        <f t="shared" si="78"/>
        <v>0</v>
      </c>
      <c r="R81" s="96"/>
      <c r="S81" s="96"/>
      <c r="T81" s="96"/>
      <c r="U81" s="34">
        <f t="shared" si="79"/>
        <v>0</v>
      </c>
      <c r="V81" s="34">
        <f t="shared" si="80"/>
        <v>0</v>
      </c>
    </row>
    <row r="82" spans="1:22" ht="13.15" outlineLevel="2">
      <c r="A82" s="24"/>
      <c r="B82" s="27"/>
      <c r="C82" s="28" t="s">
        <v>100</v>
      </c>
      <c r="D82" s="27"/>
      <c r="E82" s="9">
        <v>0</v>
      </c>
      <c r="F82" s="96"/>
      <c r="G82" s="96"/>
      <c r="H82" s="96"/>
      <c r="I82" s="34">
        <f t="shared" si="76"/>
        <v>0</v>
      </c>
      <c r="J82" s="96"/>
      <c r="K82" s="96"/>
      <c r="L82" s="96"/>
      <c r="M82" s="34">
        <f t="shared" si="77"/>
        <v>0</v>
      </c>
      <c r="N82" s="96"/>
      <c r="O82" s="96"/>
      <c r="P82" s="96"/>
      <c r="Q82" s="34">
        <f t="shared" si="78"/>
        <v>0</v>
      </c>
      <c r="R82" s="96"/>
      <c r="S82" s="96"/>
      <c r="T82" s="96"/>
      <c r="U82" s="34">
        <f t="shared" si="79"/>
        <v>0</v>
      </c>
      <c r="V82" s="34">
        <f t="shared" si="80"/>
        <v>0</v>
      </c>
    </row>
    <row r="83" spans="1:22" ht="13.15" outlineLevel="2">
      <c r="A83" s="24"/>
      <c r="B83" s="27"/>
      <c r="C83" s="28" t="s">
        <v>99</v>
      </c>
      <c r="D83" s="27"/>
      <c r="E83" s="9"/>
      <c r="F83" s="96"/>
      <c r="G83" s="96"/>
      <c r="H83" s="96"/>
      <c r="I83" s="34">
        <f t="shared" si="76"/>
        <v>0</v>
      </c>
      <c r="J83" s="96"/>
      <c r="K83" s="96"/>
      <c r="L83" s="96"/>
      <c r="M83" s="34">
        <f t="shared" si="77"/>
        <v>0</v>
      </c>
      <c r="N83" s="96"/>
      <c r="O83" s="96"/>
      <c r="P83" s="96"/>
      <c r="Q83" s="34">
        <f t="shared" si="78"/>
        <v>0</v>
      </c>
      <c r="R83" s="96"/>
      <c r="S83" s="96"/>
      <c r="T83" s="96"/>
      <c r="U83" s="34">
        <f t="shared" si="79"/>
        <v>0</v>
      </c>
      <c r="V83" s="34">
        <f t="shared" si="80"/>
        <v>0</v>
      </c>
    </row>
    <row r="84" spans="1:22" ht="13.15" outlineLevel="2">
      <c r="A84" s="24"/>
      <c r="B84" s="27"/>
      <c r="C84" s="28" t="s">
        <v>101</v>
      </c>
      <c r="D84" s="27"/>
      <c r="E84" s="9"/>
      <c r="F84" s="96"/>
      <c r="G84" s="96"/>
      <c r="H84" s="96"/>
      <c r="I84" s="34">
        <f t="shared" si="76"/>
        <v>0</v>
      </c>
      <c r="J84" s="96"/>
      <c r="K84" s="96"/>
      <c r="L84" s="96"/>
      <c r="M84" s="34">
        <f t="shared" si="77"/>
        <v>0</v>
      </c>
      <c r="N84" s="96"/>
      <c r="O84" s="96"/>
      <c r="P84" s="96"/>
      <c r="Q84" s="34">
        <f t="shared" si="78"/>
        <v>0</v>
      </c>
      <c r="R84" s="96"/>
      <c r="S84" s="96"/>
      <c r="T84" s="96"/>
      <c r="U84" s="34">
        <f t="shared" si="79"/>
        <v>0</v>
      </c>
      <c r="V84" s="34">
        <f t="shared" si="80"/>
        <v>0</v>
      </c>
    </row>
    <row r="85" spans="1:22" ht="13.15" outlineLevel="2">
      <c r="A85" s="24"/>
      <c r="B85" s="27"/>
      <c r="C85" s="28" t="s">
        <v>41</v>
      </c>
      <c r="D85" s="27"/>
      <c r="E85" s="9">
        <v>0</v>
      </c>
      <c r="F85" s="96"/>
      <c r="G85" s="96"/>
      <c r="H85" s="96"/>
      <c r="I85" s="34">
        <f t="shared" si="76"/>
        <v>0</v>
      </c>
      <c r="J85" s="96"/>
      <c r="K85" s="96"/>
      <c r="L85" s="96"/>
      <c r="M85" s="34">
        <f t="shared" si="77"/>
        <v>0</v>
      </c>
      <c r="N85" s="96"/>
      <c r="O85" s="96"/>
      <c r="P85" s="96"/>
      <c r="Q85" s="34">
        <f t="shared" si="78"/>
        <v>0</v>
      </c>
      <c r="R85" s="96"/>
      <c r="S85" s="96"/>
      <c r="T85" s="96"/>
      <c r="U85" s="34">
        <f t="shared" si="79"/>
        <v>0</v>
      </c>
      <c r="V85" s="34">
        <f t="shared" si="80"/>
        <v>0</v>
      </c>
    </row>
    <row r="86" spans="1:22" ht="13.15" outlineLevel="2">
      <c r="A86" s="24"/>
      <c r="B86" s="27"/>
      <c r="C86" s="28" t="s">
        <v>114</v>
      </c>
      <c r="D86" s="27"/>
      <c r="E86" s="9">
        <v>0</v>
      </c>
      <c r="F86" s="96"/>
      <c r="G86" s="96"/>
      <c r="H86" s="96"/>
      <c r="I86" s="34">
        <f t="shared" si="76"/>
        <v>0</v>
      </c>
      <c r="J86" s="96"/>
      <c r="K86" s="96"/>
      <c r="L86" s="96"/>
      <c r="M86" s="34">
        <f t="shared" si="77"/>
        <v>0</v>
      </c>
      <c r="N86" s="96"/>
      <c r="O86" s="96"/>
      <c r="P86" s="96"/>
      <c r="Q86" s="34">
        <f t="shared" si="78"/>
        <v>0</v>
      </c>
      <c r="R86" s="96"/>
      <c r="S86" s="96"/>
      <c r="T86" s="96"/>
      <c r="U86" s="34">
        <f t="shared" si="79"/>
        <v>0</v>
      </c>
      <c r="V86" s="34">
        <f t="shared" si="80"/>
        <v>0</v>
      </c>
    </row>
    <row r="87" spans="1:22" ht="13.15" outlineLevel="2">
      <c r="A87" s="24"/>
      <c r="B87" s="27"/>
      <c r="C87" s="28" t="s">
        <v>105</v>
      </c>
      <c r="D87" s="27"/>
      <c r="E87" s="9">
        <v>0</v>
      </c>
      <c r="F87" s="96"/>
      <c r="G87" s="96"/>
      <c r="H87" s="96"/>
      <c r="I87" s="34">
        <f t="shared" si="76"/>
        <v>0</v>
      </c>
      <c r="J87" s="96"/>
      <c r="K87" s="96"/>
      <c r="L87" s="96"/>
      <c r="M87" s="34">
        <f t="shared" si="77"/>
        <v>0</v>
      </c>
      <c r="N87" s="96"/>
      <c r="O87" s="96"/>
      <c r="P87" s="96"/>
      <c r="Q87" s="34">
        <f t="shared" si="78"/>
        <v>0</v>
      </c>
      <c r="R87" s="96"/>
      <c r="S87" s="96"/>
      <c r="T87" s="96"/>
      <c r="U87" s="34">
        <f t="shared" si="79"/>
        <v>0</v>
      </c>
      <c r="V87" s="34">
        <f t="shared" si="80"/>
        <v>0</v>
      </c>
    </row>
    <row r="88" spans="1:22" ht="13.15" outlineLevel="1">
      <c r="A88" s="24"/>
      <c r="B88" s="30" t="s">
        <v>14</v>
      </c>
      <c r="C88" s="30"/>
      <c r="D88" s="30"/>
      <c r="E88" s="10"/>
      <c r="F88" s="45">
        <f t="shared" ref="F88" si="81">SUM(F80:F87)</f>
        <v>0</v>
      </c>
      <c r="G88" s="45">
        <f t="shared" ref="G88" si="82">SUM(G80:G87)</f>
        <v>0</v>
      </c>
      <c r="H88" s="45">
        <f t="shared" ref="H88" si="83">SUM(H80:H87)</f>
        <v>0</v>
      </c>
      <c r="I88" s="35">
        <f t="shared" ref="I88:L89" si="84">SUM(I80:I87)</f>
        <v>0</v>
      </c>
      <c r="J88" s="45">
        <f t="shared" si="84"/>
        <v>0</v>
      </c>
      <c r="K88" s="45">
        <f t="shared" si="84"/>
        <v>0</v>
      </c>
      <c r="L88" s="45">
        <f t="shared" si="84"/>
        <v>0</v>
      </c>
      <c r="M88" s="35">
        <f t="shared" ref="M88:P88" si="85">SUM(M80:M87)</f>
        <v>0</v>
      </c>
      <c r="N88" s="45">
        <f t="shared" si="85"/>
        <v>0</v>
      </c>
      <c r="O88" s="45">
        <f t="shared" si="85"/>
        <v>0</v>
      </c>
      <c r="P88" s="45">
        <f t="shared" si="85"/>
        <v>0</v>
      </c>
      <c r="Q88" s="35">
        <f t="shared" ref="Q88:T88" si="86">SUM(Q80:Q87)</f>
        <v>0</v>
      </c>
      <c r="R88" s="45">
        <f t="shared" si="86"/>
        <v>0</v>
      </c>
      <c r="S88" s="45">
        <f t="shared" si="86"/>
        <v>0</v>
      </c>
      <c r="T88" s="45">
        <f t="shared" si="86"/>
        <v>0</v>
      </c>
      <c r="U88" s="35">
        <f t="shared" ref="U88" si="87">SUM(U80:U87)</f>
        <v>0</v>
      </c>
      <c r="V88" s="35">
        <f t="shared" si="80"/>
        <v>0</v>
      </c>
    </row>
    <row r="89" spans="1:22" s="4" customFormat="1" ht="13.15" outlineLevel="1">
      <c r="A89" s="24"/>
      <c r="B89" s="24" t="s">
        <v>15</v>
      </c>
      <c r="C89" s="24"/>
      <c r="D89" s="24"/>
      <c r="E89" s="8">
        <v>0</v>
      </c>
      <c r="F89" s="44">
        <v>0</v>
      </c>
      <c r="G89" s="44">
        <v>0</v>
      </c>
      <c r="H89" s="44">
        <v>0</v>
      </c>
      <c r="I89" s="35">
        <f t="shared" si="84"/>
        <v>0</v>
      </c>
      <c r="J89" s="44">
        <v>0</v>
      </c>
      <c r="K89" s="44">
        <v>0</v>
      </c>
      <c r="L89" s="44">
        <v>0</v>
      </c>
      <c r="M89" s="35">
        <f t="shared" ref="M89" si="88">SUM(M81:M88)</f>
        <v>0</v>
      </c>
      <c r="N89" s="44">
        <v>0</v>
      </c>
      <c r="O89" s="44">
        <v>0</v>
      </c>
      <c r="P89" s="44">
        <v>0</v>
      </c>
      <c r="Q89" s="35">
        <f t="shared" ref="Q89" si="89">SUM(Q81:Q88)</f>
        <v>0</v>
      </c>
      <c r="R89" s="44">
        <v>0</v>
      </c>
      <c r="S89" s="44">
        <v>0</v>
      </c>
      <c r="T89" s="44">
        <v>0</v>
      </c>
      <c r="U89" s="35">
        <f t="shared" ref="U89" si="90">SUM(U81:U88)</f>
        <v>0</v>
      </c>
      <c r="V89" s="35">
        <f t="shared" si="80"/>
        <v>0</v>
      </c>
    </row>
    <row r="90" spans="1:22" ht="13.15" outlineLevel="2">
      <c r="A90" s="24"/>
      <c r="B90" s="26" t="s">
        <v>16</v>
      </c>
      <c r="C90" s="27"/>
      <c r="D90" s="27"/>
      <c r="E90" s="9"/>
      <c r="F90" s="129"/>
      <c r="G90" s="129"/>
      <c r="H90" s="129"/>
      <c r="I90" s="34">
        <f t="shared" ref="I90" si="91">SUM(F90:H90)</f>
        <v>0</v>
      </c>
      <c r="J90" s="129"/>
      <c r="K90" s="129"/>
      <c r="L90" s="129"/>
      <c r="M90" s="34">
        <f t="shared" ref="M90" si="92">SUM(J90:L90)</f>
        <v>0</v>
      </c>
      <c r="N90" s="129"/>
      <c r="O90" s="129"/>
      <c r="P90" s="129"/>
      <c r="Q90" s="34">
        <f t="shared" ref="Q90" si="93">SUM(N90:P90)</f>
        <v>0</v>
      </c>
      <c r="R90" s="129"/>
      <c r="S90" s="129"/>
      <c r="T90" s="129"/>
      <c r="U90" s="34">
        <f t="shared" ref="U90" si="94">SUM(R90:T90)</f>
        <v>0</v>
      </c>
      <c r="V90" s="34">
        <f t="shared" ref="V90:V97" si="95">I90+M90+Q90+U90</f>
        <v>0</v>
      </c>
    </row>
    <row r="91" spans="1:22" ht="13.15" outlineLevel="2">
      <c r="A91" s="24"/>
      <c r="B91" s="27"/>
      <c r="C91" s="28" t="s">
        <v>42</v>
      </c>
      <c r="D91" s="27"/>
      <c r="E91" s="9">
        <v>0</v>
      </c>
      <c r="F91" s="43"/>
      <c r="G91" s="43"/>
      <c r="H91" s="43"/>
      <c r="I91" s="34">
        <f t="shared" ref="I91:I96" si="96">SUM(F91:H91)</f>
        <v>0</v>
      </c>
      <c r="J91" s="43"/>
      <c r="K91" s="43"/>
      <c r="L91" s="43"/>
      <c r="M91" s="34">
        <f t="shared" ref="M91:M96" si="97">SUM(J91:L91)</f>
        <v>0</v>
      </c>
      <c r="N91" s="43"/>
      <c r="O91" s="43"/>
      <c r="P91" s="43"/>
      <c r="Q91" s="34">
        <f t="shared" ref="Q91:Q96" si="98">SUM(N91:P91)</f>
        <v>0</v>
      </c>
      <c r="R91" s="43"/>
      <c r="S91" s="43"/>
      <c r="T91" s="43"/>
      <c r="U91" s="34">
        <f t="shared" ref="U91:U96" si="99">SUM(R91:T91)</f>
        <v>0</v>
      </c>
      <c r="V91" s="34">
        <f t="shared" si="95"/>
        <v>0</v>
      </c>
    </row>
    <row r="92" spans="1:22" ht="13.15" outlineLevel="2">
      <c r="A92" s="24"/>
      <c r="B92" s="27"/>
      <c r="C92" s="28" t="s">
        <v>43</v>
      </c>
      <c r="D92" s="27"/>
      <c r="E92" s="9">
        <v>0</v>
      </c>
      <c r="F92" s="43"/>
      <c r="G92" s="43">
        <v>30000</v>
      </c>
      <c r="H92" s="43">
        <v>30000</v>
      </c>
      <c r="I92" s="34">
        <f t="shared" si="96"/>
        <v>60000</v>
      </c>
      <c r="J92" s="43">
        <v>30000</v>
      </c>
      <c r="K92" s="43">
        <v>30000</v>
      </c>
      <c r="L92" s="43">
        <v>30000</v>
      </c>
      <c r="M92" s="34">
        <f t="shared" si="97"/>
        <v>90000</v>
      </c>
      <c r="N92" s="43">
        <v>30000</v>
      </c>
      <c r="O92" s="43">
        <v>30000</v>
      </c>
      <c r="P92" s="43">
        <v>30000</v>
      </c>
      <c r="Q92" s="34">
        <f t="shared" si="98"/>
        <v>90000</v>
      </c>
      <c r="R92" s="43">
        <v>30000</v>
      </c>
      <c r="S92" s="43">
        <v>30000</v>
      </c>
      <c r="T92" s="43">
        <v>30000</v>
      </c>
      <c r="U92" s="34">
        <f t="shared" si="99"/>
        <v>90000</v>
      </c>
      <c r="V92" s="34">
        <f t="shared" si="95"/>
        <v>330000</v>
      </c>
    </row>
    <row r="93" spans="1:22" ht="13.15" outlineLevel="2">
      <c r="A93" s="24"/>
      <c r="B93" s="27"/>
      <c r="C93" s="28" t="s">
        <v>53</v>
      </c>
      <c r="D93" s="27"/>
      <c r="E93" s="9">
        <v>0</v>
      </c>
      <c r="F93" s="43"/>
      <c r="G93" s="43"/>
      <c r="H93" s="43"/>
      <c r="I93" s="34">
        <f t="shared" si="96"/>
        <v>0</v>
      </c>
      <c r="J93" s="43"/>
      <c r="K93" s="43"/>
      <c r="L93" s="43"/>
      <c r="M93" s="34">
        <f t="shared" si="97"/>
        <v>0</v>
      </c>
      <c r="N93" s="43"/>
      <c r="O93" s="43"/>
      <c r="P93" s="43"/>
      <c r="Q93" s="34">
        <f t="shared" si="98"/>
        <v>0</v>
      </c>
      <c r="R93" s="43"/>
      <c r="S93" s="43"/>
      <c r="T93" s="43"/>
      <c r="U93" s="34">
        <f t="shared" si="99"/>
        <v>0</v>
      </c>
      <c r="V93" s="34">
        <f t="shared" si="95"/>
        <v>0</v>
      </c>
    </row>
    <row r="94" spans="1:22" ht="13.15" outlineLevel="2">
      <c r="A94" s="24"/>
      <c r="B94" s="27"/>
      <c r="C94" s="28" t="s">
        <v>44</v>
      </c>
      <c r="D94" s="27"/>
      <c r="E94" s="9">
        <v>0</v>
      </c>
      <c r="F94" s="43"/>
      <c r="G94" s="43"/>
      <c r="H94" s="43"/>
      <c r="I94" s="34">
        <f t="shared" si="96"/>
        <v>0</v>
      </c>
      <c r="J94" s="43"/>
      <c r="K94" s="43"/>
      <c r="L94" s="43"/>
      <c r="M94" s="34">
        <f t="shared" si="97"/>
        <v>0</v>
      </c>
      <c r="N94" s="43"/>
      <c r="O94" s="43"/>
      <c r="P94" s="43"/>
      <c r="Q94" s="34">
        <f t="shared" si="98"/>
        <v>0</v>
      </c>
      <c r="R94" s="43"/>
      <c r="S94" s="43"/>
      <c r="T94" s="43"/>
      <c r="U94" s="34">
        <f t="shared" si="99"/>
        <v>0</v>
      </c>
      <c r="V94" s="34">
        <f t="shared" si="95"/>
        <v>0</v>
      </c>
    </row>
    <row r="95" spans="1:22" ht="13.15" outlineLevel="2">
      <c r="A95" s="24"/>
      <c r="B95" s="27"/>
      <c r="C95" s="28" t="s">
        <v>51</v>
      </c>
      <c r="D95" s="27"/>
      <c r="E95" s="9">
        <v>0</v>
      </c>
      <c r="F95" s="43"/>
      <c r="G95" s="43"/>
      <c r="H95" s="43"/>
      <c r="I95" s="34">
        <f t="shared" si="96"/>
        <v>0</v>
      </c>
      <c r="J95" s="43"/>
      <c r="K95" s="43"/>
      <c r="L95" s="43"/>
      <c r="M95" s="34">
        <f t="shared" si="97"/>
        <v>0</v>
      </c>
      <c r="N95" s="43"/>
      <c r="O95" s="43"/>
      <c r="P95" s="43"/>
      <c r="Q95" s="34">
        <f t="shared" si="98"/>
        <v>0</v>
      </c>
      <c r="R95" s="43"/>
      <c r="S95" s="43"/>
      <c r="T95" s="43"/>
      <c r="U95" s="34">
        <f t="shared" si="99"/>
        <v>0</v>
      </c>
      <c r="V95" s="34">
        <f t="shared" si="95"/>
        <v>0</v>
      </c>
    </row>
    <row r="96" spans="1:22" ht="13.15" outlineLevel="2">
      <c r="A96" s="24"/>
      <c r="B96" s="27"/>
      <c r="C96" s="28" t="s">
        <v>50</v>
      </c>
      <c r="D96" s="27"/>
      <c r="E96" s="9">
        <v>0</v>
      </c>
      <c r="F96" s="43"/>
      <c r="G96" s="43"/>
      <c r="H96" s="43"/>
      <c r="I96" s="34">
        <f t="shared" si="96"/>
        <v>0</v>
      </c>
      <c r="J96" s="43"/>
      <c r="K96" s="43"/>
      <c r="L96" s="43"/>
      <c r="M96" s="34">
        <f t="shared" si="97"/>
        <v>0</v>
      </c>
      <c r="N96" s="43"/>
      <c r="O96" s="43"/>
      <c r="P96" s="43"/>
      <c r="Q96" s="34">
        <f t="shared" si="98"/>
        <v>0</v>
      </c>
      <c r="R96" s="43"/>
      <c r="S96" s="43"/>
      <c r="T96" s="43"/>
      <c r="U96" s="34">
        <f t="shared" si="99"/>
        <v>0</v>
      </c>
      <c r="V96" s="34">
        <f t="shared" si="95"/>
        <v>0</v>
      </c>
    </row>
    <row r="97" spans="1:22" ht="13.15" outlineLevel="1">
      <c r="A97" s="24"/>
      <c r="B97" s="24" t="s">
        <v>17</v>
      </c>
      <c r="C97" s="24"/>
      <c r="D97" s="24"/>
      <c r="E97" s="8"/>
      <c r="F97" s="44">
        <f t="shared" ref="F97" si="100">SUM(F91:F96)</f>
        <v>0</v>
      </c>
      <c r="G97" s="44">
        <f t="shared" ref="G97:H97" si="101">SUM(G91:G96)</f>
        <v>30000</v>
      </c>
      <c r="H97" s="44">
        <f t="shared" si="101"/>
        <v>30000</v>
      </c>
      <c r="I97" s="35">
        <f>SUM(I91:I96)</f>
        <v>60000</v>
      </c>
      <c r="J97" s="44">
        <f t="shared" ref="J97:L97" si="102">SUM(J91:J96)</f>
        <v>30000</v>
      </c>
      <c r="K97" s="44">
        <f t="shared" si="102"/>
        <v>30000</v>
      </c>
      <c r="L97" s="44">
        <f t="shared" si="102"/>
        <v>30000</v>
      </c>
      <c r="M97" s="35">
        <f>SUM(M91:M96)</f>
        <v>90000</v>
      </c>
      <c r="N97" s="44">
        <f t="shared" ref="N97:P97" si="103">SUM(N91:N96)</f>
        <v>30000</v>
      </c>
      <c r="O97" s="44">
        <f t="shared" si="103"/>
        <v>30000</v>
      </c>
      <c r="P97" s="44">
        <f t="shared" si="103"/>
        <v>30000</v>
      </c>
      <c r="Q97" s="35">
        <f>SUM(Q91:Q96)</f>
        <v>90000</v>
      </c>
      <c r="R97" s="44">
        <f t="shared" ref="R97:T97" si="104">SUM(R91:R96)</f>
        <v>30000</v>
      </c>
      <c r="S97" s="44">
        <f t="shared" si="104"/>
        <v>30000</v>
      </c>
      <c r="T97" s="44">
        <f t="shared" si="104"/>
        <v>30000</v>
      </c>
      <c r="U97" s="35">
        <f>SUM(U91:U96)</f>
        <v>90000</v>
      </c>
      <c r="V97" s="35">
        <f t="shared" si="95"/>
        <v>330000</v>
      </c>
    </row>
    <row r="98" spans="1:22" ht="13.15" outlineLevel="2">
      <c r="A98" s="24"/>
      <c r="B98" s="26" t="s">
        <v>18</v>
      </c>
      <c r="C98" s="27"/>
      <c r="D98" s="27"/>
      <c r="E98" s="9"/>
      <c r="F98" s="129"/>
      <c r="G98" s="129"/>
      <c r="H98" s="129"/>
      <c r="I98" s="36"/>
      <c r="J98" s="129"/>
      <c r="K98" s="129"/>
      <c r="L98" s="129"/>
      <c r="M98" s="36"/>
      <c r="N98" s="129"/>
      <c r="O98" s="129"/>
      <c r="P98" s="129"/>
      <c r="Q98" s="36"/>
      <c r="R98" s="129"/>
      <c r="S98" s="129"/>
      <c r="T98" s="129"/>
      <c r="U98" s="36"/>
      <c r="V98" s="36"/>
    </row>
    <row r="99" spans="1:22" ht="13.15" outlineLevel="2">
      <c r="A99" s="24"/>
      <c r="B99" s="27"/>
      <c r="C99" s="28" t="s">
        <v>68</v>
      </c>
      <c r="D99" s="27"/>
      <c r="E99" s="9">
        <v>0</v>
      </c>
      <c r="F99" s="96"/>
      <c r="G99" s="96"/>
      <c r="H99" s="96"/>
      <c r="I99" s="34">
        <f t="shared" ref="I99" si="105">SUM(F99:H99)</f>
        <v>0</v>
      </c>
      <c r="J99" s="96"/>
      <c r="K99" s="96"/>
      <c r="L99" s="96"/>
      <c r="M99" s="34">
        <f t="shared" ref="M99" si="106">SUM(J99:L99)</f>
        <v>0</v>
      </c>
      <c r="N99" s="96"/>
      <c r="O99" s="96"/>
      <c r="P99" s="96"/>
      <c r="Q99" s="34">
        <f t="shared" ref="Q99" si="107">SUM(N99:P99)</f>
        <v>0</v>
      </c>
      <c r="R99" s="96"/>
      <c r="S99" s="96"/>
      <c r="T99" s="96"/>
      <c r="U99" s="34">
        <f t="shared" ref="U99" si="108">SUM(R99:T99)</f>
        <v>0</v>
      </c>
      <c r="V99" s="34">
        <f t="shared" ref="V99:V106" si="109">I99+M99+Q99+U99</f>
        <v>0</v>
      </c>
    </row>
    <row r="100" spans="1:22" ht="13.15" outlineLevel="2">
      <c r="A100" s="24"/>
      <c r="B100" s="27"/>
      <c r="C100" s="28" t="s">
        <v>45</v>
      </c>
      <c r="D100" s="27"/>
      <c r="E100" s="9">
        <v>0</v>
      </c>
      <c r="F100" s="96"/>
      <c r="G100" s="96"/>
      <c r="H100" s="96"/>
      <c r="I100" s="34">
        <f t="shared" ref="I100:I105" si="110">SUM(F100:H100)</f>
        <v>0</v>
      </c>
      <c r="J100" s="96"/>
      <c r="K100" s="96"/>
      <c r="L100" s="96"/>
      <c r="M100" s="34">
        <f t="shared" ref="M100:M105" si="111">SUM(J100:L100)</f>
        <v>0</v>
      </c>
      <c r="N100" s="96"/>
      <c r="O100" s="96"/>
      <c r="P100" s="96"/>
      <c r="Q100" s="34">
        <f t="shared" ref="Q100:Q105" si="112">SUM(N100:P100)</f>
        <v>0</v>
      </c>
      <c r="R100" s="96"/>
      <c r="S100" s="96"/>
      <c r="T100" s="96"/>
      <c r="U100" s="34">
        <f t="shared" ref="U100:U105" si="113">SUM(R100:T100)</f>
        <v>0</v>
      </c>
      <c r="V100" s="34">
        <f t="shared" si="109"/>
        <v>0</v>
      </c>
    </row>
    <row r="101" spans="1:22" ht="13.15" outlineLevel="2">
      <c r="A101" s="24"/>
      <c r="B101" s="27"/>
      <c r="C101" s="28" t="s">
        <v>94</v>
      </c>
      <c r="D101" s="27"/>
      <c r="E101" s="9">
        <v>0</v>
      </c>
      <c r="F101" s="96"/>
      <c r="G101" s="96"/>
      <c r="H101" s="96"/>
      <c r="I101" s="34">
        <f t="shared" si="110"/>
        <v>0</v>
      </c>
      <c r="J101" s="96"/>
      <c r="K101" s="96"/>
      <c r="L101" s="96"/>
      <c r="M101" s="34">
        <f t="shared" si="111"/>
        <v>0</v>
      </c>
      <c r="N101" s="96"/>
      <c r="O101" s="96"/>
      <c r="P101" s="96"/>
      <c r="Q101" s="34">
        <f t="shared" si="112"/>
        <v>0</v>
      </c>
      <c r="R101" s="96"/>
      <c r="S101" s="96"/>
      <c r="T101" s="96"/>
      <c r="U101" s="34">
        <f t="shared" si="113"/>
        <v>0</v>
      </c>
      <c r="V101" s="34">
        <f t="shared" si="109"/>
        <v>0</v>
      </c>
    </row>
    <row r="102" spans="1:22" ht="13.15" outlineLevel="2">
      <c r="A102" s="24"/>
      <c r="B102" s="27"/>
      <c r="C102" s="28" t="s">
        <v>46</v>
      </c>
      <c r="D102" s="27"/>
      <c r="E102" s="9">
        <v>0</v>
      </c>
      <c r="F102" s="96"/>
      <c r="G102" s="96"/>
      <c r="H102" s="96"/>
      <c r="I102" s="34">
        <f t="shared" si="110"/>
        <v>0</v>
      </c>
      <c r="J102" s="96"/>
      <c r="K102" s="96"/>
      <c r="L102" s="96"/>
      <c r="M102" s="34">
        <f t="shared" si="111"/>
        <v>0</v>
      </c>
      <c r="N102" s="96"/>
      <c r="O102" s="96"/>
      <c r="P102" s="96"/>
      <c r="Q102" s="34">
        <f t="shared" si="112"/>
        <v>0</v>
      </c>
      <c r="R102" s="96"/>
      <c r="S102" s="96"/>
      <c r="T102" s="96"/>
      <c r="U102" s="34">
        <f t="shared" si="113"/>
        <v>0</v>
      </c>
      <c r="V102" s="34">
        <f t="shared" si="109"/>
        <v>0</v>
      </c>
    </row>
    <row r="103" spans="1:22" ht="13.15" outlineLevel="2">
      <c r="A103" s="24"/>
      <c r="B103" s="27"/>
      <c r="C103" s="28" t="s">
        <v>111</v>
      </c>
      <c r="D103" s="27"/>
      <c r="E103" s="9">
        <v>0</v>
      </c>
      <c r="F103" s="96"/>
      <c r="G103" s="96"/>
      <c r="H103" s="96"/>
      <c r="I103" s="34">
        <f t="shared" si="110"/>
        <v>0</v>
      </c>
      <c r="J103" s="96"/>
      <c r="K103" s="96"/>
      <c r="L103" s="96"/>
      <c r="M103" s="34">
        <f t="shared" si="111"/>
        <v>0</v>
      </c>
      <c r="N103" s="96"/>
      <c r="O103" s="96"/>
      <c r="P103" s="96"/>
      <c r="Q103" s="34">
        <f t="shared" si="112"/>
        <v>0</v>
      </c>
      <c r="R103" s="96"/>
      <c r="S103" s="96"/>
      <c r="T103" s="96"/>
      <c r="U103" s="34">
        <f t="shared" si="113"/>
        <v>0</v>
      </c>
      <c r="V103" s="34">
        <f t="shared" si="109"/>
        <v>0</v>
      </c>
    </row>
    <row r="104" spans="1:22" ht="13.15" outlineLevel="2">
      <c r="A104" s="24"/>
      <c r="B104" s="27"/>
      <c r="C104" s="28" t="s">
        <v>115</v>
      </c>
      <c r="D104" s="27"/>
      <c r="E104" s="9">
        <v>0</v>
      </c>
      <c r="F104" s="96"/>
      <c r="G104" s="96"/>
      <c r="H104" s="96"/>
      <c r="I104" s="34">
        <f t="shared" si="110"/>
        <v>0</v>
      </c>
      <c r="J104" s="96"/>
      <c r="K104" s="96"/>
      <c r="L104" s="96"/>
      <c r="M104" s="34">
        <f t="shared" si="111"/>
        <v>0</v>
      </c>
      <c r="N104" s="96"/>
      <c r="O104" s="96"/>
      <c r="P104" s="96"/>
      <c r="Q104" s="34">
        <f t="shared" si="112"/>
        <v>0</v>
      </c>
      <c r="R104" s="96"/>
      <c r="S104" s="96"/>
      <c r="T104" s="96"/>
      <c r="U104" s="34">
        <f t="shared" si="113"/>
        <v>0</v>
      </c>
      <c r="V104" s="34">
        <f t="shared" si="109"/>
        <v>0</v>
      </c>
    </row>
    <row r="105" spans="1:22" ht="13.15" outlineLevel="2">
      <c r="A105" s="24"/>
      <c r="B105" s="27"/>
      <c r="C105" s="28" t="s">
        <v>113</v>
      </c>
      <c r="D105" s="27"/>
      <c r="E105" s="9"/>
      <c r="F105" s="96"/>
      <c r="G105" s="96"/>
      <c r="H105" s="96"/>
      <c r="I105" s="34">
        <f t="shared" si="110"/>
        <v>0</v>
      </c>
      <c r="J105" s="96"/>
      <c r="K105" s="96"/>
      <c r="L105" s="96"/>
      <c r="M105" s="34">
        <f t="shared" si="111"/>
        <v>0</v>
      </c>
      <c r="N105" s="96"/>
      <c r="O105" s="96"/>
      <c r="P105" s="96"/>
      <c r="Q105" s="34">
        <f t="shared" si="112"/>
        <v>0</v>
      </c>
      <c r="R105" s="96"/>
      <c r="S105" s="96"/>
      <c r="T105" s="96"/>
      <c r="U105" s="34">
        <f t="shared" si="113"/>
        <v>0</v>
      </c>
      <c r="V105" s="34">
        <f t="shared" si="109"/>
        <v>0</v>
      </c>
    </row>
    <row r="106" spans="1:22" ht="13.15" outlineLevel="1">
      <c r="A106" s="24"/>
      <c r="B106" s="29" t="s">
        <v>19</v>
      </c>
      <c r="C106" s="30"/>
      <c r="D106" s="30"/>
      <c r="E106" s="10"/>
      <c r="F106" s="45">
        <f>SUM(F99:F105)</f>
        <v>0</v>
      </c>
      <c r="G106" s="45">
        <f>SUM(G99:G105)</f>
        <v>0</v>
      </c>
      <c r="H106" s="45">
        <f>SUM(H99:H105)</f>
        <v>0</v>
      </c>
      <c r="I106" s="35">
        <f t="shared" ref="I106" si="114">SUM(I99:I105)</f>
        <v>0</v>
      </c>
      <c r="J106" s="45">
        <f>SUM(J99:J105)</f>
        <v>0</v>
      </c>
      <c r="K106" s="45">
        <f>SUM(K99:K105)</f>
        <v>0</v>
      </c>
      <c r="L106" s="45">
        <f>SUM(L99:L105)</f>
        <v>0</v>
      </c>
      <c r="M106" s="35">
        <f t="shared" ref="M106" si="115">SUM(M99:M105)</f>
        <v>0</v>
      </c>
      <c r="N106" s="45">
        <f>SUM(N99:N105)</f>
        <v>0</v>
      </c>
      <c r="O106" s="45">
        <f>SUM(O99:O105)</f>
        <v>0</v>
      </c>
      <c r="P106" s="45">
        <f>SUM(P99:P105)</f>
        <v>0</v>
      </c>
      <c r="Q106" s="35">
        <f t="shared" ref="Q106" si="116">SUM(Q99:Q105)</f>
        <v>0</v>
      </c>
      <c r="R106" s="45">
        <f>SUM(R99:R105)</f>
        <v>0</v>
      </c>
      <c r="S106" s="45">
        <f>SUM(S99:S105)</f>
        <v>0</v>
      </c>
      <c r="T106" s="45">
        <f>SUM(T99:T105)</f>
        <v>0</v>
      </c>
      <c r="U106" s="35">
        <f t="shared" ref="U106" si="117">SUM(U99:U105)</f>
        <v>0</v>
      </c>
      <c r="V106" s="35">
        <f t="shared" si="109"/>
        <v>0</v>
      </c>
    </row>
    <row r="107" spans="1:22" ht="13.15" outlineLevel="2">
      <c r="A107" s="24"/>
      <c r="B107" s="26" t="s">
        <v>20</v>
      </c>
      <c r="C107" s="27"/>
      <c r="D107" s="27"/>
      <c r="E107" s="9"/>
      <c r="F107" s="129"/>
      <c r="G107" s="129"/>
      <c r="H107" s="129"/>
      <c r="I107" s="36"/>
      <c r="J107" s="129"/>
      <c r="K107" s="129"/>
      <c r="L107" s="129"/>
      <c r="M107" s="36"/>
      <c r="N107" s="129"/>
      <c r="O107" s="129"/>
      <c r="P107" s="129"/>
      <c r="Q107" s="36"/>
      <c r="R107" s="129"/>
      <c r="S107" s="129"/>
      <c r="T107" s="129"/>
      <c r="U107" s="36"/>
      <c r="V107" s="36"/>
    </row>
    <row r="108" spans="1:22" ht="13.15" outlineLevel="2">
      <c r="A108" s="24"/>
      <c r="B108" s="27"/>
      <c r="C108" s="28" t="s">
        <v>29</v>
      </c>
      <c r="D108" s="27"/>
      <c r="E108" s="9">
        <v>0</v>
      </c>
      <c r="F108" s="96"/>
      <c r="G108" s="96"/>
      <c r="H108" s="96"/>
      <c r="I108" s="34">
        <f t="shared" ref="I108:I112" si="118">SUM(F108:H108)</f>
        <v>0</v>
      </c>
      <c r="J108" s="96"/>
      <c r="K108" s="96"/>
      <c r="L108" s="96"/>
      <c r="M108" s="34">
        <f t="shared" ref="M108:M112" si="119">SUM(J108:L108)</f>
        <v>0</v>
      </c>
      <c r="N108" s="96"/>
      <c r="O108" s="96"/>
      <c r="P108" s="96"/>
      <c r="Q108" s="34">
        <f t="shared" ref="Q108:Q112" si="120">SUM(N108:P108)</f>
        <v>0</v>
      </c>
      <c r="R108" s="96"/>
      <c r="S108" s="96"/>
      <c r="T108" s="96"/>
      <c r="U108" s="34">
        <f t="shared" ref="U108:U112" si="121">SUM(R108:T108)</f>
        <v>0</v>
      </c>
      <c r="V108" s="34">
        <f t="shared" ref="V108:V117" si="122">I108+M108+Q108+U108</f>
        <v>0</v>
      </c>
    </row>
    <row r="109" spans="1:22" ht="13.15" outlineLevel="2">
      <c r="A109" s="24"/>
      <c r="B109" s="27"/>
      <c r="C109" s="28" t="s">
        <v>33</v>
      </c>
      <c r="D109" s="27"/>
      <c r="E109" s="9">
        <v>0</v>
      </c>
      <c r="F109" s="96"/>
      <c r="G109" s="96"/>
      <c r="H109" s="96"/>
      <c r="I109" s="34">
        <f t="shared" si="118"/>
        <v>0</v>
      </c>
      <c r="J109" s="96"/>
      <c r="K109" s="96"/>
      <c r="L109" s="96"/>
      <c r="M109" s="34">
        <f t="shared" si="119"/>
        <v>0</v>
      </c>
      <c r="N109" s="96"/>
      <c r="O109" s="96"/>
      <c r="P109" s="96"/>
      <c r="Q109" s="34">
        <f t="shared" si="120"/>
        <v>0</v>
      </c>
      <c r="R109" s="96"/>
      <c r="S109" s="96"/>
      <c r="T109" s="96"/>
      <c r="U109" s="34">
        <f t="shared" si="121"/>
        <v>0</v>
      </c>
      <c r="V109" s="34">
        <f t="shared" si="122"/>
        <v>0</v>
      </c>
    </row>
    <row r="110" spans="1:22" ht="13.15" outlineLevel="2">
      <c r="A110" s="24"/>
      <c r="B110" s="27"/>
      <c r="C110" s="28" t="s">
        <v>95</v>
      </c>
      <c r="D110" s="27"/>
      <c r="E110" s="9"/>
      <c r="F110" s="96"/>
      <c r="G110" s="96"/>
      <c r="H110" s="96"/>
      <c r="I110" s="34">
        <f t="shared" si="118"/>
        <v>0</v>
      </c>
      <c r="J110" s="96"/>
      <c r="K110" s="96"/>
      <c r="L110" s="96"/>
      <c r="M110" s="34">
        <f t="shared" si="119"/>
        <v>0</v>
      </c>
      <c r="N110" s="96"/>
      <c r="O110" s="96"/>
      <c r="P110" s="96"/>
      <c r="Q110" s="34">
        <f t="shared" si="120"/>
        <v>0</v>
      </c>
      <c r="R110" s="96"/>
      <c r="S110" s="96"/>
      <c r="T110" s="96"/>
      <c r="U110" s="34">
        <f t="shared" si="121"/>
        <v>0</v>
      </c>
      <c r="V110" s="34">
        <f t="shared" si="122"/>
        <v>0</v>
      </c>
    </row>
    <row r="111" spans="1:22" ht="13.15" outlineLevel="2">
      <c r="A111" s="24"/>
      <c r="B111" s="27"/>
      <c r="C111" s="28" t="s">
        <v>154</v>
      </c>
      <c r="D111" s="27"/>
      <c r="E111" s="9"/>
      <c r="F111" s="96"/>
      <c r="G111" s="96"/>
      <c r="H111" s="96"/>
      <c r="I111" s="34">
        <f t="shared" si="118"/>
        <v>0</v>
      </c>
      <c r="J111" s="96"/>
      <c r="K111" s="96"/>
      <c r="L111" s="96"/>
      <c r="M111" s="34">
        <f t="shared" si="119"/>
        <v>0</v>
      </c>
      <c r="N111" s="96"/>
      <c r="O111" s="96"/>
      <c r="P111" s="96"/>
      <c r="Q111" s="34">
        <f t="shared" si="120"/>
        <v>0</v>
      </c>
      <c r="R111" s="96"/>
      <c r="S111" s="96"/>
      <c r="T111" s="96"/>
      <c r="U111" s="34">
        <f t="shared" si="121"/>
        <v>0</v>
      </c>
      <c r="V111" s="34">
        <f t="shared" si="122"/>
        <v>0</v>
      </c>
    </row>
    <row r="112" spans="1:22" ht="13.15" outlineLevel="2">
      <c r="A112" s="24"/>
      <c r="B112" s="27"/>
      <c r="C112" s="28" t="s">
        <v>153</v>
      </c>
      <c r="D112" s="27"/>
      <c r="E112" s="9">
        <v>0</v>
      </c>
      <c r="F112" s="96"/>
      <c r="G112" s="96"/>
      <c r="H112" s="96"/>
      <c r="I112" s="34">
        <f t="shared" si="118"/>
        <v>0</v>
      </c>
      <c r="J112" s="96"/>
      <c r="K112" s="96"/>
      <c r="L112" s="96"/>
      <c r="M112" s="34">
        <f t="shared" si="119"/>
        <v>0</v>
      </c>
      <c r="N112" s="96"/>
      <c r="O112" s="96"/>
      <c r="P112" s="96"/>
      <c r="Q112" s="34">
        <f t="shared" si="120"/>
        <v>0</v>
      </c>
      <c r="R112" s="96"/>
      <c r="S112" s="96"/>
      <c r="T112" s="96"/>
      <c r="U112" s="34">
        <f t="shared" si="121"/>
        <v>0</v>
      </c>
      <c r="V112" s="34">
        <f t="shared" si="122"/>
        <v>0</v>
      </c>
    </row>
    <row r="113" spans="1:22" ht="13.15" outlineLevel="1">
      <c r="A113" s="24"/>
      <c r="B113" s="30" t="s">
        <v>21</v>
      </c>
      <c r="C113" s="30"/>
      <c r="D113" s="30"/>
      <c r="E113" s="10"/>
      <c r="F113" s="45">
        <f t="shared" ref="F113:U113" si="123">SUM(F108:F112)</f>
        <v>0</v>
      </c>
      <c r="G113" s="45">
        <f t="shared" si="123"/>
        <v>0</v>
      </c>
      <c r="H113" s="45">
        <f t="shared" si="123"/>
        <v>0</v>
      </c>
      <c r="I113" s="35">
        <f t="shared" si="123"/>
        <v>0</v>
      </c>
      <c r="J113" s="45">
        <f t="shared" si="123"/>
        <v>0</v>
      </c>
      <c r="K113" s="45">
        <f t="shared" si="123"/>
        <v>0</v>
      </c>
      <c r="L113" s="45">
        <f t="shared" si="123"/>
        <v>0</v>
      </c>
      <c r="M113" s="35">
        <f t="shared" si="123"/>
        <v>0</v>
      </c>
      <c r="N113" s="45">
        <f t="shared" si="123"/>
        <v>0</v>
      </c>
      <c r="O113" s="45">
        <f t="shared" si="123"/>
        <v>0</v>
      </c>
      <c r="P113" s="45">
        <f t="shared" si="123"/>
        <v>0</v>
      </c>
      <c r="Q113" s="35">
        <f t="shared" si="123"/>
        <v>0</v>
      </c>
      <c r="R113" s="45">
        <f t="shared" si="123"/>
        <v>0</v>
      </c>
      <c r="S113" s="45">
        <f t="shared" si="123"/>
        <v>0</v>
      </c>
      <c r="T113" s="45">
        <f t="shared" si="123"/>
        <v>0</v>
      </c>
      <c r="U113" s="35">
        <f t="shared" si="123"/>
        <v>0</v>
      </c>
      <c r="V113" s="35">
        <f t="shared" si="122"/>
        <v>0</v>
      </c>
    </row>
    <row r="114" spans="1:22" ht="13.15">
      <c r="A114" s="24"/>
      <c r="B114" s="24"/>
      <c r="C114" s="24"/>
      <c r="D114" s="24" t="s">
        <v>22</v>
      </c>
      <c r="E114" s="8"/>
      <c r="F114" s="44">
        <f t="shared" ref="F114:U114" si="124">F88+F89+F97+F106+F113</f>
        <v>0</v>
      </c>
      <c r="G114" s="44">
        <f t="shared" si="124"/>
        <v>30000</v>
      </c>
      <c r="H114" s="44">
        <f t="shared" si="124"/>
        <v>30000</v>
      </c>
      <c r="I114" s="35">
        <f t="shared" si="124"/>
        <v>60000</v>
      </c>
      <c r="J114" s="44">
        <f t="shared" si="124"/>
        <v>30000</v>
      </c>
      <c r="K114" s="44">
        <f t="shared" si="124"/>
        <v>30000</v>
      </c>
      <c r="L114" s="44">
        <f t="shared" si="124"/>
        <v>30000</v>
      </c>
      <c r="M114" s="35">
        <f t="shared" si="124"/>
        <v>90000</v>
      </c>
      <c r="N114" s="44">
        <f t="shared" si="124"/>
        <v>30000</v>
      </c>
      <c r="O114" s="44">
        <f t="shared" si="124"/>
        <v>30000</v>
      </c>
      <c r="P114" s="44">
        <f t="shared" si="124"/>
        <v>30000</v>
      </c>
      <c r="Q114" s="35">
        <f t="shared" si="124"/>
        <v>90000</v>
      </c>
      <c r="R114" s="44">
        <f t="shared" si="124"/>
        <v>30000</v>
      </c>
      <c r="S114" s="44">
        <f t="shared" si="124"/>
        <v>30000</v>
      </c>
      <c r="T114" s="44">
        <f t="shared" si="124"/>
        <v>30000</v>
      </c>
      <c r="U114" s="35">
        <f t="shared" si="124"/>
        <v>90000</v>
      </c>
      <c r="V114" s="35">
        <f t="shared" si="122"/>
        <v>330000</v>
      </c>
    </row>
    <row r="115" spans="1:22" ht="13.9">
      <c r="A115" s="11" t="s">
        <v>23</v>
      </c>
      <c r="B115" s="11"/>
      <c r="C115" s="11"/>
      <c r="D115" s="11"/>
      <c r="E115" s="12"/>
      <c r="F115" s="46">
        <f t="shared" ref="F115:U115" si="125">F114+F77</f>
        <v>26522000</v>
      </c>
      <c r="G115" s="46">
        <f t="shared" si="125"/>
        <v>26552000</v>
      </c>
      <c r="H115" s="46">
        <f t="shared" si="125"/>
        <v>26552000</v>
      </c>
      <c r="I115" s="109">
        <f t="shared" si="125"/>
        <v>79626000</v>
      </c>
      <c r="J115" s="46">
        <f t="shared" si="125"/>
        <v>26552000</v>
      </c>
      <c r="K115" s="46">
        <f t="shared" si="125"/>
        <v>26552000</v>
      </c>
      <c r="L115" s="46">
        <f t="shared" si="125"/>
        <v>26552000</v>
      </c>
      <c r="M115" s="109">
        <f t="shared" si="125"/>
        <v>79656000</v>
      </c>
      <c r="N115" s="46">
        <f t="shared" si="125"/>
        <v>26552000</v>
      </c>
      <c r="O115" s="46">
        <f t="shared" si="125"/>
        <v>26552000</v>
      </c>
      <c r="P115" s="46">
        <f t="shared" si="125"/>
        <v>26552000</v>
      </c>
      <c r="Q115" s="109">
        <f t="shared" si="125"/>
        <v>79656000</v>
      </c>
      <c r="R115" s="46">
        <f t="shared" si="125"/>
        <v>26552000</v>
      </c>
      <c r="S115" s="46">
        <f t="shared" si="125"/>
        <v>26552000</v>
      </c>
      <c r="T115" s="46">
        <f t="shared" si="125"/>
        <v>26552000</v>
      </c>
      <c r="U115" s="109">
        <f t="shared" si="125"/>
        <v>79656000</v>
      </c>
      <c r="V115" s="40">
        <f>I115+M115+Q115+U115</f>
        <v>318594000</v>
      </c>
    </row>
    <row r="116" spans="1:22" s="111" customFormat="1" ht="12.75" customHeight="1">
      <c r="A116" s="462" t="s">
        <v>181</v>
      </c>
      <c r="B116" s="463"/>
      <c r="C116" s="463"/>
      <c r="D116" s="464"/>
      <c r="E116" s="8"/>
      <c r="F116" s="43"/>
      <c r="G116" s="43"/>
      <c r="H116" s="43"/>
      <c r="I116" s="34"/>
      <c r="J116" s="43"/>
      <c r="K116" s="43"/>
      <c r="L116" s="43"/>
      <c r="M116" s="34"/>
      <c r="N116" s="43"/>
      <c r="O116" s="43"/>
      <c r="P116" s="43"/>
      <c r="Q116" s="34"/>
      <c r="R116" s="43"/>
      <c r="S116" s="43"/>
      <c r="T116" s="43"/>
      <c r="U116" s="34"/>
      <c r="V116" s="34"/>
    </row>
    <row r="117" spans="1:22" s="111" customFormat="1" ht="12.75" customHeight="1">
      <c r="A117" s="125"/>
      <c r="B117" s="4"/>
      <c r="C117" s="455" t="s">
        <v>182</v>
      </c>
      <c r="D117" s="456"/>
      <c r="E117" s="8"/>
      <c r="F117" s="138">
        <f>F29-F77</f>
        <v>-28603000</v>
      </c>
      <c r="G117" s="138">
        <f>G29-G77-G102-G104</f>
        <v>-21522000</v>
      </c>
      <c r="H117" s="138">
        <f>H29-H77-H102-H104</f>
        <v>-21522000</v>
      </c>
      <c r="I117" s="35">
        <f>SUM(F117:H117)</f>
        <v>-71647000</v>
      </c>
      <c r="J117" s="138">
        <f>J29-J77-J102-J104</f>
        <v>-21522000</v>
      </c>
      <c r="K117" s="138">
        <f>K29-K77-K102-K104</f>
        <v>-21522000</v>
      </c>
      <c r="L117" s="138">
        <f>L29-L77-L102-L104</f>
        <v>-21522000</v>
      </c>
      <c r="M117" s="35">
        <f>SUM(J117:L117)</f>
        <v>-64566000</v>
      </c>
      <c r="N117" s="138">
        <f>N29-N77-N102-N104</f>
        <v>-21522000</v>
      </c>
      <c r="O117" s="138">
        <f>O29-O77-O102-O104</f>
        <v>-21522000</v>
      </c>
      <c r="P117" s="138">
        <f>P29-P77-P102-P104</f>
        <v>-21522000</v>
      </c>
      <c r="Q117" s="35">
        <f>SUM(N117:P117)</f>
        <v>-64566000</v>
      </c>
      <c r="R117" s="138">
        <f>R29-R77-R102-R104</f>
        <v>-21522000</v>
      </c>
      <c r="S117" s="138">
        <f>S29-S77-S102-S104</f>
        <v>-21522000</v>
      </c>
      <c r="T117" s="138">
        <f>T29-T77-T102-T104</f>
        <v>-21522000</v>
      </c>
      <c r="U117" s="35">
        <f>SUM(R117:T117)</f>
        <v>-64566000</v>
      </c>
      <c r="V117" s="35">
        <f t="shared" si="122"/>
        <v>-265345000</v>
      </c>
    </row>
    <row r="118" spans="1:22" ht="13.15" thickBot="1">
      <c r="A118" s="14"/>
      <c r="B118" s="14"/>
      <c r="C118" s="14"/>
      <c r="D118" s="14"/>
      <c r="E118" s="15"/>
      <c r="F118" s="47"/>
      <c r="G118" s="47"/>
      <c r="H118" s="47"/>
      <c r="I118" s="37"/>
      <c r="J118" s="47"/>
      <c r="K118" s="47"/>
      <c r="L118" s="47"/>
      <c r="M118" s="37"/>
      <c r="N118" s="47"/>
      <c r="O118" s="47"/>
      <c r="P118" s="47"/>
      <c r="Q118" s="37"/>
      <c r="R118" s="47"/>
      <c r="S118" s="47"/>
      <c r="T118" s="47"/>
      <c r="U118" s="37"/>
      <c r="V118" s="37"/>
    </row>
    <row r="119" spans="1:22">
      <c r="A119" s="7"/>
      <c r="B119" s="7"/>
      <c r="C119" s="7"/>
      <c r="D119" s="7"/>
      <c r="F119" s="13"/>
      <c r="G119" s="13"/>
      <c r="H119" s="13"/>
      <c r="J119" s="13"/>
      <c r="K119" s="13"/>
      <c r="L119" s="13"/>
      <c r="N119" s="13" t="s">
        <v>121</v>
      </c>
      <c r="O119" s="13"/>
      <c r="P119" s="13"/>
      <c r="R119" s="13"/>
      <c r="S119" s="13"/>
      <c r="T119" s="13"/>
    </row>
    <row r="120" spans="1:22">
      <c r="D120" s="106" t="s">
        <v>232</v>
      </c>
      <c r="F120" s="39"/>
      <c r="G120" s="192"/>
      <c r="H120" s="164"/>
      <c r="I120" s="164"/>
      <c r="J120" s="195"/>
      <c r="K120" s="195"/>
      <c r="L120" s="163"/>
      <c r="M120" s="164"/>
      <c r="N120" s="163"/>
      <c r="O120" s="163"/>
      <c r="P120" s="191"/>
      <c r="R120" s="163"/>
      <c r="S120" s="248"/>
      <c r="T120" s="248"/>
    </row>
    <row r="121" spans="1:22">
      <c r="D121" s="106" t="s">
        <v>233</v>
      </c>
      <c r="F121" s="190"/>
      <c r="G121" s="191"/>
      <c r="H121" s="191"/>
      <c r="J121" s="191"/>
      <c r="K121" s="191"/>
      <c r="L121" s="191"/>
      <c r="N121" s="191"/>
      <c r="O121" s="191"/>
      <c r="P121" s="191"/>
      <c r="R121" s="191"/>
      <c r="S121" s="191"/>
      <c r="T121" s="191"/>
    </row>
    <row r="122" spans="1:22" ht="13.15">
      <c r="D122" s="104" t="s">
        <v>268</v>
      </c>
      <c r="F122" s="140">
        <f>F77</f>
        <v>26522000</v>
      </c>
      <c r="G122" s="140">
        <f t="shared" ref="G122:H122" si="126">G77</f>
        <v>26522000</v>
      </c>
      <c r="H122" s="140">
        <f t="shared" si="126"/>
        <v>26522000</v>
      </c>
      <c r="I122" s="157">
        <f>F122+G122+H122</f>
        <v>79566000</v>
      </c>
      <c r="J122" s="140">
        <f>J77</f>
        <v>26522000</v>
      </c>
      <c r="K122" s="140">
        <f t="shared" ref="K122:L122" si="127">K77</f>
        <v>26522000</v>
      </c>
      <c r="L122" s="140">
        <f t="shared" si="127"/>
        <v>26522000</v>
      </c>
      <c r="M122" s="157">
        <f>J122+K122+L122</f>
        <v>79566000</v>
      </c>
      <c r="N122" s="140">
        <f>N77</f>
        <v>26522000</v>
      </c>
      <c r="O122" s="140">
        <f t="shared" ref="O122:P122" si="128">O77</f>
        <v>26522000</v>
      </c>
      <c r="P122" s="140">
        <f t="shared" si="128"/>
        <v>26522000</v>
      </c>
      <c r="Q122" s="157">
        <f>N122+O122+P122</f>
        <v>79566000</v>
      </c>
      <c r="R122" s="140">
        <f>R77</f>
        <v>26522000</v>
      </c>
      <c r="S122" s="140">
        <f t="shared" ref="S122:T122" si="129">S77</f>
        <v>26522000</v>
      </c>
      <c r="T122" s="140">
        <f t="shared" si="129"/>
        <v>26522000</v>
      </c>
      <c r="U122" s="157">
        <f>R122+S122+T122</f>
        <v>79566000</v>
      </c>
      <c r="V122" s="157">
        <f>I122+M122+Q122+U122</f>
        <v>318264000</v>
      </c>
    </row>
    <row r="123" spans="1:22" ht="13.15">
      <c r="D123" s="104" t="s">
        <v>276</v>
      </c>
      <c r="F123" s="141">
        <f>ROUND(JHAHN!F77*F122/(TSG!F124-JHAHN!F77),-3)</f>
        <v>4371000</v>
      </c>
      <c r="G123" s="141">
        <f>ROUND((JHAHN!G77*G122)/(TSG!G124-JHAHN!G77),-3)</f>
        <v>4325000</v>
      </c>
      <c r="H123" s="141">
        <f>ROUND((JHAHN!H77*H122)/(TSG!H124-JHAHN!H77),-3)</f>
        <v>4325000</v>
      </c>
      <c r="I123" s="157">
        <f>F123+G123+H123</f>
        <v>13021000</v>
      </c>
      <c r="J123" s="141">
        <f>ROUND((JHAHN!J77*J122)/(TSG!J124-JHAHN!J77),-3)</f>
        <v>4325000</v>
      </c>
      <c r="K123" s="141">
        <f>ROUND((JHAHN!K77*K122)/(TSG!K124-JHAHN!K77),-3)</f>
        <v>4325000</v>
      </c>
      <c r="L123" s="141">
        <f>ROUND((JHAHN!L77*L122)/(TSG!L124-JHAHN!L77),-3)</f>
        <v>4325000</v>
      </c>
      <c r="M123" s="157">
        <f>J123+K123+L123</f>
        <v>12975000</v>
      </c>
      <c r="N123" s="141">
        <f>ROUND((JHAHN!N77*N122)/(TSG!N124-JHAHN!N77),-3)</f>
        <v>4325000</v>
      </c>
      <c r="O123" s="141">
        <f>ROUND((JHAHN!O77*O122)/(TSG!O124-JHAHN!O77),-3)</f>
        <v>4325000</v>
      </c>
      <c r="P123" s="141">
        <f>ROUND((JHAHN!P77*P122)/(TSG!P124-JHAHN!P77),-3)</f>
        <v>4325000</v>
      </c>
      <c r="Q123" s="157">
        <f>N123+O123+P123</f>
        <v>12975000</v>
      </c>
      <c r="R123" s="141">
        <f>ROUND((JHAHN!R77*R122)/(TSG!R124-JHAHN!R77),-3)</f>
        <v>4325000</v>
      </c>
      <c r="S123" s="141">
        <f>ROUND((JHAHN!S77*S122)/(TSG!S124-JHAHN!S77),-3)</f>
        <v>4325000</v>
      </c>
      <c r="T123" s="141">
        <f>ROUND((JHAHN!T77*T122)/(TSG!T124-JHAHN!T77),-3)</f>
        <v>4325000</v>
      </c>
      <c r="U123" s="157">
        <f>R123+S123+T123</f>
        <v>12975000</v>
      </c>
      <c r="V123" s="157">
        <f t="shared" ref="V123:V126" si="130">I123+M123+Q123+U123</f>
        <v>51946000</v>
      </c>
    </row>
    <row r="124" spans="1:22" ht="13.15">
      <c r="D124" s="104" t="s">
        <v>281</v>
      </c>
      <c r="F124" s="140">
        <f>F122+F123</f>
        <v>30893000</v>
      </c>
      <c r="G124" s="140">
        <f t="shared" ref="G124:H124" si="131">G122+G123</f>
        <v>30847000</v>
      </c>
      <c r="H124" s="140">
        <f t="shared" si="131"/>
        <v>30847000</v>
      </c>
      <c r="I124" s="157">
        <f t="shared" ref="I124:I126" si="132">F124+G124+H124</f>
        <v>92587000</v>
      </c>
      <c r="J124" s="140">
        <f>J122+J123</f>
        <v>30847000</v>
      </c>
      <c r="K124" s="140">
        <f t="shared" ref="K124:L124" si="133">K122+K123</f>
        <v>30847000</v>
      </c>
      <c r="L124" s="140">
        <f t="shared" si="133"/>
        <v>30847000</v>
      </c>
      <c r="M124" s="157">
        <f>J124+K124+L124</f>
        <v>92541000</v>
      </c>
      <c r="N124" s="140">
        <f>N122+N123</f>
        <v>30847000</v>
      </c>
      <c r="O124" s="140">
        <f t="shared" ref="O124:P124" si="134">O122+O123</f>
        <v>30847000</v>
      </c>
      <c r="P124" s="140">
        <f t="shared" si="134"/>
        <v>30847000</v>
      </c>
      <c r="Q124" s="157">
        <f t="shared" ref="Q124:Q126" si="135">N124+O124+P124</f>
        <v>92541000</v>
      </c>
      <c r="R124" s="140">
        <f>R122+R123</f>
        <v>30847000</v>
      </c>
      <c r="S124" s="140">
        <f t="shared" ref="S124:T124" si="136">S122+S123</f>
        <v>30847000</v>
      </c>
      <c r="T124" s="140">
        <f t="shared" si="136"/>
        <v>30847000</v>
      </c>
      <c r="U124" s="157">
        <f>R124+S124+T124</f>
        <v>92541000</v>
      </c>
      <c r="V124" s="157">
        <f t="shared" si="130"/>
        <v>370210000</v>
      </c>
    </row>
    <row r="125" spans="1:22" ht="13.15">
      <c r="D125" s="105" t="s">
        <v>207</v>
      </c>
      <c r="F125" s="141">
        <f>ROUND((간접!F124*F124)/(SDT!F124+TST!F124+TSG!F124),-3)</f>
        <v>9196000</v>
      </c>
      <c r="G125" s="141">
        <f>ROUND((간접!G124*G124)/(SDT!G122+TST!G124+TSG!G124),-3)</f>
        <v>9115000</v>
      </c>
      <c r="H125" s="141">
        <f>ROUND((간접!H124*H124)/(SDT!H122+TST!H124+TSG!H124),-3)</f>
        <v>9115000</v>
      </c>
      <c r="I125" s="157">
        <f t="shared" si="132"/>
        <v>27426000</v>
      </c>
      <c r="J125" s="141">
        <f>ROUND((간접!J124*J124)/(SDT!J122+TST!J124+TSG!J124),-3)</f>
        <v>9115000</v>
      </c>
      <c r="K125" s="141">
        <f>ROUND((간접!K124*K124)/(SDT!K122+TST!K124+TSG!K124),-3)</f>
        <v>9115000</v>
      </c>
      <c r="L125" s="141">
        <f>ROUND((간접!L124*L124)/(SDT!L122+TST!L124+TSG!L124),-3)</f>
        <v>9115000</v>
      </c>
      <c r="M125" s="157">
        <f t="shared" ref="M125:M126" si="137">J125+K125+L125</f>
        <v>27345000</v>
      </c>
      <c r="N125" s="141">
        <f>ROUND((간접!N124*N124)/(SDT!N122+TST!N124+TSG!N124),-3)</f>
        <v>9115000</v>
      </c>
      <c r="O125" s="141">
        <f>ROUND((간접!O124*O124)/(SDT!O122+TST!O124+TSG!O124),-3)</f>
        <v>9115000</v>
      </c>
      <c r="P125" s="141">
        <f>ROUND((간접!P124*P124)/(SDT!P122+TST!P124+TSG!P124),-3)</f>
        <v>9115000</v>
      </c>
      <c r="Q125" s="157">
        <f t="shared" si="135"/>
        <v>27345000</v>
      </c>
      <c r="R125" s="141">
        <f>ROUND((간접!R124*R124)/(SDT!R122+TST!R124+TSG!R124),-3)</f>
        <v>9115000</v>
      </c>
      <c r="S125" s="141">
        <f>ROUND((간접!S124*S124)/(SDT!S122+TST!S124+TSG!S124),-3)</f>
        <v>9115000</v>
      </c>
      <c r="T125" s="141">
        <f>ROUND((간접!T124*T124)/(SDT!T122+TST!T124+TSG!T124),-3)</f>
        <v>9115000</v>
      </c>
      <c r="U125" s="157">
        <f t="shared" ref="U125:U126" si="138">R125+S125+T125</f>
        <v>27345000</v>
      </c>
      <c r="V125" s="157">
        <f t="shared" si="130"/>
        <v>109461000</v>
      </c>
    </row>
    <row r="126" spans="1:22" ht="13.15">
      <c r="D126" s="105" t="s">
        <v>282</v>
      </c>
      <c r="F126" s="141">
        <f>F124+F125</f>
        <v>40089000</v>
      </c>
      <c r="G126" s="141">
        <f t="shared" ref="G126:H126" si="139">G124+G125</f>
        <v>39962000</v>
      </c>
      <c r="H126" s="141">
        <f t="shared" si="139"/>
        <v>39962000</v>
      </c>
      <c r="I126" s="157">
        <f t="shared" si="132"/>
        <v>120013000</v>
      </c>
      <c r="J126" s="141">
        <f>J124+J125</f>
        <v>39962000</v>
      </c>
      <c r="K126" s="141">
        <f t="shared" ref="K126:L126" si="140">K124+K125</f>
        <v>39962000</v>
      </c>
      <c r="L126" s="141">
        <f t="shared" si="140"/>
        <v>39962000</v>
      </c>
      <c r="M126" s="157">
        <f t="shared" si="137"/>
        <v>119886000</v>
      </c>
      <c r="N126" s="141">
        <f>N124+N125</f>
        <v>39962000</v>
      </c>
      <c r="O126" s="141">
        <f t="shared" ref="O126:P126" si="141">O124+O125</f>
        <v>39962000</v>
      </c>
      <c r="P126" s="141">
        <f t="shared" si="141"/>
        <v>39962000</v>
      </c>
      <c r="Q126" s="157">
        <f t="shared" si="135"/>
        <v>119886000</v>
      </c>
      <c r="R126" s="141">
        <f>R124+R125</f>
        <v>39962000</v>
      </c>
      <c r="S126" s="141">
        <f t="shared" ref="S126:T126" si="142">S124+S125</f>
        <v>39962000</v>
      </c>
      <c r="T126" s="141">
        <f t="shared" si="142"/>
        <v>39962000</v>
      </c>
      <c r="U126" s="157">
        <f t="shared" si="138"/>
        <v>119886000</v>
      </c>
      <c r="V126" s="157">
        <f t="shared" si="130"/>
        <v>479671000</v>
      </c>
    </row>
    <row r="127" spans="1:22" ht="13.15">
      <c r="D127" s="94" t="s">
        <v>209</v>
      </c>
      <c r="F127" s="142">
        <f>F126/(SDT!F126+TST!F126+TSG!F126)</f>
        <v>0.13734471677298671</v>
      </c>
      <c r="G127" s="142">
        <f>G126/(SDT!G126+TST!G126+TSG!G126)</f>
        <v>0.13698188748577461</v>
      </c>
      <c r="H127" s="142">
        <f>H126/(SDT!H126+TST!H126+TSG!H126)</f>
        <v>0.13698188748577461</v>
      </c>
      <c r="I127" s="158">
        <f>AVERAGE(F127:H127)</f>
        <v>0.13710283058151199</v>
      </c>
      <c r="J127" s="142">
        <f>J126/(SDT!J126+TST!J126+TSG!J126)</f>
        <v>0.13698188748577461</v>
      </c>
      <c r="K127" s="142">
        <f>K126/(SDT!K126+TST!K126+TSG!K126)</f>
        <v>0.13698188748577461</v>
      </c>
      <c r="L127" s="142">
        <f>L126/(SDT!L126+TST!L126+TSG!L126)</f>
        <v>0.13698188748577461</v>
      </c>
      <c r="M127" s="158">
        <f>AVERAGE(J127:L127)</f>
        <v>0.13698188748577461</v>
      </c>
      <c r="N127" s="142">
        <f>N126/(SDT!N126+TST!N126+TSG!N126)</f>
        <v>0.13698188748577461</v>
      </c>
      <c r="O127" s="142">
        <f>O126/(SDT!O126+TST!O126+TSG!O126)</f>
        <v>0.13698188748577461</v>
      </c>
      <c r="P127" s="142">
        <f>P126/(SDT!P126+TST!P126+TSG!P126)</f>
        <v>0.13698188748577461</v>
      </c>
      <c r="Q127" s="158">
        <f>AVERAGE(N127:P127)</f>
        <v>0.13698188748577461</v>
      </c>
      <c r="R127" s="142">
        <f>R126/(SDT!R126+TST!R126+TSG!R126)</f>
        <v>0.1366488512291284</v>
      </c>
      <c r="S127" s="142">
        <f>S126/(SDT!S126+TST!S126+TSG!S126)</f>
        <v>0.13698188748577461</v>
      </c>
      <c r="T127" s="142">
        <f>T126/(SDT!T126+TST!T126+TSG!T126)</f>
        <v>0.13698188748577461</v>
      </c>
      <c r="U127" s="158">
        <f>AVERAGE(R127:T127)</f>
        <v>0.13687087540022588</v>
      </c>
      <c r="V127" s="158">
        <f>AVERAGE(I127,M127,Q127,U127)</f>
        <v>0.13698437023832177</v>
      </c>
    </row>
    <row r="129" spans="6:6">
      <c r="F129" s="264"/>
    </row>
  </sheetData>
  <mergeCells count="17">
    <mergeCell ref="A3:D3"/>
    <mergeCell ref="A4:A11"/>
    <mergeCell ref="B5:B10"/>
    <mergeCell ref="A12:D12"/>
    <mergeCell ref="A14:D14"/>
    <mergeCell ref="C24:D24"/>
    <mergeCell ref="C23:D23"/>
    <mergeCell ref="A116:D116"/>
    <mergeCell ref="C117:D117"/>
    <mergeCell ref="C29:D29"/>
    <mergeCell ref="A15:A25"/>
    <mergeCell ref="C15:D15"/>
    <mergeCell ref="C21:D21"/>
    <mergeCell ref="C22:D22"/>
    <mergeCell ref="C25:D25"/>
    <mergeCell ref="A26:D26"/>
    <mergeCell ref="A28:D28"/>
  </mergeCells>
  <phoneticPr fontId="8" type="noConversion"/>
  <pageMargins left="0.59055118110236227" right="0.39370078740157483" top="0.78740157480314965" bottom="0.39370078740157483" header="0.31496062992125984" footer="0.51181102362204722"/>
  <pageSetup scale="10" fitToHeight="2" orientation="portrait" r:id="rId1"/>
  <headerFooter alignWithMargins="0">
    <oddHeader>&amp;L&amp;Z&amp;F&amp;A</oddHead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U127"/>
  <sheetViews>
    <sheetView workbookViewId="0">
      <pane xSplit="4" ySplit="2" topLeftCell="F50" activePane="bottomRight" state="frozen"/>
      <selection pane="topRight" activeCell="E1" sqref="E1"/>
      <selection pane="bottomLeft" activeCell="A3" sqref="A3"/>
      <selection pane="bottomRight" activeCell="U71" sqref="U71"/>
    </sheetView>
  </sheetViews>
  <sheetFormatPr defaultColWidth="8.87890625" defaultRowHeight="12.75" outlineLevelRow="2" outlineLevelCol="1"/>
  <cols>
    <col min="1" max="3" width="1.3515625" style="3" customWidth="1"/>
    <col min="4" max="4" width="21.1171875" style="3" customWidth="1"/>
    <col min="5" max="5" width="1.64453125" style="7" customWidth="1"/>
    <col min="6" max="6" width="10.234375" style="3" customWidth="1" outlineLevel="1"/>
    <col min="7" max="8" width="10.87890625" style="3" customWidth="1" outlineLevel="1"/>
    <col min="9" max="9" width="10.87890625" style="3" bestFit="1" customWidth="1"/>
    <col min="10" max="10" width="10.234375" style="3" customWidth="1" outlineLevel="1"/>
    <col min="11" max="12" width="10.87890625" style="3" customWidth="1" outlineLevel="1"/>
    <col min="13" max="13" width="10.87890625" style="3" bestFit="1" customWidth="1"/>
    <col min="14" max="14" width="10.234375" style="3" customWidth="1" outlineLevel="1"/>
    <col min="15" max="16" width="10.87890625" style="3" customWidth="1" outlineLevel="1"/>
    <col min="17" max="17" width="10.87890625" style="3" bestFit="1" customWidth="1"/>
    <col min="18" max="20" width="10.234375" style="3" customWidth="1" outlineLevel="1"/>
    <col min="21" max="22" width="10.87890625" style="3" bestFit="1" customWidth="1"/>
    <col min="23" max="16384" width="8.87890625" style="3"/>
  </cols>
  <sheetData>
    <row r="1" spans="1:47" ht="13.9" thickBot="1">
      <c r="A1" s="1"/>
      <c r="B1" s="1"/>
      <c r="C1" s="1"/>
      <c r="D1" s="38"/>
      <c r="E1" s="2"/>
      <c r="F1" s="18" t="s">
        <v>69</v>
      </c>
      <c r="G1" s="18" t="s">
        <v>70</v>
      </c>
      <c r="H1" s="18" t="s">
        <v>71</v>
      </c>
      <c r="I1" s="18" t="s">
        <v>72</v>
      </c>
      <c r="J1" s="18" t="s">
        <v>74</v>
      </c>
      <c r="K1" s="18" t="s">
        <v>75</v>
      </c>
      <c r="L1" s="18" t="s">
        <v>76</v>
      </c>
      <c r="M1" s="18" t="s">
        <v>77</v>
      </c>
      <c r="N1" s="18" t="s">
        <v>80</v>
      </c>
      <c r="O1" s="18" t="s">
        <v>81</v>
      </c>
      <c r="P1" s="18" t="s">
        <v>82</v>
      </c>
      <c r="Q1" s="18" t="s">
        <v>83</v>
      </c>
      <c r="R1" s="18" t="s">
        <v>88</v>
      </c>
      <c r="S1" s="18" t="s">
        <v>91</v>
      </c>
      <c r="T1" s="18" t="s">
        <v>92</v>
      </c>
      <c r="U1" s="18" t="s">
        <v>89</v>
      </c>
      <c r="V1" s="18">
        <v>2026</v>
      </c>
      <c r="AU1" s="4"/>
    </row>
    <row r="2" spans="1:47" ht="13.5" thickBot="1">
      <c r="A2" s="5"/>
      <c r="B2" s="5"/>
      <c r="C2" s="5"/>
      <c r="D2" s="6"/>
      <c r="E2" s="2"/>
      <c r="F2" s="110" t="s">
        <v>24</v>
      </c>
      <c r="G2" s="110" t="s">
        <v>24</v>
      </c>
      <c r="H2" s="110" t="s">
        <v>24</v>
      </c>
      <c r="I2" s="137" t="s">
        <v>25</v>
      </c>
      <c r="J2" s="110" t="s">
        <v>24</v>
      </c>
      <c r="K2" s="110" t="s">
        <v>24</v>
      </c>
      <c r="L2" s="110" t="s">
        <v>24</v>
      </c>
      <c r="M2" s="137" t="s">
        <v>25</v>
      </c>
      <c r="N2" s="110" t="s">
        <v>24</v>
      </c>
      <c r="O2" s="110" t="s">
        <v>24</v>
      </c>
      <c r="P2" s="110" t="s">
        <v>24</v>
      </c>
      <c r="Q2" s="137" t="s">
        <v>25</v>
      </c>
      <c r="R2" s="110" t="s">
        <v>24</v>
      </c>
      <c r="S2" s="110" t="s">
        <v>24</v>
      </c>
      <c r="T2" s="110" t="s">
        <v>24</v>
      </c>
      <c r="U2" s="137" t="s">
        <v>25</v>
      </c>
      <c r="V2" s="137" t="s">
        <v>25</v>
      </c>
    </row>
    <row r="3" spans="1:47" s="111" customFormat="1" ht="12.75" customHeight="1">
      <c r="A3" s="447" t="s">
        <v>159</v>
      </c>
      <c r="B3" s="448"/>
      <c r="C3" s="448"/>
      <c r="D3" s="449"/>
      <c r="E3" s="2"/>
      <c r="F3" s="133"/>
      <c r="G3" s="133"/>
      <c r="H3" s="133"/>
      <c r="I3" s="34"/>
      <c r="J3" s="133"/>
      <c r="K3" s="133"/>
      <c r="L3" s="133"/>
      <c r="M3" s="34"/>
      <c r="N3" s="133"/>
      <c r="O3" s="133"/>
      <c r="P3" s="133"/>
      <c r="Q3" s="34"/>
      <c r="R3" s="133"/>
      <c r="S3" s="133"/>
      <c r="T3" s="133"/>
      <c r="U3" s="34"/>
      <c r="V3" s="134"/>
    </row>
    <row r="4" spans="1:47" s="111" customFormat="1" ht="12.75" customHeight="1">
      <c r="A4" s="450"/>
      <c r="B4" s="112" t="s">
        <v>160</v>
      </c>
      <c r="C4" s="112"/>
      <c r="D4" s="113"/>
      <c r="E4" s="2"/>
      <c r="F4" s="43"/>
      <c r="G4" s="43"/>
      <c r="H4" s="43"/>
      <c r="I4" s="34"/>
      <c r="J4" s="43"/>
      <c r="K4" s="43"/>
      <c r="L4" s="43"/>
      <c r="M4" s="34"/>
      <c r="N4" s="43"/>
      <c r="O4" s="43"/>
      <c r="P4" s="43"/>
      <c r="Q4" s="34"/>
      <c r="R4" s="43"/>
      <c r="S4" s="43"/>
      <c r="T4" s="43"/>
      <c r="U4" s="34"/>
      <c r="V4" s="34"/>
    </row>
    <row r="5" spans="1:47" s="111" customFormat="1" ht="12.75" customHeight="1" outlineLevel="1">
      <c r="A5" s="450"/>
      <c r="B5" s="451"/>
      <c r="C5" s="114"/>
      <c r="D5" s="115" t="s">
        <v>161</v>
      </c>
      <c r="E5" s="7">
        <v>1</v>
      </c>
      <c r="F5" s="43"/>
      <c r="G5" s="43"/>
      <c r="H5" s="43"/>
      <c r="I5" s="34">
        <f t="shared" ref="I5:I10" si="0">H5+G5+F5</f>
        <v>0</v>
      </c>
      <c r="J5" s="43"/>
      <c r="K5" s="43"/>
      <c r="L5" s="43"/>
      <c r="M5" s="34">
        <f t="shared" ref="M5:M10" si="1">L5+K5+J5</f>
        <v>0</v>
      </c>
      <c r="N5" s="43"/>
      <c r="O5" s="43"/>
      <c r="P5" s="43"/>
      <c r="Q5" s="34">
        <f t="shared" ref="Q5:Q10" si="2">P5+O5+N5</f>
        <v>0</v>
      </c>
      <c r="R5" s="43"/>
      <c r="S5" s="43"/>
      <c r="T5" s="43"/>
      <c r="U5" s="34">
        <f t="shared" ref="U5:U10" si="3">T5+S5+R5</f>
        <v>0</v>
      </c>
      <c r="V5" s="34">
        <f t="shared" ref="V5:V10" si="4">U5+Q5+M5+I5</f>
        <v>0</v>
      </c>
    </row>
    <row r="6" spans="1:47" s="111" customFormat="1" ht="12.75" customHeight="1" outlineLevel="1">
      <c r="A6" s="450"/>
      <c r="B6" s="451"/>
      <c r="C6" s="116"/>
      <c r="D6" s="117" t="s">
        <v>162</v>
      </c>
      <c r="E6" s="7">
        <v>1</v>
      </c>
      <c r="F6" s="43">
        <v>0</v>
      </c>
      <c r="G6" s="43"/>
      <c r="H6" s="43"/>
      <c r="I6" s="34">
        <f t="shared" si="0"/>
        <v>0</v>
      </c>
      <c r="J6" s="43"/>
      <c r="K6" s="43"/>
      <c r="L6" s="43"/>
      <c r="M6" s="34">
        <f t="shared" si="1"/>
        <v>0</v>
      </c>
      <c r="N6" s="43"/>
      <c r="O6" s="43"/>
      <c r="P6" s="43"/>
      <c r="Q6" s="34">
        <f t="shared" si="2"/>
        <v>0</v>
      </c>
      <c r="R6" s="43"/>
      <c r="S6" s="43"/>
      <c r="T6" s="43"/>
      <c r="U6" s="34">
        <f t="shared" si="3"/>
        <v>0</v>
      </c>
      <c r="V6" s="34">
        <f t="shared" si="4"/>
        <v>0</v>
      </c>
    </row>
    <row r="7" spans="1:47" s="111" customFormat="1" ht="12.75" customHeight="1" outlineLevel="1">
      <c r="A7" s="450"/>
      <c r="B7" s="451"/>
      <c r="C7" s="116"/>
      <c r="D7" s="117" t="s">
        <v>163</v>
      </c>
      <c r="E7" s="7">
        <v>1</v>
      </c>
      <c r="F7" s="43"/>
      <c r="G7" s="43"/>
      <c r="H7" s="43"/>
      <c r="I7" s="34">
        <f t="shared" si="0"/>
        <v>0</v>
      </c>
      <c r="J7" s="43"/>
      <c r="K7" s="43"/>
      <c r="L7" s="43"/>
      <c r="M7" s="34">
        <f t="shared" si="1"/>
        <v>0</v>
      </c>
      <c r="N7" s="43"/>
      <c r="O7" s="43"/>
      <c r="P7" s="43"/>
      <c r="Q7" s="34">
        <f t="shared" si="2"/>
        <v>0</v>
      </c>
      <c r="R7" s="43"/>
      <c r="S7" s="43"/>
      <c r="T7" s="43"/>
      <c r="U7" s="34">
        <f t="shared" si="3"/>
        <v>0</v>
      </c>
      <c r="V7" s="34">
        <f t="shared" si="4"/>
        <v>0</v>
      </c>
    </row>
    <row r="8" spans="1:47" s="111" customFormat="1" ht="12.75" customHeight="1" outlineLevel="1">
      <c r="A8" s="450"/>
      <c r="B8" s="451"/>
      <c r="C8" s="116"/>
      <c r="D8" s="118" t="s">
        <v>164</v>
      </c>
      <c r="E8" s="7"/>
      <c r="F8" s="43"/>
      <c r="G8" s="43"/>
      <c r="H8" s="43"/>
      <c r="I8" s="34">
        <f t="shared" si="0"/>
        <v>0</v>
      </c>
      <c r="J8" s="43"/>
      <c r="K8" s="43"/>
      <c r="L8" s="43"/>
      <c r="M8" s="34">
        <f t="shared" si="1"/>
        <v>0</v>
      </c>
      <c r="N8" s="43"/>
      <c r="O8" s="43"/>
      <c r="P8" s="43"/>
      <c r="Q8" s="34">
        <f t="shared" si="2"/>
        <v>0</v>
      </c>
      <c r="R8" s="43"/>
      <c r="S8" s="43"/>
      <c r="T8" s="43"/>
      <c r="U8" s="34">
        <f t="shared" si="3"/>
        <v>0</v>
      </c>
      <c r="V8" s="34">
        <f t="shared" si="4"/>
        <v>0</v>
      </c>
    </row>
    <row r="9" spans="1:47" s="111" customFormat="1" ht="12.75" customHeight="1" outlineLevel="1">
      <c r="A9" s="450"/>
      <c r="B9" s="451"/>
      <c r="C9" s="116"/>
      <c r="D9" s="117" t="s">
        <v>166</v>
      </c>
      <c r="E9" s="7"/>
      <c r="F9" s="43"/>
      <c r="G9" s="43">
        <v>1000000</v>
      </c>
      <c r="H9" s="43">
        <v>1000000</v>
      </c>
      <c r="I9" s="34">
        <f t="shared" si="0"/>
        <v>2000000</v>
      </c>
      <c r="J9" s="43">
        <v>1000000</v>
      </c>
      <c r="K9" s="43">
        <v>1000000</v>
      </c>
      <c r="L9" s="43">
        <v>1000000</v>
      </c>
      <c r="M9" s="34">
        <f t="shared" si="1"/>
        <v>3000000</v>
      </c>
      <c r="N9" s="43">
        <v>1000000</v>
      </c>
      <c r="O9" s="43">
        <v>1000000</v>
      </c>
      <c r="P9" s="43">
        <v>1000000</v>
      </c>
      <c r="Q9" s="34">
        <f t="shared" si="2"/>
        <v>3000000</v>
      </c>
      <c r="R9" s="43">
        <v>1000000</v>
      </c>
      <c r="S9" s="43">
        <v>1000000</v>
      </c>
      <c r="T9" s="43">
        <v>1000000</v>
      </c>
      <c r="U9" s="34">
        <f t="shared" si="3"/>
        <v>3000000</v>
      </c>
      <c r="V9" s="34">
        <f t="shared" si="4"/>
        <v>11000000</v>
      </c>
    </row>
    <row r="10" spans="1:47" s="111" customFormat="1" ht="12.75" customHeight="1" outlineLevel="1">
      <c r="A10" s="450"/>
      <c r="B10" s="451"/>
      <c r="C10" s="116"/>
      <c r="D10" s="117" t="s">
        <v>165</v>
      </c>
      <c r="E10" s="7"/>
      <c r="F10" s="43"/>
      <c r="G10" s="43"/>
      <c r="H10" s="43"/>
      <c r="I10" s="34">
        <f t="shared" si="0"/>
        <v>0</v>
      </c>
      <c r="J10" s="43"/>
      <c r="K10" s="43"/>
      <c r="L10" s="43"/>
      <c r="M10" s="34">
        <f t="shared" si="1"/>
        <v>0</v>
      </c>
      <c r="N10" s="43"/>
      <c r="O10" s="43"/>
      <c r="P10" s="43"/>
      <c r="Q10" s="34">
        <f t="shared" si="2"/>
        <v>0</v>
      </c>
      <c r="R10" s="43"/>
      <c r="S10" s="43"/>
      <c r="T10" s="43"/>
      <c r="U10" s="34">
        <f t="shared" si="3"/>
        <v>0</v>
      </c>
      <c r="V10" s="34">
        <f t="shared" si="4"/>
        <v>0</v>
      </c>
    </row>
    <row r="11" spans="1:47" s="111" customFormat="1" ht="6.75" customHeight="1">
      <c r="A11" s="450"/>
      <c r="B11" s="4"/>
      <c r="C11" s="4"/>
      <c r="D11" s="119"/>
      <c r="E11" s="120"/>
      <c r="F11" s="43"/>
      <c r="G11" s="43"/>
      <c r="H11" s="43"/>
      <c r="I11" s="34"/>
      <c r="J11" s="43"/>
      <c r="K11" s="43"/>
      <c r="L11" s="43"/>
      <c r="M11" s="34"/>
      <c r="N11" s="43"/>
      <c r="O11" s="43"/>
      <c r="P11" s="43"/>
      <c r="Q11" s="34"/>
      <c r="R11" s="43"/>
      <c r="S11" s="43"/>
      <c r="T11" s="43"/>
      <c r="U11" s="34"/>
      <c r="V11" s="34"/>
    </row>
    <row r="12" spans="1:47" s="111" customFormat="1" ht="12.75" customHeight="1">
      <c r="A12" s="447" t="s">
        <v>167</v>
      </c>
      <c r="B12" s="448"/>
      <c r="C12" s="448"/>
      <c r="D12" s="449"/>
      <c r="E12" s="8"/>
      <c r="F12" s="44">
        <f t="shared" ref="F12:Q12" si="5">SUM(F5:F10)</f>
        <v>0</v>
      </c>
      <c r="G12" s="44">
        <f t="shared" si="5"/>
        <v>1000000</v>
      </c>
      <c r="H12" s="44">
        <f t="shared" ref="H12" si="6">SUM(H5:H10)</f>
        <v>1000000</v>
      </c>
      <c r="I12" s="35">
        <f t="shared" si="5"/>
        <v>2000000</v>
      </c>
      <c r="J12" s="44">
        <f t="shared" ref="J12:L12" si="7">SUM(J5:J10)</f>
        <v>1000000</v>
      </c>
      <c r="K12" s="44">
        <f t="shared" si="7"/>
        <v>1000000</v>
      </c>
      <c r="L12" s="44">
        <f t="shared" si="7"/>
        <v>1000000</v>
      </c>
      <c r="M12" s="35">
        <f t="shared" si="5"/>
        <v>3000000</v>
      </c>
      <c r="N12" s="44">
        <f t="shared" ref="N12:P12" si="8">SUM(N5:N10)</f>
        <v>1000000</v>
      </c>
      <c r="O12" s="44">
        <f t="shared" si="8"/>
        <v>1000000</v>
      </c>
      <c r="P12" s="44">
        <f t="shared" si="8"/>
        <v>1000000</v>
      </c>
      <c r="Q12" s="35">
        <f t="shared" si="5"/>
        <v>3000000</v>
      </c>
      <c r="R12" s="44">
        <f t="shared" ref="R12:T12" si="9">SUM(R5:R10)</f>
        <v>1000000</v>
      </c>
      <c r="S12" s="44">
        <f t="shared" si="9"/>
        <v>1000000</v>
      </c>
      <c r="T12" s="44">
        <f t="shared" si="9"/>
        <v>1000000</v>
      </c>
      <c r="U12" s="35">
        <f t="shared" ref="U12:V12" si="10">SUM(U5:U10)</f>
        <v>3000000</v>
      </c>
      <c r="V12" s="35">
        <f t="shared" si="10"/>
        <v>11000000</v>
      </c>
    </row>
    <row r="13" spans="1:47" s="111" customFormat="1" ht="5.25" customHeight="1">
      <c r="A13" s="121"/>
      <c r="B13" s="3"/>
      <c r="C13" s="3"/>
      <c r="D13" s="119"/>
      <c r="E13" s="4"/>
      <c r="F13" s="43"/>
      <c r="G13" s="43"/>
      <c r="H13" s="43"/>
      <c r="I13" s="34"/>
      <c r="J13" s="43"/>
      <c r="K13" s="43"/>
      <c r="L13" s="43"/>
      <c r="M13" s="34"/>
      <c r="N13" s="43"/>
      <c r="O13" s="43"/>
      <c r="P13" s="43"/>
      <c r="Q13" s="34"/>
      <c r="R13" s="43"/>
      <c r="S13" s="43"/>
      <c r="T13" s="43"/>
      <c r="U13" s="34"/>
      <c r="V13" s="34"/>
    </row>
    <row r="14" spans="1:47" s="111" customFormat="1" ht="12.75" customHeight="1">
      <c r="A14" s="452" t="s">
        <v>168</v>
      </c>
      <c r="B14" s="453"/>
      <c r="C14" s="453"/>
      <c r="D14" s="454"/>
      <c r="E14" s="7"/>
      <c r="F14" s="43"/>
      <c r="G14" s="43"/>
      <c r="H14" s="43"/>
      <c r="I14" s="34"/>
      <c r="J14" s="43"/>
      <c r="K14" s="43"/>
      <c r="L14" s="43"/>
      <c r="M14" s="34"/>
      <c r="N14" s="43"/>
      <c r="O14" s="43"/>
      <c r="P14" s="43"/>
      <c r="Q14" s="34"/>
      <c r="R14" s="43"/>
      <c r="S14" s="43"/>
      <c r="T14" s="43"/>
      <c r="U14" s="34"/>
      <c r="V14" s="34"/>
    </row>
    <row r="15" spans="1:47" s="111" customFormat="1" ht="12.75" customHeight="1" outlineLevel="1">
      <c r="A15" s="465"/>
      <c r="B15" s="3"/>
      <c r="C15" s="466" t="s">
        <v>169</v>
      </c>
      <c r="D15" s="467"/>
      <c r="E15" s="7"/>
      <c r="F15" s="43"/>
      <c r="G15" s="43"/>
      <c r="H15" s="43"/>
      <c r="I15" s="34"/>
      <c r="J15" s="43"/>
      <c r="K15" s="43"/>
      <c r="L15" s="43"/>
      <c r="M15" s="34"/>
      <c r="N15" s="43"/>
      <c r="O15" s="43"/>
      <c r="P15" s="43"/>
      <c r="Q15" s="34"/>
      <c r="R15" s="43"/>
      <c r="S15" s="43"/>
      <c r="T15" s="43"/>
      <c r="U15" s="34"/>
      <c r="V15" s="34"/>
    </row>
    <row r="16" spans="1:47" s="111" customFormat="1" ht="12.75" customHeight="1" outlineLevel="1">
      <c r="A16" s="465"/>
      <c r="B16" s="3"/>
      <c r="C16" s="116"/>
      <c r="D16" s="117" t="s">
        <v>170</v>
      </c>
      <c r="E16" s="7">
        <v>0</v>
      </c>
      <c r="F16" s="43"/>
      <c r="G16" s="43"/>
      <c r="H16" s="43"/>
      <c r="I16" s="34">
        <f t="shared" ref="I16:I22" si="11">H16+G16+F16</f>
        <v>0</v>
      </c>
      <c r="J16" s="43"/>
      <c r="K16" s="43"/>
      <c r="L16" s="43"/>
      <c r="M16" s="34">
        <f t="shared" ref="M16:M22" si="12">L16+K16+J16</f>
        <v>0</v>
      </c>
      <c r="N16" s="43"/>
      <c r="O16" s="43"/>
      <c r="P16" s="43"/>
      <c r="Q16" s="34">
        <f t="shared" ref="Q16:Q22" si="13">P16+O16+N16</f>
        <v>0</v>
      </c>
      <c r="R16" s="43"/>
      <c r="S16" s="43"/>
      <c r="T16" s="43"/>
      <c r="U16" s="34">
        <f t="shared" ref="U16:U22" si="14">T16+S16+R16</f>
        <v>0</v>
      </c>
      <c r="V16" s="34">
        <f t="shared" ref="V16:V22" si="15">U16+Q16+M16+I16</f>
        <v>0</v>
      </c>
    </row>
    <row r="17" spans="1:22" s="111" customFormat="1" ht="12.75" customHeight="1" outlineLevel="1">
      <c r="A17" s="465"/>
      <c r="B17" s="3"/>
      <c r="C17" s="116"/>
      <c r="D17" s="117" t="s">
        <v>172</v>
      </c>
      <c r="E17" s="7"/>
      <c r="F17" s="43"/>
      <c r="G17" s="43"/>
      <c r="H17" s="43"/>
      <c r="I17" s="34">
        <f t="shared" si="11"/>
        <v>0</v>
      </c>
      <c r="J17" s="43"/>
      <c r="K17" s="43"/>
      <c r="L17" s="43"/>
      <c r="M17" s="34">
        <f t="shared" si="12"/>
        <v>0</v>
      </c>
      <c r="N17" s="43"/>
      <c r="O17" s="43"/>
      <c r="P17" s="43"/>
      <c r="Q17" s="34">
        <f t="shared" si="13"/>
        <v>0</v>
      </c>
      <c r="R17" s="43"/>
      <c r="S17" s="43"/>
      <c r="T17" s="43"/>
      <c r="U17" s="34">
        <f t="shared" si="14"/>
        <v>0</v>
      </c>
      <c r="V17" s="34">
        <f t="shared" si="15"/>
        <v>0</v>
      </c>
    </row>
    <row r="18" spans="1:22" s="111" customFormat="1" ht="12.75" customHeight="1" outlineLevel="1">
      <c r="A18" s="465"/>
      <c r="B18" s="3"/>
      <c r="C18" s="116"/>
      <c r="D18" s="117" t="s">
        <v>294</v>
      </c>
      <c r="E18" s="7"/>
      <c r="F18" s="43"/>
      <c r="G18" s="43"/>
      <c r="H18" s="43"/>
      <c r="I18" s="34">
        <f t="shared" si="11"/>
        <v>0</v>
      </c>
      <c r="J18" s="43"/>
      <c r="K18" s="43"/>
      <c r="L18" s="43"/>
      <c r="M18" s="34">
        <f t="shared" si="12"/>
        <v>0</v>
      </c>
      <c r="N18" s="43"/>
      <c r="O18" s="43"/>
      <c r="P18" s="43"/>
      <c r="Q18" s="34">
        <f t="shared" si="13"/>
        <v>0</v>
      </c>
      <c r="R18" s="43"/>
      <c r="S18" s="43"/>
      <c r="T18" s="43"/>
      <c r="U18" s="34">
        <f t="shared" si="14"/>
        <v>0</v>
      </c>
      <c r="V18" s="34">
        <f t="shared" si="15"/>
        <v>0</v>
      </c>
    </row>
    <row r="19" spans="1:22" s="111" customFormat="1" ht="12.75" customHeight="1" outlineLevel="1">
      <c r="A19" s="465"/>
      <c r="B19" s="3"/>
      <c r="C19" s="116"/>
      <c r="D19" s="117" t="s">
        <v>173</v>
      </c>
      <c r="E19" s="7"/>
      <c r="F19" s="43"/>
      <c r="G19" s="43"/>
      <c r="H19" s="43"/>
      <c r="I19" s="34">
        <f t="shared" si="11"/>
        <v>0</v>
      </c>
      <c r="J19" s="43"/>
      <c r="K19" s="43"/>
      <c r="L19" s="43"/>
      <c r="M19" s="34">
        <f t="shared" si="12"/>
        <v>0</v>
      </c>
      <c r="N19" s="43"/>
      <c r="O19" s="43"/>
      <c r="P19" s="43"/>
      <c r="Q19" s="34">
        <f t="shared" si="13"/>
        <v>0</v>
      </c>
      <c r="R19" s="43"/>
      <c r="S19" s="43"/>
      <c r="T19" s="43"/>
      <c r="U19" s="34">
        <f t="shared" si="14"/>
        <v>0</v>
      </c>
      <c r="V19" s="34">
        <f t="shared" si="15"/>
        <v>0</v>
      </c>
    </row>
    <row r="20" spans="1:22" s="111" customFormat="1" ht="12.75" customHeight="1" outlineLevel="1">
      <c r="A20" s="465"/>
      <c r="B20" s="3"/>
      <c r="C20" s="116"/>
      <c r="D20" s="118" t="s">
        <v>174</v>
      </c>
      <c r="E20" s="7">
        <v>0</v>
      </c>
      <c r="F20" s="43"/>
      <c r="G20" s="43"/>
      <c r="H20" s="43"/>
      <c r="I20" s="34">
        <f t="shared" si="11"/>
        <v>0</v>
      </c>
      <c r="J20" s="43"/>
      <c r="K20" s="43"/>
      <c r="L20" s="43"/>
      <c r="M20" s="34">
        <f t="shared" si="12"/>
        <v>0</v>
      </c>
      <c r="N20" s="43"/>
      <c r="O20" s="43"/>
      <c r="P20" s="43"/>
      <c r="Q20" s="34">
        <f t="shared" si="13"/>
        <v>0</v>
      </c>
      <c r="R20" s="43"/>
      <c r="S20" s="43"/>
      <c r="T20" s="43"/>
      <c r="U20" s="34">
        <f t="shared" si="14"/>
        <v>0</v>
      </c>
      <c r="V20" s="34">
        <f t="shared" si="15"/>
        <v>0</v>
      </c>
    </row>
    <row r="21" spans="1:22" s="111" customFormat="1" ht="12.75" customHeight="1" outlineLevel="1">
      <c r="A21" s="465"/>
      <c r="B21" s="3"/>
      <c r="C21" s="468" t="s">
        <v>175</v>
      </c>
      <c r="D21" s="469"/>
      <c r="E21" s="7"/>
      <c r="F21" s="43"/>
      <c r="G21" s="43"/>
      <c r="H21" s="43"/>
      <c r="I21" s="34">
        <f t="shared" si="11"/>
        <v>0</v>
      </c>
      <c r="J21" s="43"/>
      <c r="K21" s="43"/>
      <c r="L21" s="43"/>
      <c r="M21" s="34">
        <f t="shared" si="12"/>
        <v>0</v>
      </c>
      <c r="N21" s="43"/>
      <c r="O21" s="43"/>
      <c r="P21" s="43"/>
      <c r="Q21" s="34">
        <f t="shared" si="13"/>
        <v>0</v>
      </c>
      <c r="R21" s="43"/>
      <c r="S21" s="43"/>
      <c r="T21" s="43"/>
      <c r="U21" s="34">
        <f t="shared" si="14"/>
        <v>0</v>
      </c>
      <c r="V21" s="34">
        <f t="shared" si="15"/>
        <v>0</v>
      </c>
    </row>
    <row r="22" spans="1:22" s="111" customFormat="1" ht="12.75" customHeight="1" outlineLevel="1">
      <c r="A22" s="465"/>
      <c r="B22" s="3"/>
      <c r="C22" s="468" t="s">
        <v>176</v>
      </c>
      <c r="D22" s="469"/>
      <c r="E22" s="7"/>
      <c r="F22" s="43"/>
      <c r="G22" s="43"/>
      <c r="H22" s="43"/>
      <c r="I22" s="34">
        <f t="shared" si="11"/>
        <v>0</v>
      </c>
      <c r="J22" s="43"/>
      <c r="K22" s="43"/>
      <c r="L22" s="43"/>
      <c r="M22" s="34">
        <f t="shared" si="12"/>
        <v>0</v>
      </c>
      <c r="N22" s="43"/>
      <c r="O22" s="43"/>
      <c r="P22" s="43"/>
      <c r="Q22" s="34">
        <f t="shared" si="13"/>
        <v>0</v>
      </c>
      <c r="R22" s="43"/>
      <c r="S22" s="43"/>
      <c r="T22" s="43"/>
      <c r="U22" s="34">
        <f t="shared" si="14"/>
        <v>0</v>
      </c>
      <c r="V22" s="34">
        <f t="shared" si="15"/>
        <v>0</v>
      </c>
    </row>
    <row r="23" spans="1:22" s="111" customFormat="1" ht="12.75" customHeight="1" outlineLevel="1">
      <c r="A23" s="465"/>
      <c r="B23" s="3"/>
      <c r="C23" s="457" t="s">
        <v>203</v>
      </c>
      <c r="D23" s="470"/>
      <c r="E23" s="7"/>
      <c r="F23" s="96"/>
      <c r="G23" s="96"/>
      <c r="H23" s="96"/>
      <c r="I23" s="34">
        <f>H23+G23+F23</f>
        <v>0</v>
      </c>
      <c r="J23" s="96"/>
      <c r="K23" s="96"/>
      <c r="L23" s="96"/>
      <c r="M23" s="34">
        <f>L23+K23+J23</f>
        <v>0</v>
      </c>
      <c r="N23" s="96"/>
      <c r="O23" s="96"/>
      <c r="P23" s="96"/>
      <c r="Q23" s="34">
        <f>P23+O23+N23</f>
        <v>0</v>
      </c>
      <c r="R23" s="96"/>
      <c r="S23" s="96"/>
      <c r="T23" s="96"/>
      <c r="U23" s="34">
        <f>T23+S23+R23</f>
        <v>0</v>
      </c>
      <c r="V23" s="34">
        <f>U23+Q23+M23+I23</f>
        <v>0</v>
      </c>
    </row>
    <row r="24" spans="1:22" s="111" customFormat="1" ht="12.75" customHeight="1" outlineLevel="1">
      <c r="A24" s="465"/>
      <c r="B24" s="3"/>
      <c r="C24" s="457" t="s">
        <v>184</v>
      </c>
      <c r="D24" s="458"/>
      <c r="E24" s="7"/>
      <c r="F24" s="96"/>
      <c r="G24" s="96"/>
      <c r="H24" s="96"/>
      <c r="I24" s="34">
        <f t="shared" ref="I24:I25" si="16">H24+G24+F24</f>
        <v>0</v>
      </c>
      <c r="J24" s="96"/>
      <c r="K24" s="96"/>
      <c r="L24" s="96"/>
      <c r="M24" s="34">
        <f t="shared" ref="M24:M25" si="17">L24+K24+J24</f>
        <v>0</v>
      </c>
      <c r="N24" s="96"/>
      <c r="O24" s="96"/>
      <c r="P24" s="96"/>
      <c r="Q24" s="34">
        <f t="shared" ref="Q24:Q25" si="18">P24+O24+N24</f>
        <v>0</v>
      </c>
      <c r="R24" s="96"/>
      <c r="S24" s="96"/>
      <c r="T24" s="96"/>
      <c r="U24" s="34">
        <f t="shared" ref="U24:U25" si="19">T24+S24+R24</f>
        <v>0</v>
      </c>
      <c r="V24" s="34">
        <f t="shared" ref="V24:V25" si="20">U24+Q24+M24+I24</f>
        <v>0</v>
      </c>
    </row>
    <row r="25" spans="1:22" s="111" customFormat="1" ht="12.75" customHeight="1" outlineLevel="1">
      <c r="A25" s="465"/>
      <c r="B25" s="3"/>
      <c r="C25" s="457" t="s">
        <v>183</v>
      </c>
      <c r="D25" s="458"/>
      <c r="E25" s="7">
        <v>0</v>
      </c>
      <c r="F25" s="43"/>
      <c r="G25" s="43"/>
      <c r="H25" s="43"/>
      <c r="I25" s="34">
        <f t="shared" si="16"/>
        <v>0</v>
      </c>
      <c r="J25" s="43"/>
      <c r="K25" s="43"/>
      <c r="L25" s="43"/>
      <c r="M25" s="34">
        <f t="shared" si="17"/>
        <v>0</v>
      </c>
      <c r="N25" s="43"/>
      <c r="O25" s="43"/>
      <c r="P25" s="43"/>
      <c r="Q25" s="34">
        <f t="shared" si="18"/>
        <v>0</v>
      </c>
      <c r="R25" s="43"/>
      <c r="S25" s="43"/>
      <c r="T25" s="43"/>
      <c r="U25" s="34">
        <f t="shared" si="19"/>
        <v>0</v>
      </c>
      <c r="V25" s="34">
        <f t="shared" si="20"/>
        <v>0</v>
      </c>
    </row>
    <row r="26" spans="1:22" s="111" customFormat="1" ht="12.75" customHeight="1">
      <c r="A26" s="459" t="s">
        <v>177</v>
      </c>
      <c r="B26" s="460"/>
      <c r="C26" s="460"/>
      <c r="D26" s="461"/>
      <c r="E26" s="8"/>
      <c r="F26" s="44">
        <f t="shared" ref="F26:Q26" si="21">SUM(F16:F25)</f>
        <v>0</v>
      </c>
      <c r="G26" s="44">
        <f t="shared" si="21"/>
        <v>0</v>
      </c>
      <c r="H26" s="44">
        <f t="shared" ref="H26" si="22">SUM(H16:H25)</f>
        <v>0</v>
      </c>
      <c r="I26" s="35">
        <f t="shared" si="21"/>
        <v>0</v>
      </c>
      <c r="J26" s="44">
        <f t="shared" ref="J26:L26" si="23">SUM(J16:J25)</f>
        <v>0</v>
      </c>
      <c r="K26" s="44">
        <f t="shared" si="23"/>
        <v>0</v>
      </c>
      <c r="L26" s="44">
        <f t="shared" si="23"/>
        <v>0</v>
      </c>
      <c r="M26" s="35">
        <f t="shared" si="21"/>
        <v>0</v>
      </c>
      <c r="N26" s="44">
        <f t="shared" ref="N26:P26" si="24">SUM(N16:N25)</f>
        <v>0</v>
      </c>
      <c r="O26" s="44">
        <f t="shared" si="24"/>
        <v>0</v>
      </c>
      <c r="P26" s="44">
        <f t="shared" si="24"/>
        <v>0</v>
      </c>
      <c r="Q26" s="35">
        <f t="shared" si="21"/>
        <v>0</v>
      </c>
      <c r="R26" s="44">
        <f t="shared" ref="R26:T26" si="25">SUM(R16:R25)</f>
        <v>0</v>
      </c>
      <c r="S26" s="44">
        <f t="shared" si="25"/>
        <v>0</v>
      </c>
      <c r="T26" s="44">
        <f t="shared" si="25"/>
        <v>0</v>
      </c>
      <c r="U26" s="35">
        <f t="shared" ref="U26:V26" si="26">SUM(U16:U25)</f>
        <v>0</v>
      </c>
      <c r="V26" s="35">
        <f t="shared" si="26"/>
        <v>0</v>
      </c>
    </row>
    <row r="27" spans="1:22" s="111" customFormat="1" ht="8.25" customHeight="1">
      <c r="A27" s="122"/>
      <c r="B27" s="123"/>
      <c r="C27" s="123"/>
      <c r="D27" s="124"/>
      <c r="E27" s="8"/>
      <c r="F27" s="43"/>
      <c r="G27" s="43"/>
      <c r="H27" s="43"/>
      <c r="I27" s="34"/>
      <c r="J27" s="43"/>
      <c r="K27" s="43"/>
      <c r="L27" s="43"/>
      <c r="M27" s="34"/>
      <c r="N27" s="43"/>
      <c r="O27" s="43"/>
      <c r="P27" s="43"/>
      <c r="Q27" s="34"/>
      <c r="R27" s="43"/>
      <c r="S27" s="43"/>
      <c r="T27" s="43"/>
      <c r="U27" s="34"/>
      <c r="V27" s="34"/>
    </row>
    <row r="28" spans="1:22" s="111" customFormat="1" ht="12.75" customHeight="1">
      <c r="A28" s="462" t="s">
        <v>178</v>
      </c>
      <c r="B28" s="463"/>
      <c r="C28" s="463"/>
      <c r="D28" s="464"/>
      <c r="E28" s="8"/>
      <c r="F28" s="43"/>
      <c r="G28" s="43"/>
      <c r="H28" s="43"/>
      <c r="I28" s="34"/>
      <c r="J28" s="43"/>
      <c r="K28" s="43"/>
      <c r="L28" s="43"/>
      <c r="M28" s="34"/>
      <c r="N28" s="43"/>
      <c r="O28" s="43"/>
      <c r="P28" s="43"/>
      <c r="Q28" s="34"/>
      <c r="R28" s="43"/>
      <c r="S28" s="43"/>
      <c r="T28" s="43"/>
      <c r="U28" s="34"/>
      <c r="V28" s="34"/>
    </row>
    <row r="29" spans="1:22" s="111" customFormat="1" ht="12.75" customHeight="1">
      <c r="A29" s="125"/>
      <c r="B29" s="4"/>
      <c r="C29" s="455" t="s">
        <v>179</v>
      </c>
      <c r="D29" s="456"/>
      <c r="E29" s="8"/>
      <c r="F29" s="44">
        <f t="shared" ref="F29:Q29" si="27">F12-F26</f>
        <v>0</v>
      </c>
      <c r="G29" s="44">
        <f t="shared" si="27"/>
        <v>1000000</v>
      </c>
      <c r="H29" s="44">
        <f t="shared" ref="H29" si="28">H12-H26</f>
        <v>1000000</v>
      </c>
      <c r="I29" s="35">
        <f t="shared" si="27"/>
        <v>2000000</v>
      </c>
      <c r="J29" s="44">
        <f t="shared" ref="J29:L29" si="29">J12-J26</f>
        <v>1000000</v>
      </c>
      <c r="K29" s="44">
        <f t="shared" si="29"/>
        <v>1000000</v>
      </c>
      <c r="L29" s="44">
        <f t="shared" si="29"/>
        <v>1000000</v>
      </c>
      <c r="M29" s="35">
        <f t="shared" si="27"/>
        <v>3000000</v>
      </c>
      <c r="N29" s="44">
        <f t="shared" ref="N29:P29" si="30">N12-N26</f>
        <v>1000000</v>
      </c>
      <c r="O29" s="44">
        <f t="shared" si="30"/>
        <v>1000000</v>
      </c>
      <c r="P29" s="44">
        <f t="shared" si="30"/>
        <v>1000000</v>
      </c>
      <c r="Q29" s="35">
        <f t="shared" si="27"/>
        <v>3000000</v>
      </c>
      <c r="R29" s="44">
        <f t="shared" ref="R29:T29" si="31">R12-R26</f>
        <v>1000000</v>
      </c>
      <c r="S29" s="44">
        <f t="shared" si="31"/>
        <v>1000000</v>
      </c>
      <c r="T29" s="44">
        <f t="shared" si="31"/>
        <v>1000000</v>
      </c>
      <c r="U29" s="35">
        <f t="shared" ref="U29:V29" si="32">U12-U26</f>
        <v>3000000</v>
      </c>
      <c r="V29" s="35">
        <f t="shared" si="32"/>
        <v>11000000</v>
      </c>
    </row>
    <row r="30" spans="1:22" s="111" customFormat="1" ht="12.75" customHeight="1">
      <c r="A30" s="121"/>
      <c r="B30" s="3"/>
      <c r="C30" s="3"/>
      <c r="D30" s="118" t="s">
        <v>180</v>
      </c>
      <c r="E30" s="7"/>
      <c r="F30" s="126">
        <f t="shared" ref="F30:Q30" si="33">IF(F12=0,0,F29/F12)</f>
        <v>0</v>
      </c>
      <c r="G30" s="126">
        <f t="shared" si="33"/>
        <v>1</v>
      </c>
      <c r="H30" s="126">
        <f t="shared" ref="H30" si="34">IF(H12=0,0,H29/H12)</f>
        <v>1</v>
      </c>
      <c r="I30" s="127">
        <f t="shared" si="33"/>
        <v>1</v>
      </c>
      <c r="J30" s="126">
        <f t="shared" ref="J30:L30" si="35">IF(J12=0,0,J29/J12)</f>
        <v>1</v>
      </c>
      <c r="K30" s="126">
        <f t="shared" si="35"/>
        <v>1</v>
      </c>
      <c r="L30" s="126">
        <f t="shared" si="35"/>
        <v>1</v>
      </c>
      <c r="M30" s="127">
        <f t="shared" si="33"/>
        <v>1</v>
      </c>
      <c r="N30" s="126">
        <f t="shared" ref="N30:P30" si="36">IF(N12=0,0,N29/N12)</f>
        <v>1</v>
      </c>
      <c r="O30" s="126">
        <f t="shared" si="36"/>
        <v>1</v>
      </c>
      <c r="P30" s="126">
        <f t="shared" si="36"/>
        <v>1</v>
      </c>
      <c r="Q30" s="127">
        <f t="shared" si="33"/>
        <v>1</v>
      </c>
      <c r="R30" s="126">
        <f t="shared" ref="R30:T30" si="37">IF(R12=0,0,R29/R12)</f>
        <v>1</v>
      </c>
      <c r="S30" s="126">
        <f t="shared" si="37"/>
        <v>1</v>
      </c>
      <c r="T30" s="126">
        <f t="shared" si="37"/>
        <v>1</v>
      </c>
      <c r="U30" s="127">
        <f t="shared" ref="U30:V30" si="38">IF(U12=0,0,U29/U12)</f>
        <v>1</v>
      </c>
      <c r="V30" s="127">
        <f t="shared" si="38"/>
        <v>1</v>
      </c>
    </row>
    <row r="31" spans="1:22" ht="13.15" outlineLevel="1">
      <c r="A31" s="21" t="s">
        <v>49</v>
      </c>
      <c r="B31" s="22"/>
      <c r="C31" s="22"/>
      <c r="D31" s="22"/>
      <c r="F31" s="43"/>
      <c r="G31" s="43"/>
      <c r="H31" s="43"/>
      <c r="I31" s="34"/>
      <c r="J31" s="43"/>
      <c r="K31" s="43"/>
      <c r="L31" s="43"/>
      <c r="M31" s="34"/>
      <c r="N31" s="43"/>
      <c r="O31" s="43"/>
      <c r="P31" s="43"/>
      <c r="Q31" s="34"/>
      <c r="R31" s="43"/>
      <c r="S31" s="43"/>
      <c r="T31" s="43"/>
      <c r="U31" s="34"/>
      <c r="V31" s="34"/>
    </row>
    <row r="32" spans="1:22" ht="13.5" outlineLevel="2">
      <c r="A32" s="22"/>
      <c r="B32" s="22"/>
      <c r="C32" s="23" t="s">
        <v>37</v>
      </c>
      <c r="D32" s="24"/>
      <c r="E32" s="8"/>
      <c r="F32" s="43"/>
      <c r="G32" s="43"/>
      <c r="H32" s="43"/>
      <c r="I32" s="34"/>
      <c r="J32" s="43"/>
      <c r="K32" s="43"/>
      <c r="L32" s="43"/>
      <c r="M32" s="34"/>
      <c r="N32" s="43"/>
      <c r="O32" s="43"/>
      <c r="P32" s="43"/>
      <c r="Q32" s="34"/>
      <c r="R32" s="43"/>
      <c r="S32" s="43"/>
      <c r="T32" s="43"/>
      <c r="U32" s="34"/>
      <c r="V32" s="34"/>
    </row>
    <row r="33" spans="1:22" ht="13.15" outlineLevel="2">
      <c r="A33" s="22"/>
      <c r="B33" s="22"/>
      <c r="C33" s="22"/>
      <c r="D33" s="25" t="s">
        <v>27</v>
      </c>
      <c r="E33" s="7">
        <v>0</v>
      </c>
      <c r="F33" s="43">
        <v>10000000</v>
      </c>
      <c r="G33" s="43">
        <v>10000000</v>
      </c>
      <c r="H33" s="43">
        <v>10000000</v>
      </c>
      <c r="I33" s="34">
        <f>SUM(F33:H33)</f>
        <v>30000000</v>
      </c>
      <c r="J33" s="43">
        <v>10000000</v>
      </c>
      <c r="K33" s="43">
        <v>10000000</v>
      </c>
      <c r="L33" s="43">
        <v>10000000</v>
      </c>
      <c r="M33" s="34">
        <f>SUM(J33:L33)</f>
        <v>30000000</v>
      </c>
      <c r="N33" s="43">
        <v>10000000</v>
      </c>
      <c r="O33" s="43">
        <v>10000000</v>
      </c>
      <c r="P33" s="43">
        <v>10000000</v>
      </c>
      <c r="Q33" s="34">
        <f>SUM(N33:P33)</f>
        <v>30000000</v>
      </c>
      <c r="R33" s="43">
        <v>10000000</v>
      </c>
      <c r="S33" s="43">
        <v>10000000</v>
      </c>
      <c r="T33" s="43">
        <v>10000000</v>
      </c>
      <c r="U33" s="34">
        <f>SUM(R33:T33)</f>
        <v>30000000</v>
      </c>
      <c r="V33" s="34">
        <f t="shared" ref="V33:V37" si="39">I33+M33+Q33+U33</f>
        <v>120000000</v>
      </c>
    </row>
    <row r="34" spans="1:22" ht="13.15" outlineLevel="2">
      <c r="A34" s="22"/>
      <c r="B34" s="22"/>
      <c r="C34" s="22"/>
      <c r="D34" s="25" t="s">
        <v>73</v>
      </c>
      <c r="F34" s="43">
        <v>0</v>
      </c>
      <c r="G34" s="43">
        <v>0</v>
      </c>
      <c r="H34" s="43">
        <v>0</v>
      </c>
      <c r="I34" s="34">
        <f>SUM(F34:H34)</f>
        <v>0</v>
      </c>
      <c r="J34" s="43">
        <v>0</v>
      </c>
      <c r="K34" s="43">
        <v>0</v>
      </c>
      <c r="L34" s="43">
        <v>0</v>
      </c>
      <c r="M34" s="34">
        <f>SUM(J34:L34)</f>
        <v>0</v>
      </c>
      <c r="N34" s="43">
        <v>0</v>
      </c>
      <c r="O34" s="43">
        <v>0</v>
      </c>
      <c r="P34" s="43">
        <v>0</v>
      </c>
      <c r="Q34" s="34">
        <f>SUM(N34:P34)</f>
        <v>0</v>
      </c>
      <c r="R34" s="43">
        <v>0</v>
      </c>
      <c r="S34" s="43">
        <v>0</v>
      </c>
      <c r="T34" s="43">
        <v>0</v>
      </c>
      <c r="U34" s="34">
        <f>SUM(R34:T34)</f>
        <v>0</v>
      </c>
      <c r="V34" s="34">
        <f t="shared" si="39"/>
        <v>0</v>
      </c>
    </row>
    <row r="35" spans="1:22" ht="13.15" outlineLevel="2">
      <c r="A35" s="22"/>
      <c r="B35" s="22"/>
      <c r="C35" s="22"/>
      <c r="D35" s="25" t="s">
        <v>55</v>
      </c>
      <c r="E35" s="7">
        <v>0</v>
      </c>
      <c r="F35" s="43"/>
      <c r="G35" s="43"/>
      <c r="H35" s="43"/>
      <c r="I35" s="34">
        <f>SUM(F35:H35)</f>
        <v>0</v>
      </c>
      <c r="J35" s="43"/>
      <c r="K35" s="43"/>
      <c r="L35" s="43"/>
      <c r="M35" s="34">
        <f>SUM(J35:L35)</f>
        <v>0</v>
      </c>
      <c r="N35" s="43"/>
      <c r="O35" s="43"/>
      <c r="P35" s="43"/>
      <c r="Q35" s="34">
        <f>SUM(N35:P35)</f>
        <v>0</v>
      </c>
      <c r="R35" s="43"/>
      <c r="S35" s="43"/>
      <c r="T35" s="43"/>
      <c r="U35" s="34">
        <f>SUM(R35:T35)</f>
        <v>0</v>
      </c>
      <c r="V35" s="34">
        <f t="shared" si="39"/>
        <v>0</v>
      </c>
    </row>
    <row r="36" spans="1:22" ht="13.15" outlineLevel="2">
      <c r="A36" s="22"/>
      <c r="B36" s="22"/>
      <c r="C36" s="22"/>
      <c r="D36" s="25" t="s">
        <v>96</v>
      </c>
      <c r="E36" s="7">
        <v>0</v>
      </c>
      <c r="F36" s="43">
        <v>1000000</v>
      </c>
      <c r="G36" s="43">
        <v>1000000</v>
      </c>
      <c r="H36" s="43">
        <v>1000000</v>
      </c>
      <c r="I36" s="34">
        <f>SUM(F36:H36)</f>
        <v>3000000</v>
      </c>
      <c r="J36" s="43">
        <v>1000000</v>
      </c>
      <c r="K36" s="43">
        <v>1000000</v>
      </c>
      <c r="L36" s="43">
        <v>1000000</v>
      </c>
      <c r="M36" s="34">
        <f>SUM(J36:L36)</f>
        <v>3000000</v>
      </c>
      <c r="N36" s="43">
        <v>1000000</v>
      </c>
      <c r="O36" s="43">
        <v>1000000</v>
      </c>
      <c r="P36" s="43">
        <v>1000000</v>
      </c>
      <c r="Q36" s="34">
        <f>SUM(N36:P36)</f>
        <v>3000000</v>
      </c>
      <c r="R36" s="43">
        <v>1000000</v>
      </c>
      <c r="S36" s="43">
        <v>1000000</v>
      </c>
      <c r="T36" s="43">
        <v>1000000</v>
      </c>
      <c r="U36" s="34">
        <f>SUM(R36:T36)</f>
        <v>3000000</v>
      </c>
      <c r="V36" s="34">
        <f t="shared" si="39"/>
        <v>12000000</v>
      </c>
    </row>
    <row r="37" spans="1:22" ht="13.15" outlineLevel="1">
      <c r="A37" s="24"/>
      <c r="B37" s="24" t="s">
        <v>0</v>
      </c>
      <c r="C37" s="24"/>
      <c r="D37" s="24"/>
      <c r="E37" s="8"/>
      <c r="F37" s="44">
        <f t="shared" ref="F37" si="40">SUM(F33:F36)</f>
        <v>11000000</v>
      </c>
      <c r="G37" s="44">
        <f t="shared" ref="G37:H37" si="41">SUM(G33:G36)</f>
        <v>11000000</v>
      </c>
      <c r="H37" s="44">
        <f t="shared" si="41"/>
        <v>11000000</v>
      </c>
      <c r="I37" s="35">
        <f>SUM(I33:I36)</f>
        <v>33000000</v>
      </c>
      <c r="J37" s="44">
        <f t="shared" ref="J37:L37" si="42">SUM(J33:J36)</f>
        <v>11000000</v>
      </c>
      <c r="K37" s="44">
        <f t="shared" si="42"/>
        <v>11000000</v>
      </c>
      <c r="L37" s="44">
        <f t="shared" si="42"/>
        <v>11000000</v>
      </c>
      <c r="M37" s="35">
        <f>SUM(M33:M36)</f>
        <v>33000000</v>
      </c>
      <c r="N37" s="44">
        <f t="shared" ref="N37:P37" si="43">SUM(N33:N36)</f>
        <v>11000000</v>
      </c>
      <c r="O37" s="44">
        <f t="shared" si="43"/>
        <v>11000000</v>
      </c>
      <c r="P37" s="44">
        <f t="shared" si="43"/>
        <v>11000000</v>
      </c>
      <c r="Q37" s="35">
        <f>SUM(Q33:Q36)</f>
        <v>33000000</v>
      </c>
      <c r="R37" s="44">
        <f t="shared" ref="R37:T37" si="44">SUM(R33:R36)</f>
        <v>11000000</v>
      </c>
      <c r="S37" s="44">
        <f t="shared" si="44"/>
        <v>11000000</v>
      </c>
      <c r="T37" s="44">
        <f t="shared" si="44"/>
        <v>11000000</v>
      </c>
      <c r="U37" s="35">
        <f>SUM(U33:U36)</f>
        <v>33000000</v>
      </c>
      <c r="V37" s="35">
        <f t="shared" si="39"/>
        <v>132000000</v>
      </c>
    </row>
    <row r="38" spans="1:22" ht="13.15" outlineLevel="2">
      <c r="A38" s="22"/>
      <c r="B38" s="22"/>
      <c r="C38" s="23" t="s">
        <v>38</v>
      </c>
      <c r="D38" s="22"/>
      <c r="F38" s="43"/>
      <c r="G38" s="43"/>
      <c r="H38" s="43"/>
      <c r="I38" s="34"/>
      <c r="J38" s="43"/>
      <c r="K38" s="43"/>
      <c r="L38" s="43"/>
      <c r="M38" s="34"/>
      <c r="N38" s="43"/>
      <c r="O38" s="43"/>
      <c r="P38" s="43"/>
      <c r="Q38" s="34"/>
      <c r="R38" s="43"/>
      <c r="S38" s="43"/>
      <c r="T38" s="43"/>
      <c r="U38" s="34"/>
      <c r="V38" s="34"/>
    </row>
    <row r="39" spans="1:22" ht="13.15" outlineLevel="2">
      <c r="A39" s="22"/>
      <c r="B39" s="22"/>
      <c r="C39" s="22"/>
      <c r="D39" s="25" t="s">
        <v>30</v>
      </c>
      <c r="E39" s="7">
        <v>0</v>
      </c>
      <c r="F39" s="43">
        <v>1000000</v>
      </c>
      <c r="G39" s="43">
        <v>1000000</v>
      </c>
      <c r="H39" s="43">
        <v>1000000</v>
      </c>
      <c r="I39" s="34">
        <f t="shared" ref="I39:I50" si="45">SUM(F39:H39)</f>
        <v>3000000</v>
      </c>
      <c r="J39" s="43">
        <v>1000000</v>
      </c>
      <c r="K39" s="43">
        <v>1000000</v>
      </c>
      <c r="L39" s="43">
        <v>1000000</v>
      </c>
      <c r="M39" s="34">
        <f t="shared" ref="M39:M50" si="46">SUM(J39:L39)</f>
        <v>3000000</v>
      </c>
      <c r="N39" s="43">
        <v>1000000</v>
      </c>
      <c r="O39" s="43">
        <v>1000000</v>
      </c>
      <c r="P39" s="43">
        <v>1000000</v>
      </c>
      <c r="Q39" s="34">
        <f t="shared" ref="Q39:Q50" si="47">SUM(N39:P39)</f>
        <v>3000000</v>
      </c>
      <c r="R39" s="43">
        <v>1000000</v>
      </c>
      <c r="S39" s="43">
        <v>1000000</v>
      </c>
      <c r="T39" s="43">
        <v>1000000</v>
      </c>
      <c r="U39" s="34">
        <f t="shared" ref="U39:U50" si="48">SUM(R39:T39)</f>
        <v>3000000</v>
      </c>
      <c r="V39" s="34">
        <f t="shared" ref="V39:V53" si="49">I39+M39+Q39+U39</f>
        <v>12000000</v>
      </c>
    </row>
    <row r="40" spans="1:22" ht="13.15" outlineLevel="2">
      <c r="A40" s="22"/>
      <c r="B40" s="22"/>
      <c r="C40" s="22"/>
      <c r="D40" s="25" t="s">
        <v>31</v>
      </c>
      <c r="E40" s="7">
        <v>0</v>
      </c>
      <c r="F40" s="43">
        <v>1000000</v>
      </c>
      <c r="G40" s="43">
        <v>1000000</v>
      </c>
      <c r="H40" s="43">
        <v>1000000</v>
      </c>
      <c r="I40" s="34">
        <f t="shared" si="45"/>
        <v>3000000</v>
      </c>
      <c r="J40" s="43">
        <v>1000000</v>
      </c>
      <c r="K40" s="43">
        <v>1000000</v>
      </c>
      <c r="L40" s="43">
        <v>1000000</v>
      </c>
      <c r="M40" s="34">
        <f t="shared" si="46"/>
        <v>3000000</v>
      </c>
      <c r="N40" s="43">
        <v>1000000</v>
      </c>
      <c r="O40" s="43">
        <v>1000000</v>
      </c>
      <c r="P40" s="43">
        <v>1000000</v>
      </c>
      <c r="Q40" s="34">
        <f t="shared" si="47"/>
        <v>3000000</v>
      </c>
      <c r="R40" s="43">
        <v>1000000</v>
      </c>
      <c r="S40" s="43">
        <v>1000000</v>
      </c>
      <c r="T40" s="43">
        <v>1000000</v>
      </c>
      <c r="U40" s="34">
        <f t="shared" si="48"/>
        <v>3000000</v>
      </c>
      <c r="V40" s="34">
        <f t="shared" si="49"/>
        <v>12000000</v>
      </c>
    </row>
    <row r="41" spans="1:22" ht="13.15" outlineLevel="2">
      <c r="A41" s="22"/>
      <c r="B41" s="22"/>
      <c r="C41" s="22"/>
      <c r="D41" s="25" t="s">
        <v>32</v>
      </c>
      <c r="E41" s="7">
        <v>0</v>
      </c>
      <c r="F41" s="43">
        <v>300000</v>
      </c>
      <c r="G41" s="43">
        <v>300000</v>
      </c>
      <c r="H41" s="43">
        <v>300000</v>
      </c>
      <c r="I41" s="34">
        <f t="shared" si="45"/>
        <v>900000</v>
      </c>
      <c r="J41" s="43">
        <v>300000</v>
      </c>
      <c r="K41" s="43">
        <v>300000</v>
      </c>
      <c r="L41" s="43">
        <v>300000</v>
      </c>
      <c r="M41" s="34">
        <f t="shared" si="46"/>
        <v>900000</v>
      </c>
      <c r="N41" s="43">
        <v>300000</v>
      </c>
      <c r="O41" s="43">
        <v>300000</v>
      </c>
      <c r="P41" s="43">
        <v>300000</v>
      </c>
      <c r="Q41" s="34">
        <f t="shared" si="47"/>
        <v>900000</v>
      </c>
      <c r="R41" s="43">
        <v>300000</v>
      </c>
      <c r="S41" s="43">
        <v>300000</v>
      </c>
      <c r="T41" s="43">
        <v>300000</v>
      </c>
      <c r="U41" s="34">
        <f t="shared" si="48"/>
        <v>900000</v>
      </c>
      <c r="V41" s="34">
        <f t="shared" si="49"/>
        <v>3600000</v>
      </c>
    </row>
    <row r="42" spans="1:22" ht="13.15" outlineLevel="2">
      <c r="A42" s="22"/>
      <c r="B42" s="22"/>
      <c r="C42" s="22"/>
      <c r="D42" s="25" t="s">
        <v>98</v>
      </c>
      <c r="E42" s="7">
        <v>0</v>
      </c>
      <c r="F42" s="43">
        <v>100000</v>
      </c>
      <c r="G42" s="43">
        <v>100000</v>
      </c>
      <c r="H42" s="43">
        <v>100000</v>
      </c>
      <c r="I42" s="34">
        <f t="shared" si="45"/>
        <v>300000</v>
      </c>
      <c r="J42" s="43">
        <v>100000</v>
      </c>
      <c r="K42" s="43">
        <v>100000</v>
      </c>
      <c r="L42" s="43">
        <v>100000</v>
      </c>
      <c r="M42" s="34">
        <f t="shared" si="46"/>
        <v>300000</v>
      </c>
      <c r="N42" s="43">
        <v>100000</v>
      </c>
      <c r="O42" s="43">
        <v>100000</v>
      </c>
      <c r="P42" s="43">
        <v>100000</v>
      </c>
      <c r="Q42" s="34">
        <f t="shared" si="47"/>
        <v>300000</v>
      </c>
      <c r="R42" s="43">
        <v>100000</v>
      </c>
      <c r="S42" s="43">
        <v>100000</v>
      </c>
      <c r="T42" s="43">
        <v>100000</v>
      </c>
      <c r="U42" s="34">
        <f t="shared" ref="U42" si="50">SUM(R42:T42)</f>
        <v>300000</v>
      </c>
      <c r="V42" s="34">
        <f t="shared" si="49"/>
        <v>1200000</v>
      </c>
    </row>
    <row r="43" spans="1:22" ht="13.15" outlineLevel="2">
      <c r="A43" s="22"/>
      <c r="B43" s="22"/>
      <c r="C43" s="22"/>
      <c r="D43" s="25" t="s">
        <v>56</v>
      </c>
      <c r="E43" s="7">
        <v>0</v>
      </c>
      <c r="F43" s="43">
        <v>74000</v>
      </c>
      <c r="G43" s="43">
        <v>74000</v>
      </c>
      <c r="H43" s="43">
        <v>74000</v>
      </c>
      <c r="I43" s="34">
        <f t="shared" si="45"/>
        <v>222000</v>
      </c>
      <c r="J43" s="43">
        <v>74000</v>
      </c>
      <c r="K43" s="43">
        <v>74000</v>
      </c>
      <c r="L43" s="43">
        <v>74000</v>
      </c>
      <c r="M43" s="34">
        <f t="shared" si="46"/>
        <v>222000</v>
      </c>
      <c r="N43" s="43">
        <v>74000</v>
      </c>
      <c r="O43" s="43">
        <v>74000</v>
      </c>
      <c r="P43" s="43">
        <v>74000</v>
      </c>
      <c r="Q43" s="34">
        <f t="shared" si="47"/>
        <v>222000</v>
      </c>
      <c r="R43" s="43">
        <v>74000</v>
      </c>
      <c r="S43" s="43">
        <v>74000</v>
      </c>
      <c r="T43" s="43">
        <v>74000</v>
      </c>
      <c r="U43" s="34">
        <f t="shared" si="48"/>
        <v>222000</v>
      </c>
      <c r="V43" s="34">
        <f t="shared" si="49"/>
        <v>888000</v>
      </c>
    </row>
    <row r="44" spans="1:22" ht="13.15" outlineLevel="2">
      <c r="A44" s="22"/>
      <c r="B44" s="22"/>
      <c r="C44" s="22"/>
      <c r="D44" s="25" t="s">
        <v>57</v>
      </c>
      <c r="F44" s="43"/>
      <c r="G44" s="43"/>
      <c r="H44" s="43"/>
      <c r="I44" s="34">
        <f t="shared" si="45"/>
        <v>0</v>
      </c>
      <c r="J44" s="43"/>
      <c r="K44" s="43"/>
      <c r="L44" s="43"/>
      <c r="M44" s="34">
        <f t="shared" si="46"/>
        <v>0</v>
      </c>
      <c r="N44" s="43"/>
      <c r="O44" s="43"/>
      <c r="P44" s="43"/>
      <c r="Q44" s="34">
        <f t="shared" si="47"/>
        <v>0</v>
      </c>
      <c r="R44" s="43"/>
      <c r="S44" s="43"/>
      <c r="T44" s="43"/>
      <c r="U44" s="34">
        <f t="shared" si="48"/>
        <v>0</v>
      </c>
      <c r="V44" s="34">
        <f t="shared" si="49"/>
        <v>0</v>
      </c>
    </row>
    <row r="45" spans="1:22" ht="13.15" outlineLevel="2">
      <c r="A45" s="22"/>
      <c r="B45" s="22"/>
      <c r="C45" s="22"/>
      <c r="D45" s="25" t="s">
        <v>54</v>
      </c>
      <c r="E45" s="7">
        <v>0</v>
      </c>
      <c r="F45" s="43">
        <v>150000</v>
      </c>
      <c r="G45" s="43">
        <v>150000</v>
      </c>
      <c r="H45" s="43">
        <v>150000</v>
      </c>
      <c r="I45" s="34">
        <f t="shared" si="45"/>
        <v>450000</v>
      </c>
      <c r="J45" s="43">
        <v>150000</v>
      </c>
      <c r="K45" s="43">
        <v>150000</v>
      </c>
      <c r="L45" s="43">
        <v>150000</v>
      </c>
      <c r="M45" s="34">
        <f t="shared" si="46"/>
        <v>450000</v>
      </c>
      <c r="N45" s="43">
        <v>150000</v>
      </c>
      <c r="O45" s="43">
        <v>150000</v>
      </c>
      <c r="P45" s="43">
        <v>150000</v>
      </c>
      <c r="Q45" s="34">
        <f t="shared" si="47"/>
        <v>450000</v>
      </c>
      <c r="R45" s="43">
        <v>150000</v>
      </c>
      <c r="S45" s="43">
        <v>150000</v>
      </c>
      <c r="T45" s="43">
        <v>150000</v>
      </c>
      <c r="U45" s="34">
        <f t="shared" si="48"/>
        <v>450000</v>
      </c>
      <c r="V45" s="34">
        <f t="shared" si="49"/>
        <v>1800000</v>
      </c>
    </row>
    <row r="46" spans="1:22" ht="13.15" outlineLevel="2">
      <c r="A46" s="22"/>
      <c r="B46" s="22"/>
      <c r="C46" s="22"/>
      <c r="D46" s="25" t="s">
        <v>34</v>
      </c>
      <c r="E46" s="7">
        <v>0</v>
      </c>
      <c r="F46" s="43"/>
      <c r="G46" s="43"/>
      <c r="H46" s="43"/>
      <c r="I46" s="34">
        <f t="shared" si="45"/>
        <v>0</v>
      </c>
      <c r="J46" s="43"/>
      <c r="K46" s="43"/>
      <c r="L46" s="43"/>
      <c r="M46" s="34">
        <f t="shared" si="46"/>
        <v>0</v>
      </c>
      <c r="N46" s="43"/>
      <c r="O46" s="43"/>
      <c r="P46" s="43"/>
      <c r="Q46" s="34">
        <f t="shared" si="47"/>
        <v>0</v>
      </c>
      <c r="R46" s="43"/>
      <c r="S46" s="43"/>
      <c r="T46" s="43"/>
      <c r="U46" s="34">
        <f t="shared" si="48"/>
        <v>0</v>
      </c>
      <c r="V46" s="34">
        <f t="shared" si="49"/>
        <v>0</v>
      </c>
    </row>
    <row r="47" spans="1:22" ht="13.15" outlineLevel="2">
      <c r="A47" s="22"/>
      <c r="B47" s="22"/>
      <c r="C47" s="22"/>
      <c r="D47" s="25" t="s">
        <v>65</v>
      </c>
      <c r="E47" s="7">
        <v>0</v>
      </c>
      <c r="F47" s="43"/>
      <c r="G47" s="43"/>
      <c r="H47" s="43"/>
      <c r="I47" s="34">
        <f t="shared" si="45"/>
        <v>0</v>
      </c>
      <c r="J47" s="43"/>
      <c r="K47" s="43"/>
      <c r="L47" s="43"/>
      <c r="M47" s="34">
        <f t="shared" si="46"/>
        <v>0</v>
      </c>
      <c r="N47" s="43"/>
      <c r="O47" s="43"/>
      <c r="P47" s="43"/>
      <c r="Q47" s="34">
        <f t="shared" si="47"/>
        <v>0</v>
      </c>
      <c r="R47" s="43"/>
      <c r="S47" s="43"/>
      <c r="T47" s="43"/>
      <c r="U47" s="34">
        <f t="shared" si="48"/>
        <v>0</v>
      </c>
      <c r="V47" s="34">
        <f t="shared" si="49"/>
        <v>0</v>
      </c>
    </row>
    <row r="48" spans="1:22" ht="13.15" outlineLevel="2">
      <c r="A48" s="22"/>
      <c r="B48" s="22"/>
      <c r="C48" s="22"/>
      <c r="D48" s="25" t="s">
        <v>64</v>
      </c>
      <c r="E48" s="7">
        <v>0</v>
      </c>
      <c r="F48" s="43"/>
      <c r="G48" s="43"/>
      <c r="H48" s="43"/>
      <c r="I48" s="34">
        <f t="shared" si="45"/>
        <v>0</v>
      </c>
      <c r="J48" s="43"/>
      <c r="K48" s="43"/>
      <c r="L48" s="43"/>
      <c r="M48" s="34">
        <f t="shared" si="46"/>
        <v>0</v>
      </c>
      <c r="N48" s="43"/>
      <c r="O48" s="43"/>
      <c r="P48" s="43"/>
      <c r="Q48" s="34">
        <f t="shared" si="47"/>
        <v>0</v>
      </c>
      <c r="R48" s="43"/>
      <c r="S48" s="43"/>
      <c r="T48" s="43"/>
      <c r="U48" s="34">
        <f t="shared" si="48"/>
        <v>0</v>
      </c>
      <c r="V48" s="34">
        <f t="shared" si="49"/>
        <v>0</v>
      </c>
    </row>
    <row r="49" spans="1:22" ht="13.15" outlineLevel="2">
      <c r="A49" s="22"/>
      <c r="B49" s="22"/>
      <c r="C49" s="22"/>
      <c r="D49" s="25" t="s">
        <v>112</v>
      </c>
      <c r="F49" s="43">
        <v>150000</v>
      </c>
      <c r="G49" s="43">
        <v>150000</v>
      </c>
      <c r="H49" s="43">
        <v>150000</v>
      </c>
      <c r="I49" s="34">
        <f t="shared" si="45"/>
        <v>450000</v>
      </c>
      <c r="J49" s="43">
        <v>150000</v>
      </c>
      <c r="K49" s="43">
        <v>150000</v>
      </c>
      <c r="L49" s="43">
        <v>150000</v>
      </c>
      <c r="M49" s="34">
        <f t="shared" si="46"/>
        <v>450000</v>
      </c>
      <c r="N49" s="43">
        <v>150000</v>
      </c>
      <c r="O49" s="43">
        <v>150000</v>
      </c>
      <c r="P49" s="43">
        <v>150000</v>
      </c>
      <c r="Q49" s="34">
        <f t="shared" si="47"/>
        <v>450000</v>
      </c>
      <c r="R49" s="43">
        <v>150000</v>
      </c>
      <c r="S49" s="43">
        <v>150000</v>
      </c>
      <c r="T49" s="43">
        <v>150000</v>
      </c>
      <c r="U49" s="34">
        <f t="shared" si="48"/>
        <v>450000</v>
      </c>
      <c r="V49" s="34">
        <f t="shared" si="49"/>
        <v>1800000</v>
      </c>
    </row>
    <row r="50" spans="1:22" ht="13.15" outlineLevel="2">
      <c r="A50" s="22"/>
      <c r="B50" s="22"/>
      <c r="C50" s="22"/>
      <c r="D50" s="25" t="s">
        <v>119</v>
      </c>
      <c r="F50" s="43">
        <v>45000</v>
      </c>
      <c r="G50" s="43">
        <v>45000</v>
      </c>
      <c r="H50" s="43">
        <v>45000</v>
      </c>
      <c r="I50" s="34">
        <f t="shared" si="45"/>
        <v>135000</v>
      </c>
      <c r="J50" s="43">
        <v>45000</v>
      </c>
      <c r="K50" s="43">
        <v>45000</v>
      </c>
      <c r="L50" s="43">
        <v>45000</v>
      </c>
      <c r="M50" s="34">
        <f t="shared" si="46"/>
        <v>135000</v>
      </c>
      <c r="N50" s="43">
        <v>45000</v>
      </c>
      <c r="O50" s="43">
        <v>45000</v>
      </c>
      <c r="P50" s="43">
        <v>45000</v>
      </c>
      <c r="Q50" s="34">
        <f t="shared" si="47"/>
        <v>135000</v>
      </c>
      <c r="R50" s="43">
        <v>45000</v>
      </c>
      <c r="S50" s="43">
        <v>45000</v>
      </c>
      <c r="T50" s="43">
        <v>45000</v>
      </c>
      <c r="U50" s="34">
        <f t="shared" si="48"/>
        <v>135000</v>
      </c>
      <c r="V50" s="34">
        <f t="shared" si="49"/>
        <v>540000</v>
      </c>
    </row>
    <row r="51" spans="1:22" ht="13.15" outlineLevel="1">
      <c r="A51" s="24"/>
      <c r="B51" s="24" t="s">
        <v>1</v>
      </c>
      <c r="C51" s="24"/>
      <c r="D51" s="24"/>
      <c r="E51" s="8"/>
      <c r="F51" s="44">
        <f t="shared" ref="F51:G51" si="51">SUM(F39:F50)</f>
        <v>2819000</v>
      </c>
      <c r="G51" s="44">
        <f t="shared" si="51"/>
        <v>2819000</v>
      </c>
      <c r="H51" s="44">
        <f t="shared" ref="H51" si="52">SUM(H39:H50)</f>
        <v>2819000</v>
      </c>
      <c r="I51" s="35">
        <f>SUM(I39:I50)</f>
        <v>8457000</v>
      </c>
      <c r="J51" s="44">
        <f t="shared" ref="J51:L51" si="53">SUM(J39:J50)</f>
        <v>2819000</v>
      </c>
      <c r="K51" s="44">
        <f t="shared" si="53"/>
        <v>2819000</v>
      </c>
      <c r="L51" s="44">
        <f t="shared" si="53"/>
        <v>2819000</v>
      </c>
      <c r="M51" s="35">
        <f>SUM(M39:M50)</f>
        <v>8457000</v>
      </c>
      <c r="N51" s="44">
        <f t="shared" ref="N51:P51" si="54">SUM(N39:N50)</f>
        <v>2819000</v>
      </c>
      <c r="O51" s="44">
        <f t="shared" si="54"/>
        <v>2819000</v>
      </c>
      <c r="P51" s="44">
        <f t="shared" si="54"/>
        <v>2819000</v>
      </c>
      <c r="Q51" s="35">
        <f>SUM(Q39:Q50)</f>
        <v>8457000</v>
      </c>
      <c r="R51" s="44">
        <f t="shared" ref="R51:T51" si="55">SUM(R39:R50)</f>
        <v>2819000</v>
      </c>
      <c r="S51" s="44">
        <f t="shared" si="55"/>
        <v>2819000</v>
      </c>
      <c r="T51" s="44">
        <f t="shared" si="55"/>
        <v>2819000</v>
      </c>
      <c r="U51" s="35">
        <f>SUM(U39:U50)</f>
        <v>8457000</v>
      </c>
      <c r="V51" s="35">
        <f t="shared" si="49"/>
        <v>33828000</v>
      </c>
    </row>
    <row r="52" spans="1:22" ht="13.15" outlineLevel="1">
      <c r="A52" s="24"/>
      <c r="B52" s="24" t="s">
        <v>2</v>
      </c>
      <c r="C52" s="24"/>
      <c r="D52" s="24"/>
      <c r="E52" s="8"/>
      <c r="F52" s="44">
        <f>F37+F51</f>
        <v>13819000</v>
      </c>
      <c r="G52" s="44">
        <f>G37+G51</f>
        <v>13819000</v>
      </c>
      <c r="H52" s="44">
        <f>H37+H51</f>
        <v>13819000</v>
      </c>
      <c r="I52" s="35">
        <f>I51+I37</f>
        <v>41457000</v>
      </c>
      <c r="J52" s="44">
        <f>J37+J51</f>
        <v>13819000</v>
      </c>
      <c r="K52" s="44">
        <f>K37+K51</f>
        <v>13819000</v>
      </c>
      <c r="L52" s="44">
        <f>L37+L51</f>
        <v>13819000</v>
      </c>
      <c r="M52" s="35">
        <f>M51+M37</f>
        <v>41457000</v>
      </c>
      <c r="N52" s="44">
        <f>N37+N51</f>
        <v>13819000</v>
      </c>
      <c r="O52" s="44">
        <f>O37+O51</f>
        <v>13819000</v>
      </c>
      <c r="P52" s="44">
        <f>P37+P51</f>
        <v>13819000</v>
      </c>
      <c r="Q52" s="35">
        <f>Q51+Q37</f>
        <v>41457000</v>
      </c>
      <c r="R52" s="44">
        <f>R37+R51</f>
        <v>13819000</v>
      </c>
      <c r="S52" s="44">
        <f>S37+S51</f>
        <v>13819000</v>
      </c>
      <c r="T52" s="44">
        <f>T37+T51</f>
        <v>13819000</v>
      </c>
      <c r="U52" s="35">
        <f>U51+U37</f>
        <v>41457000</v>
      </c>
      <c r="V52" s="35">
        <f t="shared" si="49"/>
        <v>165828000</v>
      </c>
    </row>
    <row r="53" spans="1:22" s="4" customFormat="1" ht="13.15" outlineLevel="1">
      <c r="A53" s="24"/>
      <c r="B53" s="24" t="s">
        <v>3</v>
      </c>
      <c r="C53" s="24"/>
      <c r="D53" s="24"/>
      <c r="E53" s="8">
        <v>0</v>
      </c>
      <c r="F53" s="44">
        <v>0</v>
      </c>
      <c r="G53" s="44">
        <v>0</v>
      </c>
      <c r="H53" s="44">
        <v>0</v>
      </c>
      <c r="I53" s="35">
        <v>0</v>
      </c>
      <c r="J53" s="44">
        <v>0</v>
      </c>
      <c r="K53" s="44">
        <v>0</v>
      </c>
      <c r="L53" s="44">
        <v>0</v>
      </c>
      <c r="M53" s="35">
        <v>0</v>
      </c>
      <c r="N53" s="44">
        <v>0</v>
      </c>
      <c r="O53" s="44">
        <v>0</v>
      </c>
      <c r="P53" s="44">
        <v>0</v>
      </c>
      <c r="Q53" s="35">
        <v>0</v>
      </c>
      <c r="R53" s="44">
        <v>0</v>
      </c>
      <c r="S53" s="44">
        <v>0</v>
      </c>
      <c r="T53" s="44">
        <v>0</v>
      </c>
      <c r="U53" s="35">
        <v>0</v>
      </c>
      <c r="V53" s="35">
        <f t="shared" si="49"/>
        <v>0</v>
      </c>
    </row>
    <row r="54" spans="1:22" ht="13.15" outlineLevel="2">
      <c r="A54" s="22"/>
      <c r="B54" s="23" t="s">
        <v>39</v>
      </c>
      <c r="C54" s="22"/>
      <c r="D54" s="22"/>
      <c r="F54" s="43"/>
      <c r="G54" s="43"/>
      <c r="H54" s="43"/>
      <c r="I54" s="34"/>
      <c r="J54" s="43"/>
      <c r="K54" s="43"/>
      <c r="L54" s="43"/>
      <c r="M54" s="34"/>
      <c r="N54" s="43"/>
      <c r="O54" s="43"/>
      <c r="P54" s="43"/>
      <c r="Q54" s="34"/>
      <c r="R54" s="43"/>
      <c r="S54" s="43"/>
      <c r="T54" s="43"/>
      <c r="U54" s="34"/>
      <c r="V54" s="34"/>
    </row>
    <row r="55" spans="1:22" ht="13.15" outlineLevel="2">
      <c r="A55" s="22"/>
      <c r="B55" s="22"/>
      <c r="C55" s="25" t="s">
        <v>58</v>
      </c>
      <c r="D55" s="22"/>
      <c r="E55" s="7">
        <v>0</v>
      </c>
      <c r="F55" s="43"/>
      <c r="G55" s="43"/>
      <c r="H55" s="43"/>
      <c r="I55" s="34">
        <f t="shared" ref="I55:I65" si="56">SUM(F55:H55)</f>
        <v>0</v>
      </c>
      <c r="J55" s="43"/>
      <c r="K55" s="43"/>
      <c r="L55" s="43"/>
      <c r="M55" s="34">
        <f t="shared" ref="M55:M65" si="57">SUM(J55:L55)</f>
        <v>0</v>
      </c>
      <c r="N55" s="43"/>
      <c r="O55" s="43"/>
      <c r="P55" s="43"/>
      <c r="Q55" s="34">
        <f t="shared" ref="Q55:Q65" si="58">SUM(N55:P55)</f>
        <v>0</v>
      </c>
      <c r="R55" s="43"/>
      <c r="S55" s="43"/>
      <c r="T55" s="43"/>
      <c r="U55" s="34">
        <f t="shared" ref="U55:U65" si="59">SUM(R55:T55)</f>
        <v>0</v>
      </c>
      <c r="V55" s="34">
        <f t="shared" ref="V55:V66" si="60">I55+M55+Q55+U55</f>
        <v>0</v>
      </c>
    </row>
    <row r="56" spans="1:22" ht="13.15" outlineLevel="2">
      <c r="A56" s="22"/>
      <c r="B56" s="22"/>
      <c r="C56" s="25" t="s">
        <v>59</v>
      </c>
      <c r="D56" s="22"/>
      <c r="F56" s="43">
        <v>71000</v>
      </c>
      <c r="G56" s="43">
        <v>71000</v>
      </c>
      <c r="H56" s="43">
        <v>71000</v>
      </c>
      <c r="I56" s="34">
        <f t="shared" si="56"/>
        <v>213000</v>
      </c>
      <c r="J56" s="43">
        <v>71000</v>
      </c>
      <c r="K56" s="43">
        <v>71000</v>
      </c>
      <c r="L56" s="43">
        <v>71000</v>
      </c>
      <c r="M56" s="34">
        <f t="shared" si="57"/>
        <v>213000</v>
      </c>
      <c r="N56" s="43">
        <v>71000</v>
      </c>
      <c r="O56" s="43">
        <v>71000</v>
      </c>
      <c r="P56" s="43">
        <v>71000</v>
      </c>
      <c r="Q56" s="34">
        <f t="shared" si="58"/>
        <v>213000</v>
      </c>
      <c r="R56" s="43">
        <v>71000</v>
      </c>
      <c r="S56" s="43">
        <v>71000</v>
      </c>
      <c r="T56" s="43">
        <v>71000</v>
      </c>
      <c r="U56" s="34">
        <f t="shared" si="59"/>
        <v>213000</v>
      </c>
      <c r="V56" s="34">
        <f t="shared" si="60"/>
        <v>852000</v>
      </c>
    </row>
    <row r="57" spans="1:22" ht="13.15" outlineLevel="2">
      <c r="A57" s="22"/>
      <c r="B57" s="22"/>
      <c r="C57" s="25" t="s">
        <v>60</v>
      </c>
      <c r="D57" s="22"/>
      <c r="F57" s="43">
        <v>10000</v>
      </c>
      <c r="G57" s="43">
        <v>10000</v>
      </c>
      <c r="H57" s="43">
        <v>10000</v>
      </c>
      <c r="I57" s="34">
        <f t="shared" si="56"/>
        <v>30000</v>
      </c>
      <c r="J57" s="43">
        <v>10000</v>
      </c>
      <c r="K57" s="43">
        <v>10000</v>
      </c>
      <c r="L57" s="43">
        <v>10000</v>
      </c>
      <c r="M57" s="34">
        <f t="shared" si="57"/>
        <v>30000</v>
      </c>
      <c r="N57" s="43">
        <v>10000</v>
      </c>
      <c r="O57" s="43">
        <v>10000</v>
      </c>
      <c r="P57" s="43">
        <v>10000</v>
      </c>
      <c r="Q57" s="34">
        <f t="shared" si="58"/>
        <v>30000</v>
      </c>
      <c r="R57" s="43">
        <v>10000</v>
      </c>
      <c r="S57" s="43">
        <v>10000</v>
      </c>
      <c r="T57" s="43">
        <v>10000</v>
      </c>
      <c r="U57" s="34">
        <f t="shared" si="59"/>
        <v>30000</v>
      </c>
      <c r="V57" s="34">
        <f t="shared" si="60"/>
        <v>120000</v>
      </c>
    </row>
    <row r="58" spans="1:22" ht="13.15" outlineLevel="2">
      <c r="A58" s="22"/>
      <c r="B58" s="22"/>
      <c r="C58" s="25" t="s">
        <v>61</v>
      </c>
      <c r="D58" s="22"/>
      <c r="F58" s="43">
        <v>121000</v>
      </c>
      <c r="G58" s="43">
        <v>121000</v>
      </c>
      <c r="H58" s="43">
        <v>121000</v>
      </c>
      <c r="I58" s="34">
        <f t="shared" si="56"/>
        <v>363000</v>
      </c>
      <c r="J58" s="43">
        <v>121000</v>
      </c>
      <c r="K58" s="43">
        <v>121000</v>
      </c>
      <c r="L58" s="43">
        <v>121000</v>
      </c>
      <c r="M58" s="34">
        <f t="shared" si="57"/>
        <v>363000</v>
      </c>
      <c r="N58" s="43">
        <v>121000</v>
      </c>
      <c r="O58" s="43">
        <v>121000</v>
      </c>
      <c r="P58" s="43">
        <v>121000</v>
      </c>
      <c r="Q58" s="34">
        <f t="shared" si="58"/>
        <v>363000</v>
      </c>
      <c r="R58" s="43">
        <v>121000</v>
      </c>
      <c r="S58" s="43">
        <v>121000</v>
      </c>
      <c r="T58" s="43">
        <v>121000</v>
      </c>
      <c r="U58" s="34">
        <f t="shared" si="59"/>
        <v>363000</v>
      </c>
      <c r="V58" s="34">
        <f t="shared" si="60"/>
        <v>1452000</v>
      </c>
    </row>
    <row r="59" spans="1:22" ht="13.15" outlineLevel="2">
      <c r="A59" s="22"/>
      <c r="B59" s="22"/>
      <c r="C59" s="25" t="s">
        <v>62</v>
      </c>
      <c r="D59" s="22"/>
      <c r="F59" s="43"/>
      <c r="G59" s="43"/>
      <c r="H59" s="43"/>
      <c r="I59" s="34">
        <f t="shared" si="56"/>
        <v>0</v>
      </c>
      <c r="J59" s="43"/>
      <c r="K59" s="43"/>
      <c r="L59" s="43"/>
      <c r="M59" s="34">
        <f t="shared" si="57"/>
        <v>0</v>
      </c>
      <c r="N59" s="43"/>
      <c r="O59" s="43"/>
      <c r="P59" s="43"/>
      <c r="Q59" s="34">
        <f t="shared" si="58"/>
        <v>0</v>
      </c>
      <c r="R59" s="43"/>
      <c r="S59" s="43"/>
      <c r="T59" s="43"/>
      <c r="U59" s="34">
        <f t="shared" si="59"/>
        <v>0</v>
      </c>
      <c r="V59" s="34">
        <f t="shared" si="60"/>
        <v>0</v>
      </c>
    </row>
    <row r="60" spans="1:22" ht="13.15" outlineLevel="2">
      <c r="A60" s="22"/>
      <c r="B60" s="22"/>
      <c r="C60" s="25" t="s">
        <v>118</v>
      </c>
      <c r="D60" s="22"/>
      <c r="F60" s="43">
        <v>88000</v>
      </c>
      <c r="G60" s="43">
        <v>88000</v>
      </c>
      <c r="H60" s="43">
        <v>88000</v>
      </c>
      <c r="I60" s="34">
        <f t="shared" si="56"/>
        <v>264000</v>
      </c>
      <c r="J60" s="43">
        <v>88000</v>
      </c>
      <c r="K60" s="43">
        <v>88000</v>
      </c>
      <c r="L60" s="43">
        <v>88000</v>
      </c>
      <c r="M60" s="34">
        <f t="shared" si="57"/>
        <v>264000</v>
      </c>
      <c r="N60" s="43">
        <v>88000</v>
      </c>
      <c r="O60" s="43">
        <v>88000</v>
      </c>
      <c r="P60" s="43">
        <v>88000</v>
      </c>
      <c r="Q60" s="34">
        <f t="shared" si="58"/>
        <v>264000</v>
      </c>
      <c r="R60" s="43">
        <v>88000</v>
      </c>
      <c r="S60" s="43">
        <v>88000</v>
      </c>
      <c r="T60" s="43">
        <v>88000</v>
      </c>
      <c r="U60" s="34">
        <f t="shared" si="59"/>
        <v>264000</v>
      </c>
      <c r="V60" s="34">
        <f t="shared" si="60"/>
        <v>1056000</v>
      </c>
    </row>
    <row r="61" spans="1:22" ht="13.15" outlineLevel="2">
      <c r="A61" s="22"/>
      <c r="B61" s="22"/>
      <c r="C61" s="25" t="s">
        <v>157</v>
      </c>
      <c r="D61" s="22"/>
      <c r="F61" s="43"/>
      <c r="G61" s="43"/>
      <c r="H61" s="43"/>
      <c r="I61" s="34">
        <f t="shared" si="56"/>
        <v>0</v>
      </c>
      <c r="J61" s="43"/>
      <c r="K61" s="43"/>
      <c r="L61" s="43"/>
      <c r="M61" s="34">
        <f t="shared" si="57"/>
        <v>0</v>
      </c>
      <c r="N61" s="43"/>
      <c r="O61" s="43"/>
      <c r="P61" s="43"/>
      <c r="Q61" s="34">
        <f t="shared" si="58"/>
        <v>0</v>
      </c>
      <c r="R61" s="43"/>
      <c r="S61" s="43"/>
      <c r="T61" s="43"/>
      <c r="U61" s="34">
        <f t="shared" si="59"/>
        <v>0</v>
      </c>
      <c r="V61" s="34">
        <f t="shared" si="60"/>
        <v>0</v>
      </c>
    </row>
    <row r="62" spans="1:22" ht="13.15" outlineLevel="2">
      <c r="A62" s="22"/>
      <c r="B62" s="22"/>
      <c r="C62" s="25" t="s">
        <v>28</v>
      </c>
      <c r="D62" s="22"/>
      <c r="E62" s="7">
        <v>0</v>
      </c>
      <c r="F62" s="43"/>
      <c r="G62" s="43"/>
      <c r="H62" s="43"/>
      <c r="I62" s="34">
        <f t="shared" si="56"/>
        <v>0</v>
      </c>
      <c r="J62" s="43"/>
      <c r="K62" s="43"/>
      <c r="L62" s="43"/>
      <c r="M62" s="34">
        <f t="shared" si="57"/>
        <v>0</v>
      </c>
      <c r="N62" s="43"/>
      <c r="O62" s="43"/>
      <c r="P62" s="43"/>
      <c r="Q62" s="34">
        <f t="shared" si="58"/>
        <v>0</v>
      </c>
      <c r="R62" s="43"/>
      <c r="S62" s="43"/>
      <c r="T62" s="43"/>
      <c r="U62" s="34">
        <f t="shared" si="59"/>
        <v>0</v>
      </c>
      <c r="V62" s="34">
        <f t="shared" si="60"/>
        <v>0</v>
      </c>
    </row>
    <row r="63" spans="1:22" ht="13.15" outlineLevel="2">
      <c r="A63" s="22"/>
      <c r="B63" s="22"/>
      <c r="C63" s="25" t="s">
        <v>35</v>
      </c>
      <c r="D63" s="22"/>
      <c r="E63" s="7">
        <v>0</v>
      </c>
      <c r="F63" s="43"/>
      <c r="G63" s="43"/>
      <c r="H63" s="43"/>
      <c r="I63" s="34">
        <f t="shared" si="56"/>
        <v>0</v>
      </c>
      <c r="J63" s="43"/>
      <c r="K63" s="43"/>
      <c r="L63" s="43"/>
      <c r="M63" s="34">
        <f t="shared" si="57"/>
        <v>0</v>
      </c>
      <c r="N63" s="43"/>
      <c r="O63" s="43"/>
      <c r="P63" s="43"/>
      <c r="Q63" s="34">
        <f t="shared" si="58"/>
        <v>0</v>
      </c>
      <c r="R63" s="43"/>
      <c r="S63" s="43"/>
      <c r="T63" s="43"/>
      <c r="U63" s="34">
        <f t="shared" si="59"/>
        <v>0</v>
      </c>
      <c r="V63" s="34">
        <f t="shared" si="60"/>
        <v>0</v>
      </c>
    </row>
    <row r="64" spans="1:22" ht="13.15" outlineLevel="2">
      <c r="A64" s="22"/>
      <c r="B64" s="22"/>
      <c r="C64" s="25" t="s">
        <v>52</v>
      </c>
      <c r="D64" s="22"/>
      <c r="E64" s="7">
        <v>0</v>
      </c>
      <c r="F64" s="43"/>
      <c r="G64" s="43"/>
      <c r="H64" s="43"/>
      <c r="I64" s="34">
        <f t="shared" si="56"/>
        <v>0</v>
      </c>
      <c r="J64" s="43"/>
      <c r="K64" s="43"/>
      <c r="L64" s="43"/>
      <c r="M64" s="34">
        <f t="shared" si="57"/>
        <v>0</v>
      </c>
      <c r="N64" s="43"/>
      <c r="O64" s="43"/>
      <c r="P64" s="43"/>
      <c r="Q64" s="34">
        <f t="shared" si="58"/>
        <v>0</v>
      </c>
      <c r="R64" s="43"/>
      <c r="S64" s="43"/>
      <c r="T64" s="43"/>
      <c r="U64" s="34">
        <f t="shared" si="59"/>
        <v>0</v>
      </c>
      <c r="V64" s="34">
        <f t="shared" si="60"/>
        <v>0</v>
      </c>
    </row>
    <row r="65" spans="1:22" ht="13.15" outlineLevel="2">
      <c r="A65" s="22"/>
      <c r="B65" s="22"/>
      <c r="C65" s="25" t="s">
        <v>36</v>
      </c>
      <c r="D65" s="22"/>
      <c r="E65" s="7">
        <v>0</v>
      </c>
      <c r="F65" s="43"/>
      <c r="G65" s="43"/>
      <c r="H65" s="43"/>
      <c r="I65" s="34">
        <f t="shared" si="56"/>
        <v>0</v>
      </c>
      <c r="J65" s="43"/>
      <c r="K65" s="43"/>
      <c r="L65" s="43"/>
      <c r="M65" s="34">
        <f t="shared" si="57"/>
        <v>0</v>
      </c>
      <c r="N65" s="43"/>
      <c r="O65" s="43"/>
      <c r="P65" s="43"/>
      <c r="Q65" s="34">
        <f t="shared" si="58"/>
        <v>0</v>
      </c>
      <c r="R65" s="43"/>
      <c r="S65" s="43"/>
      <c r="T65" s="43"/>
      <c r="U65" s="34">
        <f t="shared" si="59"/>
        <v>0</v>
      </c>
      <c r="V65" s="34">
        <f t="shared" si="60"/>
        <v>0</v>
      </c>
    </row>
    <row r="66" spans="1:22" ht="13.15" outlineLevel="1">
      <c r="A66" s="24"/>
      <c r="B66" s="24" t="s">
        <v>4</v>
      </c>
      <c r="C66" s="24"/>
      <c r="D66" s="24"/>
      <c r="E66" s="8"/>
      <c r="F66" s="44">
        <f t="shared" ref="F66:G66" si="61">SUM(F55:F65)</f>
        <v>290000</v>
      </c>
      <c r="G66" s="44">
        <f t="shared" si="61"/>
        <v>290000</v>
      </c>
      <c r="H66" s="44">
        <f t="shared" ref="H66" si="62">SUM(H55:H65)</f>
        <v>290000</v>
      </c>
      <c r="I66" s="35">
        <f>SUM(I55:I65)</f>
        <v>870000</v>
      </c>
      <c r="J66" s="44">
        <f t="shared" ref="J66:L66" si="63">SUM(J55:J65)</f>
        <v>290000</v>
      </c>
      <c r="K66" s="44">
        <f t="shared" si="63"/>
        <v>290000</v>
      </c>
      <c r="L66" s="44">
        <f t="shared" si="63"/>
        <v>290000</v>
      </c>
      <c r="M66" s="35">
        <f>SUM(M55:M65)</f>
        <v>870000</v>
      </c>
      <c r="N66" s="44">
        <f t="shared" ref="N66:P66" si="64">SUM(N55:N65)</f>
        <v>290000</v>
      </c>
      <c r="O66" s="44">
        <f t="shared" si="64"/>
        <v>290000</v>
      </c>
      <c r="P66" s="44">
        <f t="shared" si="64"/>
        <v>290000</v>
      </c>
      <c r="Q66" s="35">
        <f>SUM(Q55:Q65)</f>
        <v>870000</v>
      </c>
      <c r="R66" s="44">
        <f t="shared" ref="R66:T66" si="65">SUM(R55:R65)</f>
        <v>290000</v>
      </c>
      <c r="S66" s="44">
        <f t="shared" si="65"/>
        <v>290000</v>
      </c>
      <c r="T66" s="44">
        <f t="shared" si="65"/>
        <v>290000</v>
      </c>
      <c r="U66" s="35">
        <f>SUM(U55:U65)</f>
        <v>870000</v>
      </c>
      <c r="V66" s="35">
        <f t="shared" si="60"/>
        <v>3480000</v>
      </c>
    </row>
    <row r="67" spans="1:22" ht="13.15" outlineLevel="2">
      <c r="A67" s="24"/>
      <c r="B67" s="26" t="s">
        <v>5</v>
      </c>
      <c r="C67" s="27"/>
      <c r="D67" s="27"/>
      <c r="E67" s="9"/>
      <c r="F67" s="129"/>
      <c r="G67" s="129"/>
      <c r="H67" s="129"/>
      <c r="I67" s="36"/>
      <c r="J67" s="129"/>
      <c r="K67" s="129"/>
      <c r="L67" s="129"/>
      <c r="M67" s="36"/>
      <c r="N67" s="129"/>
      <c r="O67" s="129"/>
      <c r="P67" s="129"/>
      <c r="Q67" s="36"/>
      <c r="R67" s="129"/>
      <c r="S67" s="129"/>
      <c r="T67" s="129"/>
      <c r="U67" s="36"/>
      <c r="V67" s="35" t="s">
        <v>86</v>
      </c>
    </row>
    <row r="68" spans="1:22" ht="13.15" outlineLevel="2">
      <c r="A68" s="24"/>
      <c r="B68" s="27"/>
      <c r="C68" s="28" t="s">
        <v>47</v>
      </c>
      <c r="D68" s="27"/>
      <c r="E68" s="9">
        <v>0</v>
      </c>
      <c r="F68" s="43">
        <v>0</v>
      </c>
      <c r="G68" s="43"/>
      <c r="H68" s="43"/>
      <c r="I68" s="34">
        <f>SUM(F68:H68)</f>
        <v>0</v>
      </c>
      <c r="J68" s="43"/>
      <c r="K68" s="43"/>
      <c r="L68" s="43"/>
      <c r="M68" s="34">
        <f>SUM(J68:L68)</f>
        <v>0</v>
      </c>
      <c r="N68" s="43"/>
      <c r="O68" s="43"/>
      <c r="P68" s="43"/>
      <c r="Q68" s="34">
        <f>SUM(N68:P68)</f>
        <v>0</v>
      </c>
      <c r="R68" s="43"/>
      <c r="S68" s="43"/>
      <c r="T68" s="43"/>
      <c r="U68" s="34">
        <f>SUM(R68:T68)</f>
        <v>0</v>
      </c>
      <c r="V68" s="34">
        <f>I68+M68+Q68+U68</f>
        <v>0</v>
      </c>
    </row>
    <row r="69" spans="1:22" ht="13.15" outlineLevel="2">
      <c r="A69" s="24"/>
      <c r="B69" s="27"/>
      <c r="C69" s="28" t="s">
        <v>48</v>
      </c>
      <c r="D69" s="27"/>
      <c r="E69" s="9">
        <v>0</v>
      </c>
      <c r="F69" s="43"/>
      <c r="G69" s="43"/>
      <c r="H69" s="43"/>
      <c r="I69" s="34">
        <f>SUM(F69:H69)</f>
        <v>0</v>
      </c>
      <c r="J69" s="43"/>
      <c r="K69" s="43"/>
      <c r="L69" s="43"/>
      <c r="M69" s="34">
        <f>SUM(J69:L69)</f>
        <v>0</v>
      </c>
      <c r="N69" s="43"/>
      <c r="O69" s="43"/>
      <c r="P69" s="43"/>
      <c r="Q69" s="34">
        <f>SUM(N69:P69)</f>
        <v>0</v>
      </c>
      <c r="R69" s="43"/>
      <c r="S69" s="43"/>
      <c r="T69" s="43"/>
      <c r="U69" s="34">
        <f>SUM(R69:T69)</f>
        <v>0</v>
      </c>
      <c r="V69" s="34">
        <f>I69+M69+Q69+U69</f>
        <v>0</v>
      </c>
    </row>
    <row r="70" spans="1:22" ht="13.15" outlineLevel="2">
      <c r="A70" s="24"/>
      <c r="B70" s="27"/>
      <c r="C70" s="28" t="s">
        <v>26</v>
      </c>
      <c r="D70" s="27"/>
      <c r="E70" s="9">
        <v>0</v>
      </c>
      <c r="F70" s="43"/>
      <c r="G70" s="43"/>
      <c r="H70" s="43"/>
      <c r="I70" s="34">
        <f>SUM(F70:H70)</f>
        <v>0</v>
      </c>
      <c r="J70" s="43"/>
      <c r="K70" s="43"/>
      <c r="L70" s="43"/>
      <c r="M70" s="34">
        <f>SUM(J70:L70)</f>
        <v>0</v>
      </c>
      <c r="N70" s="43"/>
      <c r="O70" s="43"/>
      <c r="P70" s="43"/>
      <c r="Q70" s="34">
        <f>SUM(N70:P70)</f>
        <v>0</v>
      </c>
      <c r="R70" s="43"/>
      <c r="S70" s="43"/>
      <c r="T70" s="43"/>
      <c r="U70" s="34">
        <f>SUM(R70:T70)</f>
        <v>0</v>
      </c>
      <c r="V70" s="34">
        <f>I70+M70+Q70+U70</f>
        <v>0</v>
      </c>
    </row>
    <row r="71" spans="1:22" ht="13.15" outlineLevel="1">
      <c r="A71" s="24"/>
      <c r="B71" s="29" t="s">
        <v>6</v>
      </c>
      <c r="C71" s="30"/>
      <c r="D71" s="30"/>
      <c r="E71" s="10"/>
      <c r="F71" s="45">
        <f>SUM(F68:F70)</f>
        <v>0</v>
      </c>
      <c r="G71" s="45">
        <f>SUM(G68:G70)</f>
        <v>0</v>
      </c>
      <c r="H71" s="45">
        <f>SUM(H68:H70)</f>
        <v>0</v>
      </c>
      <c r="I71" s="35">
        <f t="shared" ref="I71:Q71" si="66">SUM(I68:I70)</f>
        <v>0</v>
      </c>
      <c r="J71" s="45">
        <f>SUM(J68:J70)</f>
        <v>0</v>
      </c>
      <c r="K71" s="45">
        <f>SUM(K68:K70)</f>
        <v>0</v>
      </c>
      <c r="L71" s="45">
        <f>SUM(L68:L70)</f>
        <v>0</v>
      </c>
      <c r="M71" s="35">
        <f t="shared" si="66"/>
        <v>0</v>
      </c>
      <c r="N71" s="45">
        <f>SUM(N68:N70)</f>
        <v>0</v>
      </c>
      <c r="O71" s="45">
        <f>SUM(O68:O70)</f>
        <v>0</v>
      </c>
      <c r="P71" s="45">
        <f>SUM(P68:P70)</f>
        <v>0</v>
      </c>
      <c r="Q71" s="35">
        <f t="shared" si="66"/>
        <v>0</v>
      </c>
      <c r="R71" s="45">
        <f>SUM(R68:R70)</f>
        <v>0</v>
      </c>
      <c r="S71" s="45">
        <f>SUM(S68:S70)</f>
        <v>0</v>
      </c>
      <c r="T71" s="45">
        <f>SUM(T68:T70)</f>
        <v>0</v>
      </c>
      <c r="U71" s="35">
        <f t="shared" ref="U71" si="67">SUM(U68:U70)</f>
        <v>0</v>
      </c>
      <c r="V71" s="35">
        <f>I71+M71+Q71+U71</f>
        <v>0</v>
      </c>
    </row>
    <row r="72" spans="1:22" ht="13.15" outlineLevel="2">
      <c r="A72" s="24"/>
      <c r="B72" s="26" t="s">
        <v>7</v>
      </c>
      <c r="C72" s="27"/>
      <c r="D72" s="27"/>
      <c r="E72" s="9"/>
      <c r="F72" s="129"/>
      <c r="G72" s="129"/>
      <c r="H72" s="129"/>
      <c r="I72" s="36"/>
      <c r="J72" s="129"/>
      <c r="K72" s="129"/>
      <c r="L72" s="129"/>
      <c r="M72" s="36"/>
      <c r="N72" s="129"/>
      <c r="O72" s="129"/>
      <c r="P72" s="129"/>
      <c r="Q72" s="36"/>
      <c r="R72" s="129"/>
      <c r="S72" s="129"/>
      <c r="T72" s="129"/>
      <c r="U72" s="36"/>
      <c r="V72" s="36"/>
    </row>
    <row r="73" spans="1:22" ht="13.15" outlineLevel="2">
      <c r="A73" s="24"/>
      <c r="B73" s="27"/>
      <c r="C73" s="28" t="s">
        <v>40</v>
      </c>
      <c r="D73" s="27"/>
      <c r="E73" s="9">
        <v>0</v>
      </c>
      <c r="F73" s="43"/>
      <c r="G73" s="43"/>
      <c r="H73" s="43"/>
      <c r="I73" s="34">
        <f>SUM(F73:H73)</f>
        <v>0</v>
      </c>
      <c r="J73" s="43"/>
      <c r="K73" s="43"/>
      <c r="L73" s="43"/>
      <c r="M73" s="34">
        <f>SUM(J73:L73)</f>
        <v>0</v>
      </c>
      <c r="N73" s="43"/>
      <c r="O73" s="43"/>
      <c r="P73" s="43"/>
      <c r="Q73" s="34">
        <f>SUM(N73:P73)</f>
        <v>0</v>
      </c>
      <c r="R73" s="43"/>
      <c r="S73" s="43"/>
      <c r="T73" s="43"/>
      <c r="U73" s="34">
        <f>SUM(R73:T73)</f>
        <v>0</v>
      </c>
      <c r="V73" s="34">
        <f>I73+M73+Q73+U73</f>
        <v>0</v>
      </c>
    </row>
    <row r="74" spans="1:22" ht="13.15" outlineLevel="2">
      <c r="A74" s="24"/>
      <c r="B74" s="27"/>
      <c r="C74" s="27" t="s">
        <v>8</v>
      </c>
      <c r="D74" s="27"/>
      <c r="E74" s="9">
        <v>0</v>
      </c>
      <c r="F74" s="43"/>
      <c r="G74" s="43"/>
      <c r="H74" s="43"/>
      <c r="I74" s="34">
        <f>SUM(F74:H74)</f>
        <v>0</v>
      </c>
      <c r="J74" s="43"/>
      <c r="K74" s="43"/>
      <c r="L74" s="43"/>
      <c r="M74" s="34">
        <f>SUM(J74:L74)</f>
        <v>0</v>
      </c>
      <c r="N74" s="43"/>
      <c r="O74" s="43"/>
      <c r="P74" s="43"/>
      <c r="Q74" s="34">
        <f>SUM(N74:P74)</f>
        <v>0</v>
      </c>
      <c r="R74" s="43"/>
      <c r="S74" s="43"/>
      <c r="T74" s="43"/>
      <c r="U74" s="34">
        <f>SUM(R74:T74)</f>
        <v>0</v>
      </c>
      <c r="V74" s="34">
        <f>I74+M74+Q74+U74</f>
        <v>0</v>
      </c>
    </row>
    <row r="75" spans="1:22" ht="13.15" outlineLevel="2">
      <c r="A75" s="24"/>
      <c r="B75" s="27"/>
      <c r="C75" s="27" t="s">
        <v>9</v>
      </c>
      <c r="D75" s="27"/>
      <c r="E75" s="9">
        <v>0</v>
      </c>
      <c r="F75" s="43"/>
      <c r="G75" s="43"/>
      <c r="H75" s="43"/>
      <c r="I75" s="34">
        <f>SUM(F75:H75)</f>
        <v>0</v>
      </c>
      <c r="J75" s="43"/>
      <c r="K75" s="43"/>
      <c r="L75" s="43"/>
      <c r="M75" s="34">
        <f>SUM(J75:L75)</f>
        <v>0</v>
      </c>
      <c r="N75" s="43"/>
      <c r="O75" s="43"/>
      <c r="P75" s="43"/>
      <c r="Q75" s="34">
        <f>SUM(N75:P75)</f>
        <v>0</v>
      </c>
      <c r="R75" s="43"/>
      <c r="S75" s="43"/>
      <c r="T75" s="43"/>
      <c r="U75" s="34">
        <f>SUM(R75:T75)</f>
        <v>0</v>
      </c>
      <c r="V75" s="34">
        <f>I75+M75+Q75+U75</f>
        <v>0</v>
      </c>
    </row>
    <row r="76" spans="1:22" ht="13.15" outlineLevel="1">
      <c r="A76" s="24"/>
      <c r="B76" s="29" t="s">
        <v>10</v>
      </c>
      <c r="C76" s="30"/>
      <c r="D76" s="30"/>
      <c r="E76" s="10"/>
      <c r="F76" s="45">
        <f t="shared" ref="F76" si="68">SUM(F73:F75)</f>
        <v>0</v>
      </c>
      <c r="G76" s="45">
        <f t="shared" ref="G76" si="69">SUM(G73:G75)</f>
        <v>0</v>
      </c>
      <c r="H76" s="45">
        <f t="shared" ref="H76" si="70">SUM(H73:H75)</f>
        <v>0</v>
      </c>
      <c r="I76" s="35">
        <f>SUM(I73:I75)</f>
        <v>0</v>
      </c>
      <c r="J76" s="45">
        <f t="shared" ref="J76:L76" si="71">SUM(J73:J75)</f>
        <v>0</v>
      </c>
      <c r="K76" s="45">
        <f t="shared" si="71"/>
        <v>0</v>
      </c>
      <c r="L76" s="45">
        <f t="shared" si="71"/>
        <v>0</v>
      </c>
      <c r="M76" s="35">
        <f>SUM(M73:M75)</f>
        <v>0</v>
      </c>
      <c r="N76" s="45">
        <f t="shared" ref="N76:P76" si="72">SUM(N73:N75)</f>
        <v>0</v>
      </c>
      <c r="O76" s="45">
        <f t="shared" si="72"/>
        <v>0</v>
      </c>
      <c r="P76" s="45">
        <f t="shared" si="72"/>
        <v>0</v>
      </c>
      <c r="Q76" s="35">
        <f>SUM(Q73:Q75)</f>
        <v>0</v>
      </c>
      <c r="R76" s="45">
        <f t="shared" ref="R76:T76" si="73">SUM(R73:R75)</f>
        <v>0</v>
      </c>
      <c r="S76" s="45">
        <f t="shared" si="73"/>
        <v>0</v>
      </c>
      <c r="T76" s="45">
        <f t="shared" si="73"/>
        <v>0</v>
      </c>
      <c r="U76" s="35">
        <f>SUM(U73:U75)</f>
        <v>0</v>
      </c>
      <c r="V76" s="35">
        <f>I76+M76+Q76+U76</f>
        <v>0</v>
      </c>
    </row>
    <row r="77" spans="1:22" ht="13.15">
      <c r="A77" s="31"/>
      <c r="B77" s="32"/>
      <c r="C77" s="31"/>
      <c r="D77" s="32" t="s">
        <v>11</v>
      </c>
      <c r="E77" s="9"/>
      <c r="F77" s="139">
        <f>F52+F53+F66+F71+F76</f>
        <v>14109000</v>
      </c>
      <c r="G77" s="139">
        <f>G52+G53+G66+G71+G76</f>
        <v>14109000</v>
      </c>
      <c r="H77" s="139">
        <f>H52+H53+H66+H71+H76</f>
        <v>14109000</v>
      </c>
      <c r="I77" s="139">
        <f>I76+I71+I66+I53+I52</f>
        <v>42327000</v>
      </c>
      <c r="J77" s="139">
        <f>J52+J53+J66+J71+J76</f>
        <v>14109000</v>
      </c>
      <c r="K77" s="139">
        <f>K52+K53+K66+K71+K76</f>
        <v>14109000</v>
      </c>
      <c r="L77" s="139">
        <f>L52+L53+L66+L71+L76</f>
        <v>14109000</v>
      </c>
      <c r="M77" s="139">
        <f>M76+M71+M66+M53+M52</f>
        <v>42327000</v>
      </c>
      <c r="N77" s="139">
        <f>N52+N53+N66+N71+N76</f>
        <v>14109000</v>
      </c>
      <c r="O77" s="139">
        <f>O52+O53+O66+O71+O76</f>
        <v>14109000</v>
      </c>
      <c r="P77" s="139">
        <f>P52+P53+P66+P71+P76</f>
        <v>14109000</v>
      </c>
      <c r="Q77" s="139">
        <f>Q76+Q71+Q66+Q53+Q52</f>
        <v>42327000</v>
      </c>
      <c r="R77" s="139">
        <f>R52+R53+R66+R71+R76</f>
        <v>14109000</v>
      </c>
      <c r="S77" s="139">
        <f>S52+S53+S66+S71+S76</f>
        <v>14109000</v>
      </c>
      <c r="T77" s="139">
        <f>T52+T53+T66+T71+T76</f>
        <v>14109000</v>
      </c>
      <c r="U77" s="35">
        <f>U76+U71+U66+U53+U52</f>
        <v>42327000</v>
      </c>
      <c r="V77" s="35">
        <f>I77+M77+Q77+U77</f>
        <v>169308000</v>
      </c>
    </row>
    <row r="78" spans="1:22" ht="13.15" outlineLevel="1">
      <c r="A78" s="32" t="s">
        <v>12</v>
      </c>
      <c r="B78" s="32"/>
      <c r="C78" s="33"/>
      <c r="D78" s="33"/>
      <c r="E78" s="9"/>
      <c r="F78" s="44"/>
      <c r="G78" s="44"/>
      <c r="H78" s="44"/>
      <c r="I78" s="35"/>
      <c r="J78" s="44"/>
      <c r="K78" s="44"/>
      <c r="L78" s="44"/>
      <c r="M78" s="35"/>
      <c r="N78" s="44"/>
      <c r="O78" s="44"/>
      <c r="P78" s="44"/>
      <c r="Q78" s="35"/>
      <c r="R78" s="44"/>
      <c r="S78" s="44"/>
      <c r="T78" s="44"/>
      <c r="U78" s="35"/>
      <c r="V78" s="35"/>
    </row>
    <row r="79" spans="1:22" ht="13.15" outlineLevel="2">
      <c r="A79" s="24"/>
      <c r="B79" s="26" t="s">
        <v>13</v>
      </c>
      <c r="C79" s="27"/>
      <c r="D79" s="27"/>
      <c r="E79" s="9"/>
      <c r="F79" s="129"/>
      <c r="G79" s="129"/>
      <c r="H79" s="129"/>
      <c r="I79" s="36"/>
      <c r="J79" s="129"/>
      <c r="K79" s="129"/>
      <c r="L79" s="129"/>
      <c r="M79" s="36"/>
      <c r="N79" s="129"/>
      <c r="O79" s="129"/>
      <c r="P79" s="129"/>
      <c r="Q79" s="36"/>
      <c r="R79" s="129"/>
      <c r="S79" s="129"/>
      <c r="T79" s="129"/>
      <c r="U79" s="36"/>
      <c r="V79" s="36"/>
    </row>
    <row r="80" spans="1:22" ht="13.15" outlineLevel="2">
      <c r="A80" s="24"/>
      <c r="B80" s="27"/>
      <c r="C80" s="28" t="s">
        <v>66</v>
      </c>
      <c r="D80" s="27"/>
      <c r="E80" s="9">
        <v>0</v>
      </c>
      <c r="F80" s="96"/>
      <c r="G80" s="96"/>
      <c r="H80" s="96"/>
      <c r="I80" s="34">
        <f t="shared" ref="I80:I87" si="74">SUM(F80:H80)</f>
        <v>0</v>
      </c>
      <c r="J80" s="96"/>
      <c r="K80" s="96"/>
      <c r="L80" s="96"/>
      <c r="M80" s="34">
        <f t="shared" ref="M80:M87" si="75">SUM(J80:L80)</f>
        <v>0</v>
      </c>
      <c r="N80" s="96"/>
      <c r="O80" s="96"/>
      <c r="P80" s="96"/>
      <c r="Q80" s="34">
        <f t="shared" ref="Q80:Q87" si="76">SUM(N80:P80)</f>
        <v>0</v>
      </c>
      <c r="R80" s="96"/>
      <c r="S80" s="96"/>
      <c r="T80" s="96"/>
      <c r="U80" s="34">
        <f t="shared" ref="U80:U87" si="77">SUM(R80:T80)</f>
        <v>0</v>
      </c>
      <c r="V80" s="34">
        <f t="shared" ref="V80:V97" si="78">I80+M80+Q80+U80</f>
        <v>0</v>
      </c>
    </row>
    <row r="81" spans="1:22" ht="13.15" outlineLevel="2">
      <c r="A81" s="24"/>
      <c r="B81" s="27"/>
      <c r="C81" s="28" t="s">
        <v>67</v>
      </c>
      <c r="D81" s="27"/>
      <c r="E81" s="9">
        <v>0</v>
      </c>
      <c r="F81" s="96">
        <v>0</v>
      </c>
      <c r="G81" s="96"/>
      <c r="H81" s="96"/>
      <c r="I81" s="34">
        <f t="shared" si="74"/>
        <v>0</v>
      </c>
      <c r="J81" s="96"/>
      <c r="K81" s="96"/>
      <c r="L81" s="96"/>
      <c r="M81" s="34">
        <f t="shared" si="75"/>
        <v>0</v>
      </c>
      <c r="N81" s="96"/>
      <c r="O81" s="96"/>
      <c r="P81" s="96"/>
      <c r="Q81" s="34">
        <f t="shared" si="76"/>
        <v>0</v>
      </c>
      <c r="R81" s="96"/>
      <c r="S81" s="96"/>
      <c r="T81" s="96"/>
      <c r="U81" s="34">
        <f t="shared" si="77"/>
        <v>0</v>
      </c>
      <c r="V81" s="34">
        <f t="shared" si="78"/>
        <v>0</v>
      </c>
    </row>
    <row r="82" spans="1:22" ht="13.15" outlineLevel="2">
      <c r="A82" s="24"/>
      <c r="B82" s="27"/>
      <c r="C82" s="28" t="s">
        <v>100</v>
      </c>
      <c r="D82" s="27"/>
      <c r="E82" s="9">
        <v>0</v>
      </c>
      <c r="F82" s="96"/>
      <c r="G82" s="96"/>
      <c r="H82" s="96"/>
      <c r="I82" s="34">
        <f t="shared" si="74"/>
        <v>0</v>
      </c>
      <c r="J82" s="96"/>
      <c r="K82" s="96"/>
      <c r="L82" s="96"/>
      <c r="M82" s="34">
        <f t="shared" si="75"/>
        <v>0</v>
      </c>
      <c r="N82" s="96"/>
      <c r="O82" s="96"/>
      <c r="P82" s="96"/>
      <c r="Q82" s="34">
        <f t="shared" si="76"/>
        <v>0</v>
      </c>
      <c r="R82" s="96"/>
      <c r="S82" s="96"/>
      <c r="T82" s="96"/>
      <c r="U82" s="34">
        <f t="shared" si="77"/>
        <v>0</v>
      </c>
      <c r="V82" s="34">
        <f t="shared" si="78"/>
        <v>0</v>
      </c>
    </row>
    <row r="83" spans="1:22" ht="13.15" outlineLevel="2">
      <c r="A83" s="24"/>
      <c r="B83" s="27"/>
      <c r="C83" s="28" t="s">
        <v>99</v>
      </c>
      <c r="D83" s="27"/>
      <c r="E83" s="9"/>
      <c r="F83" s="96"/>
      <c r="G83" s="96"/>
      <c r="H83" s="96"/>
      <c r="I83" s="34">
        <f t="shared" si="74"/>
        <v>0</v>
      </c>
      <c r="J83" s="96"/>
      <c r="K83" s="96"/>
      <c r="L83" s="96"/>
      <c r="M83" s="34">
        <f t="shared" si="75"/>
        <v>0</v>
      </c>
      <c r="N83" s="96"/>
      <c r="O83" s="96"/>
      <c r="P83" s="96"/>
      <c r="Q83" s="34">
        <f t="shared" si="76"/>
        <v>0</v>
      </c>
      <c r="R83" s="96"/>
      <c r="S83" s="96"/>
      <c r="T83" s="96"/>
      <c r="U83" s="34">
        <f t="shared" si="77"/>
        <v>0</v>
      </c>
      <c r="V83" s="34">
        <f t="shared" si="78"/>
        <v>0</v>
      </c>
    </row>
    <row r="84" spans="1:22" ht="13.15" outlineLevel="2">
      <c r="A84" s="24"/>
      <c r="B84" s="27"/>
      <c r="C84" s="28" t="s">
        <v>101</v>
      </c>
      <c r="D84" s="27"/>
      <c r="E84" s="9"/>
      <c r="F84" s="96"/>
      <c r="G84" s="96"/>
      <c r="H84" s="96"/>
      <c r="I84" s="34">
        <f t="shared" si="74"/>
        <v>0</v>
      </c>
      <c r="J84" s="96"/>
      <c r="K84" s="96"/>
      <c r="L84" s="96"/>
      <c r="M84" s="34">
        <f t="shared" si="75"/>
        <v>0</v>
      </c>
      <c r="N84" s="96"/>
      <c r="O84" s="96"/>
      <c r="P84" s="96"/>
      <c r="Q84" s="34">
        <f t="shared" si="76"/>
        <v>0</v>
      </c>
      <c r="R84" s="96"/>
      <c r="S84" s="96"/>
      <c r="T84" s="96"/>
      <c r="U84" s="34">
        <f t="shared" si="77"/>
        <v>0</v>
      </c>
      <c r="V84" s="34">
        <f t="shared" si="78"/>
        <v>0</v>
      </c>
    </row>
    <row r="85" spans="1:22" ht="13.15" outlineLevel="2">
      <c r="A85" s="24"/>
      <c r="B85" s="27"/>
      <c r="C85" s="28" t="s">
        <v>41</v>
      </c>
      <c r="D85" s="27"/>
      <c r="E85" s="9">
        <v>0</v>
      </c>
      <c r="F85" s="96"/>
      <c r="G85" s="96"/>
      <c r="H85" s="96"/>
      <c r="I85" s="34">
        <f t="shared" si="74"/>
        <v>0</v>
      </c>
      <c r="J85" s="96"/>
      <c r="K85" s="96"/>
      <c r="L85" s="96"/>
      <c r="M85" s="34">
        <f t="shared" si="75"/>
        <v>0</v>
      </c>
      <c r="N85" s="96"/>
      <c r="O85" s="96"/>
      <c r="P85" s="96"/>
      <c r="Q85" s="34">
        <f t="shared" si="76"/>
        <v>0</v>
      </c>
      <c r="R85" s="96"/>
      <c r="S85" s="96"/>
      <c r="T85" s="96"/>
      <c r="U85" s="34">
        <f t="shared" si="77"/>
        <v>0</v>
      </c>
      <c r="V85" s="34">
        <f t="shared" si="78"/>
        <v>0</v>
      </c>
    </row>
    <row r="86" spans="1:22" ht="13.15" outlineLevel="2">
      <c r="A86" s="24"/>
      <c r="B86" s="27"/>
      <c r="C86" s="28" t="s">
        <v>114</v>
      </c>
      <c r="D86" s="27"/>
      <c r="E86" s="9">
        <v>0</v>
      </c>
      <c r="F86" s="96"/>
      <c r="G86" s="96"/>
      <c r="H86" s="96"/>
      <c r="I86" s="34">
        <f t="shared" si="74"/>
        <v>0</v>
      </c>
      <c r="J86" s="96"/>
      <c r="K86" s="96"/>
      <c r="L86" s="96"/>
      <c r="M86" s="34">
        <f t="shared" si="75"/>
        <v>0</v>
      </c>
      <c r="N86" s="96"/>
      <c r="O86" s="96"/>
      <c r="P86" s="96"/>
      <c r="Q86" s="34">
        <f t="shared" si="76"/>
        <v>0</v>
      </c>
      <c r="R86" s="96"/>
      <c r="S86" s="96"/>
      <c r="T86" s="96"/>
      <c r="U86" s="34">
        <f t="shared" si="77"/>
        <v>0</v>
      </c>
      <c r="V86" s="34">
        <f t="shared" si="78"/>
        <v>0</v>
      </c>
    </row>
    <row r="87" spans="1:22" ht="13.15" outlineLevel="2">
      <c r="A87" s="24"/>
      <c r="B87" s="27"/>
      <c r="C87" s="28" t="s">
        <v>105</v>
      </c>
      <c r="D87" s="27"/>
      <c r="E87" s="9">
        <v>0</v>
      </c>
      <c r="F87" s="96"/>
      <c r="G87" s="96"/>
      <c r="H87" s="96"/>
      <c r="I87" s="34">
        <f t="shared" si="74"/>
        <v>0</v>
      </c>
      <c r="J87" s="96"/>
      <c r="K87" s="96"/>
      <c r="L87" s="96"/>
      <c r="M87" s="34">
        <f t="shared" si="75"/>
        <v>0</v>
      </c>
      <c r="N87" s="96"/>
      <c r="O87" s="96"/>
      <c r="P87" s="96"/>
      <c r="Q87" s="34">
        <f t="shared" si="76"/>
        <v>0</v>
      </c>
      <c r="R87" s="96"/>
      <c r="S87" s="96"/>
      <c r="T87" s="96"/>
      <c r="U87" s="34">
        <f t="shared" si="77"/>
        <v>0</v>
      </c>
      <c r="V87" s="34">
        <f t="shared" si="78"/>
        <v>0</v>
      </c>
    </row>
    <row r="88" spans="1:22" ht="13.15" outlineLevel="1">
      <c r="A88" s="24"/>
      <c r="B88" s="30" t="s">
        <v>14</v>
      </c>
      <c r="C88" s="30"/>
      <c r="D88" s="30"/>
      <c r="E88" s="10"/>
      <c r="F88" s="45">
        <f t="shared" ref="F88:Q89" si="79">SUM(F80:F87)</f>
        <v>0</v>
      </c>
      <c r="G88" s="45">
        <f t="shared" si="79"/>
        <v>0</v>
      </c>
      <c r="H88" s="45">
        <f t="shared" ref="H88" si="80">SUM(H80:H87)</f>
        <v>0</v>
      </c>
      <c r="I88" s="35">
        <f t="shared" si="79"/>
        <v>0</v>
      </c>
      <c r="J88" s="45">
        <f t="shared" ref="J88:L88" si="81">SUM(J80:J87)</f>
        <v>0</v>
      </c>
      <c r="K88" s="45">
        <f t="shared" si="81"/>
        <v>0</v>
      </c>
      <c r="L88" s="45">
        <f t="shared" si="81"/>
        <v>0</v>
      </c>
      <c r="M88" s="35">
        <f t="shared" si="79"/>
        <v>0</v>
      </c>
      <c r="N88" s="45">
        <f t="shared" ref="N88:P88" si="82">SUM(N80:N87)</f>
        <v>0</v>
      </c>
      <c r="O88" s="45">
        <f t="shared" si="82"/>
        <v>0</v>
      </c>
      <c r="P88" s="45">
        <f t="shared" si="82"/>
        <v>0</v>
      </c>
      <c r="Q88" s="35">
        <f t="shared" si="79"/>
        <v>0</v>
      </c>
      <c r="R88" s="45">
        <f t="shared" ref="R88:T88" si="83">SUM(R80:R87)</f>
        <v>0</v>
      </c>
      <c r="S88" s="45">
        <f t="shared" si="83"/>
        <v>0</v>
      </c>
      <c r="T88" s="45">
        <f t="shared" si="83"/>
        <v>0</v>
      </c>
      <c r="U88" s="35">
        <f t="shared" ref="U88:U89" si="84">SUM(U80:U87)</f>
        <v>0</v>
      </c>
      <c r="V88" s="35">
        <f t="shared" si="78"/>
        <v>0</v>
      </c>
    </row>
    <row r="89" spans="1:22" s="4" customFormat="1" ht="13.15" outlineLevel="1">
      <c r="A89" s="24"/>
      <c r="B89" s="24" t="s">
        <v>15</v>
      </c>
      <c r="C89" s="24"/>
      <c r="D89" s="24"/>
      <c r="E89" s="8">
        <v>0</v>
      </c>
      <c r="F89" s="44">
        <v>0</v>
      </c>
      <c r="G89" s="44">
        <v>0</v>
      </c>
      <c r="H89" s="44">
        <v>0</v>
      </c>
      <c r="I89" s="35">
        <f t="shared" si="79"/>
        <v>0</v>
      </c>
      <c r="J89" s="44">
        <v>0</v>
      </c>
      <c r="K89" s="44">
        <v>0</v>
      </c>
      <c r="L89" s="44">
        <v>0</v>
      </c>
      <c r="M89" s="35">
        <f t="shared" si="79"/>
        <v>0</v>
      </c>
      <c r="N89" s="44">
        <v>0</v>
      </c>
      <c r="O89" s="44">
        <v>0</v>
      </c>
      <c r="P89" s="44">
        <v>0</v>
      </c>
      <c r="Q89" s="35">
        <f t="shared" si="79"/>
        <v>0</v>
      </c>
      <c r="R89" s="44">
        <v>0</v>
      </c>
      <c r="S89" s="44">
        <v>0</v>
      </c>
      <c r="T89" s="44">
        <v>0</v>
      </c>
      <c r="U89" s="35">
        <f t="shared" si="84"/>
        <v>0</v>
      </c>
      <c r="V89" s="35">
        <f t="shared" si="78"/>
        <v>0</v>
      </c>
    </row>
    <row r="90" spans="1:22" ht="13.15" outlineLevel="2">
      <c r="A90" s="24"/>
      <c r="B90" s="26" t="s">
        <v>16</v>
      </c>
      <c r="C90" s="27"/>
      <c r="D90" s="27"/>
      <c r="E90" s="9"/>
      <c r="F90" s="129"/>
      <c r="G90" s="129"/>
      <c r="H90" s="129"/>
      <c r="I90" s="34">
        <f t="shared" ref="I90:I96" si="85">SUM(F90:H90)</f>
        <v>0</v>
      </c>
      <c r="J90" s="129"/>
      <c r="K90" s="129"/>
      <c r="L90" s="129"/>
      <c r="M90" s="34">
        <f t="shared" ref="M90:M96" si="86">SUM(J90:L90)</f>
        <v>0</v>
      </c>
      <c r="N90" s="129"/>
      <c r="O90" s="129"/>
      <c r="P90" s="129"/>
      <c r="Q90" s="34">
        <f t="shared" ref="Q90:Q96" si="87">SUM(N90:P90)</f>
        <v>0</v>
      </c>
      <c r="R90" s="129"/>
      <c r="S90" s="129"/>
      <c r="T90" s="129"/>
      <c r="U90" s="34">
        <f t="shared" ref="U90" si="88">SUM(R90:T90)</f>
        <v>0</v>
      </c>
      <c r="V90" s="34">
        <f t="shared" si="78"/>
        <v>0</v>
      </c>
    </row>
    <row r="91" spans="1:22" ht="13.15" outlineLevel="2">
      <c r="A91" s="24"/>
      <c r="B91" s="27"/>
      <c r="C91" s="28" t="s">
        <v>42</v>
      </c>
      <c r="D91" s="27"/>
      <c r="E91" s="9">
        <v>0</v>
      </c>
      <c r="F91" s="43"/>
      <c r="G91" s="43"/>
      <c r="H91" s="43"/>
      <c r="I91" s="34">
        <f t="shared" si="85"/>
        <v>0</v>
      </c>
      <c r="J91" s="43"/>
      <c r="K91" s="43"/>
      <c r="L91" s="43"/>
      <c r="M91" s="34">
        <f t="shared" si="86"/>
        <v>0</v>
      </c>
      <c r="N91" s="43"/>
      <c r="O91" s="43"/>
      <c r="P91" s="43"/>
      <c r="Q91" s="34">
        <f t="shared" si="87"/>
        <v>0</v>
      </c>
      <c r="R91" s="43"/>
      <c r="S91" s="43"/>
      <c r="T91" s="43"/>
      <c r="U91" s="34">
        <f t="shared" ref="U91:U96" si="89">SUM(R91:T91)</f>
        <v>0</v>
      </c>
      <c r="V91" s="34">
        <f t="shared" si="78"/>
        <v>0</v>
      </c>
    </row>
    <row r="92" spans="1:22" ht="13.15" outlineLevel="2">
      <c r="A92" s="24"/>
      <c r="B92" s="27"/>
      <c r="C92" s="28" t="s">
        <v>43</v>
      </c>
      <c r="D92" s="27"/>
      <c r="E92" s="9">
        <v>0</v>
      </c>
      <c r="F92" s="43"/>
      <c r="G92" s="43"/>
      <c r="H92" s="43"/>
      <c r="I92" s="34">
        <f t="shared" si="85"/>
        <v>0</v>
      </c>
      <c r="J92" s="43"/>
      <c r="K92" s="43"/>
      <c r="L92" s="43"/>
      <c r="M92" s="34">
        <f t="shared" si="86"/>
        <v>0</v>
      </c>
      <c r="N92" s="43"/>
      <c r="O92" s="43"/>
      <c r="P92" s="43"/>
      <c r="Q92" s="34">
        <f t="shared" si="87"/>
        <v>0</v>
      </c>
      <c r="R92" s="43"/>
      <c r="S92" s="43"/>
      <c r="T92" s="43"/>
      <c r="U92" s="34">
        <f t="shared" si="89"/>
        <v>0</v>
      </c>
      <c r="V92" s="34">
        <f t="shared" si="78"/>
        <v>0</v>
      </c>
    </row>
    <row r="93" spans="1:22" ht="13.15" outlineLevel="2">
      <c r="A93" s="24"/>
      <c r="B93" s="27"/>
      <c r="C93" s="28" t="s">
        <v>53</v>
      </c>
      <c r="D93" s="27"/>
      <c r="E93" s="9">
        <v>0</v>
      </c>
      <c r="F93" s="43"/>
      <c r="G93" s="43"/>
      <c r="H93" s="43"/>
      <c r="I93" s="34">
        <f t="shared" si="85"/>
        <v>0</v>
      </c>
      <c r="J93" s="43"/>
      <c r="K93" s="43"/>
      <c r="L93" s="43"/>
      <c r="M93" s="34">
        <f t="shared" si="86"/>
        <v>0</v>
      </c>
      <c r="N93" s="43"/>
      <c r="O93" s="43"/>
      <c r="P93" s="43"/>
      <c r="Q93" s="34">
        <f t="shared" si="87"/>
        <v>0</v>
      </c>
      <c r="R93" s="43"/>
      <c r="S93" s="43"/>
      <c r="T93" s="43"/>
      <c r="U93" s="34">
        <f t="shared" si="89"/>
        <v>0</v>
      </c>
      <c r="V93" s="34">
        <f t="shared" si="78"/>
        <v>0</v>
      </c>
    </row>
    <row r="94" spans="1:22" ht="13.15" outlineLevel="2">
      <c r="A94" s="24"/>
      <c r="B94" s="27"/>
      <c r="C94" s="28" t="s">
        <v>44</v>
      </c>
      <c r="D94" s="27"/>
      <c r="E94" s="9">
        <v>0</v>
      </c>
      <c r="F94" s="43"/>
      <c r="G94" s="43"/>
      <c r="H94" s="43"/>
      <c r="I94" s="34">
        <f t="shared" si="85"/>
        <v>0</v>
      </c>
      <c r="J94" s="43"/>
      <c r="K94" s="43"/>
      <c r="L94" s="43"/>
      <c r="M94" s="34">
        <f t="shared" si="86"/>
        <v>0</v>
      </c>
      <c r="N94" s="43"/>
      <c r="O94" s="43"/>
      <c r="P94" s="43"/>
      <c r="Q94" s="34">
        <f t="shared" si="87"/>
        <v>0</v>
      </c>
      <c r="R94" s="43"/>
      <c r="S94" s="43"/>
      <c r="T94" s="43"/>
      <c r="U94" s="34">
        <f t="shared" si="89"/>
        <v>0</v>
      </c>
      <c r="V94" s="34">
        <f t="shared" si="78"/>
        <v>0</v>
      </c>
    </row>
    <row r="95" spans="1:22" ht="13.15" outlineLevel="2">
      <c r="A95" s="24"/>
      <c r="B95" s="27"/>
      <c r="C95" s="28" t="s">
        <v>51</v>
      </c>
      <c r="D95" s="27"/>
      <c r="E95" s="9">
        <v>0</v>
      </c>
      <c r="F95" s="43"/>
      <c r="G95" s="43"/>
      <c r="H95" s="43"/>
      <c r="I95" s="34">
        <f t="shared" si="85"/>
        <v>0</v>
      </c>
      <c r="J95" s="43"/>
      <c r="K95" s="43"/>
      <c r="L95" s="43"/>
      <c r="M95" s="34">
        <f t="shared" si="86"/>
        <v>0</v>
      </c>
      <c r="N95" s="43"/>
      <c r="O95" s="43"/>
      <c r="P95" s="43"/>
      <c r="Q95" s="34">
        <f t="shared" si="87"/>
        <v>0</v>
      </c>
      <c r="R95" s="43"/>
      <c r="S95" s="43"/>
      <c r="T95" s="43"/>
      <c r="U95" s="34">
        <f t="shared" si="89"/>
        <v>0</v>
      </c>
      <c r="V95" s="34">
        <f t="shared" si="78"/>
        <v>0</v>
      </c>
    </row>
    <row r="96" spans="1:22" ht="13.15" outlineLevel="2">
      <c r="A96" s="24"/>
      <c r="B96" s="27"/>
      <c r="C96" s="28" t="s">
        <v>50</v>
      </c>
      <c r="D96" s="27"/>
      <c r="E96" s="9">
        <v>0</v>
      </c>
      <c r="F96" s="43"/>
      <c r="G96" s="43"/>
      <c r="H96" s="43"/>
      <c r="I96" s="34">
        <f t="shared" si="85"/>
        <v>0</v>
      </c>
      <c r="J96" s="43"/>
      <c r="K96" s="43"/>
      <c r="L96" s="43"/>
      <c r="M96" s="34">
        <f t="shared" si="86"/>
        <v>0</v>
      </c>
      <c r="N96" s="43"/>
      <c r="O96" s="43"/>
      <c r="P96" s="43"/>
      <c r="Q96" s="34">
        <f t="shared" si="87"/>
        <v>0</v>
      </c>
      <c r="R96" s="43"/>
      <c r="S96" s="43"/>
      <c r="T96" s="43"/>
      <c r="U96" s="34">
        <f t="shared" si="89"/>
        <v>0</v>
      </c>
      <c r="V96" s="34">
        <f t="shared" si="78"/>
        <v>0</v>
      </c>
    </row>
    <row r="97" spans="1:22" ht="13.15" outlineLevel="1">
      <c r="A97" s="24"/>
      <c r="B97" s="24" t="s">
        <v>17</v>
      </c>
      <c r="C97" s="24"/>
      <c r="D97" s="24"/>
      <c r="E97" s="8"/>
      <c r="F97" s="44">
        <f t="shared" ref="F97:G97" si="90">SUM(F91:F96)</f>
        <v>0</v>
      </c>
      <c r="G97" s="44">
        <f t="shared" si="90"/>
        <v>0</v>
      </c>
      <c r="H97" s="44">
        <f t="shared" ref="H97" si="91">SUM(H91:H96)</f>
        <v>0</v>
      </c>
      <c r="I97" s="35">
        <f>SUM(I91:I96)</f>
        <v>0</v>
      </c>
      <c r="J97" s="44">
        <f t="shared" ref="J97:L97" si="92">SUM(J91:J96)</f>
        <v>0</v>
      </c>
      <c r="K97" s="44">
        <f t="shared" si="92"/>
        <v>0</v>
      </c>
      <c r="L97" s="44">
        <f t="shared" si="92"/>
        <v>0</v>
      </c>
      <c r="M97" s="35">
        <f>SUM(M91:M96)</f>
        <v>0</v>
      </c>
      <c r="N97" s="44">
        <f t="shared" ref="N97:P97" si="93">SUM(N91:N96)</f>
        <v>0</v>
      </c>
      <c r="O97" s="44">
        <f t="shared" si="93"/>
        <v>0</v>
      </c>
      <c r="P97" s="44">
        <f t="shared" si="93"/>
        <v>0</v>
      </c>
      <c r="Q97" s="35">
        <f>SUM(Q91:Q96)</f>
        <v>0</v>
      </c>
      <c r="R97" s="44">
        <f t="shared" ref="R97:T97" si="94">SUM(R91:R96)</f>
        <v>0</v>
      </c>
      <c r="S97" s="44">
        <f t="shared" si="94"/>
        <v>0</v>
      </c>
      <c r="T97" s="44">
        <f t="shared" si="94"/>
        <v>0</v>
      </c>
      <c r="U97" s="35">
        <f>SUM(U91:U96)</f>
        <v>0</v>
      </c>
      <c r="V97" s="35">
        <f t="shared" si="78"/>
        <v>0</v>
      </c>
    </row>
    <row r="98" spans="1:22" ht="13.15" outlineLevel="2">
      <c r="A98" s="24"/>
      <c r="B98" s="26" t="s">
        <v>18</v>
      </c>
      <c r="C98" s="27"/>
      <c r="D98" s="27"/>
      <c r="E98" s="9"/>
      <c r="F98" s="129"/>
      <c r="G98" s="129"/>
      <c r="H98" s="129"/>
      <c r="I98" s="36"/>
      <c r="J98" s="129"/>
      <c r="K98" s="129"/>
      <c r="L98" s="129"/>
      <c r="M98" s="36"/>
      <c r="N98" s="129"/>
      <c r="O98" s="129"/>
      <c r="P98" s="129"/>
      <c r="Q98" s="36"/>
      <c r="R98" s="129"/>
      <c r="S98" s="129"/>
      <c r="T98" s="129"/>
      <c r="U98" s="36"/>
      <c r="V98" s="36"/>
    </row>
    <row r="99" spans="1:22" ht="13.15" outlineLevel="2">
      <c r="A99" s="24"/>
      <c r="B99" s="27"/>
      <c r="C99" s="28" t="s">
        <v>68</v>
      </c>
      <c r="D99" s="27"/>
      <c r="E99" s="9">
        <v>0</v>
      </c>
      <c r="F99" s="96"/>
      <c r="G99" s="96"/>
      <c r="H99" s="96"/>
      <c r="I99" s="34">
        <f t="shared" ref="I99:I105" si="95">SUM(F99:H99)</f>
        <v>0</v>
      </c>
      <c r="J99" s="96"/>
      <c r="K99" s="96"/>
      <c r="L99" s="96"/>
      <c r="M99" s="34">
        <f t="shared" ref="M99:M105" si="96">SUM(J99:L99)</f>
        <v>0</v>
      </c>
      <c r="N99" s="96"/>
      <c r="O99" s="96"/>
      <c r="P99" s="96"/>
      <c r="Q99" s="34">
        <f t="shared" ref="Q99:Q105" si="97">SUM(N99:P99)</f>
        <v>0</v>
      </c>
      <c r="R99" s="96"/>
      <c r="S99" s="96"/>
      <c r="T99" s="96"/>
      <c r="U99" s="34">
        <f t="shared" ref="U99" si="98">SUM(R99:T99)</f>
        <v>0</v>
      </c>
      <c r="V99" s="34">
        <f t="shared" ref="V99:V106" si="99">I99+M99+Q99+U99</f>
        <v>0</v>
      </c>
    </row>
    <row r="100" spans="1:22" ht="13.15" outlineLevel="2">
      <c r="A100" s="24"/>
      <c r="B100" s="27"/>
      <c r="C100" s="28" t="s">
        <v>45</v>
      </c>
      <c r="D100" s="27"/>
      <c r="E100" s="9">
        <v>0</v>
      </c>
      <c r="F100" s="96"/>
      <c r="G100" s="96"/>
      <c r="H100" s="96"/>
      <c r="I100" s="34">
        <f t="shared" si="95"/>
        <v>0</v>
      </c>
      <c r="J100" s="96"/>
      <c r="K100" s="96"/>
      <c r="L100" s="96"/>
      <c r="M100" s="34">
        <f t="shared" si="96"/>
        <v>0</v>
      </c>
      <c r="N100" s="96"/>
      <c r="O100" s="96"/>
      <c r="P100" s="96"/>
      <c r="Q100" s="34">
        <f t="shared" si="97"/>
        <v>0</v>
      </c>
      <c r="R100" s="96"/>
      <c r="S100" s="96"/>
      <c r="T100" s="96"/>
      <c r="U100" s="34">
        <f t="shared" ref="U100:U105" si="100">SUM(R100:T100)</f>
        <v>0</v>
      </c>
      <c r="V100" s="34">
        <f t="shared" si="99"/>
        <v>0</v>
      </c>
    </row>
    <row r="101" spans="1:22" ht="13.15" outlineLevel="2">
      <c r="A101" s="24"/>
      <c r="B101" s="27"/>
      <c r="C101" s="28" t="s">
        <v>94</v>
      </c>
      <c r="D101" s="27"/>
      <c r="E101" s="9">
        <v>0</v>
      </c>
      <c r="F101" s="96"/>
      <c r="G101" s="96"/>
      <c r="H101" s="96"/>
      <c r="I101" s="34">
        <f t="shared" si="95"/>
        <v>0</v>
      </c>
      <c r="J101" s="96"/>
      <c r="K101" s="96"/>
      <c r="L101" s="96"/>
      <c r="M101" s="34">
        <f t="shared" si="96"/>
        <v>0</v>
      </c>
      <c r="N101" s="96"/>
      <c r="O101" s="96"/>
      <c r="P101" s="96"/>
      <c r="Q101" s="34">
        <f t="shared" si="97"/>
        <v>0</v>
      </c>
      <c r="R101" s="96"/>
      <c r="S101" s="96"/>
      <c r="T101" s="96"/>
      <c r="U101" s="34">
        <f t="shared" si="100"/>
        <v>0</v>
      </c>
      <c r="V101" s="34">
        <f t="shared" si="99"/>
        <v>0</v>
      </c>
    </row>
    <row r="102" spans="1:22" ht="13.15" outlineLevel="2">
      <c r="A102" s="24"/>
      <c r="B102" s="27"/>
      <c r="C102" s="28" t="s">
        <v>46</v>
      </c>
      <c r="D102" s="27"/>
      <c r="E102" s="9">
        <v>0</v>
      </c>
      <c r="F102" s="96"/>
      <c r="G102" s="96"/>
      <c r="H102" s="96"/>
      <c r="I102" s="34">
        <f t="shared" si="95"/>
        <v>0</v>
      </c>
      <c r="J102" s="96"/>
      <c r="K102" s="96"/>
      <c r="L102" s="96"/>
      <c r="M102" s="34">
        <f t="shared" si="96"/>
        <v>0</v>
      </c>
      <c r="N102" s="96"/>
      <c r="O102" s="96"/>
      <c r="P102" s="96"/>
      <c r="Q102" s="34">
        <f t="shared" si="97"/>
        <v>0</v>
      </c>
      <c r="R102" s="96"/>
      <c r="S102" s="96"/>
      <c r="T102" s="96"/>
      <c r="U102" s="34">
        <f t="shared" si="100"/>
        <v>0</v>
      </c>
      <c r="V102" s="34">
        <f t="shared" si="99"/>
        <v>0</v>
      </c>
    </row>
    <row r="103" spans="1:22" ht="13.15" outlineLevel="2">
      <c r="A103" s="24"/>
      <c r="B103" s="27"/>
      <c r="C103" s="28" t="s">
        <v>111</v>
      </c>
      <c r="D103" s="27"/>
      <c r="E103" s="9">
        <v>0</v>
      </c>
      <c r="F103" s="96"/>
      <c r="G103" s="96"/>
      <c r="H103" s="96"/>
      <c r="I103" s="34">
        <f t="shared" si="95"/>
        <v>0</v>
      </c>
      <c r="J103" s="96"/>
      <c r="K103" s="96"/>
      <c r="L103" s="96"/>
      <c r="M103" s="34">
        <f t="shared" si="96"/>
        <v>0</v>
      </c>
      <c r="N103" s="96"/>
      <c r="O103" s="96"/>
      <c r="P103" s="96"/>
      <c r="Q103" s="34">
        <f t="shared" si="97"/>
        <v>0</v>
      </c>
      <c r="R103" s="96"/>
      <c r="S103" s="96"/>
      <c r="T103" s="96"/>
      <c r="U103" s="34">
        <f t="shared" si="100"/>
        <v>0</v>
      </c>
      <c r="V103" s="34">
        <f t="shared" si="99"/>
        <v>0</v>
      </c>
    </row>
    <row r="104" spans="1:22" ht="13.15" outlineLevel="2">
      <c r="A104" s="24"/>
      <c r="B104" s="27"/>
      <c r="C104" s="28" t="s">
        <v>115</v>
      </c>
      <c r="D104" s="27"/>
      <c r="E104" s="9">
        <v>0</v>
      </c>
      <c r="F104" s="96"/>
      <c r="G104" s="96"/>
      <c r="H104" s="96"/>
      <c r="I104" s="34">
        <f t="shared" si="95"/>
        <v>0</v>
      </c>
      <c r="J104" s="96"/>
      <c r="K104" s="96"/>
      <c r="L104" s="96"/>
      <c r="M104" s="34">
        <f t="shared" si="96"/>
        <v>0</v>
      </c>
      <c r="N104" s="96"/>
      <c r="O104" s="96"/>
      <c r="P104" s="96"/>
      <c r="Q104" s="34">
        <f t="shared" si="97"/>
        <v>0</v>
      </c>
      <c r="R104" s="96"/>
      <c r="S104" s="96"/>
      <c r="T104" s="96"/>
      <c r="U104" s="34">
        <f t="shared" si="100"/>
        <v>0</v>
      </c>
      <c r="V104" s="34">
        <f t="shared" si="99"/>
        <v>0</v>
      </c>
    </row>
    <row r="105" spans="1:22" ht="13.15" outlineLevel="2">
      <c r="A105" s="24"/>
      <c r="B105" s="27"/>
      <c r="C105" s="28" t="s">
        <v>26</v>
      </c>
      <c r="D105" s="27"/>
      <c r="E105" s="9"/>
      <c r="F105" s="96"/>
      <c r="G105" s="96">
        <v>200000</v>
      </c>
      <c r="H105" s="96">
        <v>200000</v>
      </c>
      <c r="I105" s="34">
        <f t="shared" si="95"/>
        <v>400000</v>
      </c>
      <c r="J105" s="96">
        <v>200000</v>
      </c>
      <c r="K105" s="96">
        <v>200000</v>
      </c>
      <c r="L105" s="96">
        <v>200000</v>
      </c>
      <c r="M105" s="34">
        <f t="shared" si="96"/>
        <v>600000</v>
      </c>
      <c r="N105" s="96">
        <v>200000</v>
      </c>
      <c r="O105" s="96">
        <v>200000</v>
      </c>
      <c r="P105" s="96">
        <v>200000</v>
      </c>
      <c r="Q105" s="34">
        <f t="shared" si="97"/>
        <v>600000</v>
      </c>
      <c r="R105" s="96">
        <v>200000</v>
      </c>
      <c r="S105" s="96">
        <v>200000</v>
      </c>
      <c r="T105" s="96">
        <v>200000</v>
      </c>
      <c r="U105" s="34">
        <f t="shared" si="100"/>
        <v>600000</v>
      </c>
      <c r="V105" s="34">
        <f t="shared" si="99"/>
        <v>2200000</v>
      </c>
    </row>
    <row r="106" spans="1:22" ht="13.15" outlineLevel="1">
      <c r="A106" s="24"/>
      <c r="B106" s="29" t="s">
        <v>19</v>
      </c>
      <c r="C106" s="30"/>
      <c r="D106" s="30"/>
      <c r="E106" s="10"/>
      <c r="F106" s="45">
        <f>SUM(F99:F105)</f>
        <v>0</v>
      </c>
      <c r="G106" s="45">
        <f>SUM(G99:G105)</f>
        <v>200000</v>
      </c>
      <c r="H106" s="45">
        <f>SUM(H99:H105)</f>
        <v>200000</v>
      </c>
      <c r="I106" s="35">
        <f t="shared" ref="I106" si="101">SUM(I99:I105)</f>
        <v>400000</v>
      </c>
      <c r="J106" s="45">
        <f>SUM(J99:J105)</f>
        <v>200000</v>
      </c>
      <c r="K106" s="45">
        <f>SUM(K99:K105)</f>
        <v>200000</v>
      </c>
      <c r="L106" s="45">
        <f>SUM(L99:L105)</f>
        <v>200000</v>
      </c>
      <c r="M106" s="35">
        <f t="shared" ref="M106" si="102">SUM(M99:M105)</f>
        <v>600000</v>
      </c>
      <c r="N106" s="45">
        <f>SUM(N99:N105)</f>
        <v>200000</v>
      </c>
      <c r="O106" s="45">
        <f>SUM(O99:O105)</f>
        <v>200000</v>
      </c>
      <c r="P106" s="45">
        <f>SUM(P99:P105)</f>
        <v>200000</v>
      </c>
      <c r="Q106" s="35">
        <f t="shared" ref="Q106" si="103">SUM(Q99:Q105)</f>
        <v>600000</v>
      </c>
      <c r="R106" s="45">
        <f>SUM(R99:R105)</f>
        <v>200000</v>
      </c>
      <c r="S106" s="45">
        <f>SUM(S99:S105)</f>
        <v>200000</v>
      </c>
      <c r="T106" s="45">
        <f>SUM(T99:T105)</f>
        <v>200000</v>
      </c>
      <c r="U106" s="35">
        <f t="shared" ref="U106" si="104">SUM(U99:U105)</f>
        <v>600000</v>
      </c>
      <c r="V106" s="35">
        <f t="shared" si="99"/>
        <v>2200000</v>
      </c>
    </row>
    <row r="107" spans="1:22" ht="13.15" outlineLevel="2">
      <c r="A107" s="24"/>
      <c r="B107" s="26" t="s">
        <v>20</v>
      </c>
      <c r="C107" s="27"/>
      <c r="D107" s="27"/>
      <c r="E107" s="9"/>
      <c r="F107" s="129"/>
      <c r="G107" s="129"/>
      <c r="H107" s="129"/>
      <c r="I107" s="36"/>
      <c r="J107" s="129"/>
      <c r="K107" s="129"/>
      <c r="L107" s="129"/>
      <c r="M107" s="36"/>
      <c r="N107" s="129"/>
      <c r="O107" s="129"/>
      <c r="P107" s="129"/>
      <c r="Q107" s="36"/>
      <c r="R107" s="129"/>
      <c r="S107" s="129"/>
      <c r="T107" s="129"/>
      <c r="U107" s="36"/>
      <c r="V107" s="36"/>
    </row>
    <row r="108" spans="1:22" ht="13.15" outlineLevel="2">
      <c r="A108" s="24"/>
      <c r="B108" s="27"/>
      <c r="C108" s="28" t="s">
        <v>29</v>
      </c>
      <c r="D108" s="27"/>
      <c r="E108" s="9">
        <v>0</v>
      </c>
      <c r="F108" s="96"/>
      <c r="G108" s="96"/>
      <c r="H108" s="96"/>
      <c r="I108" s="34">
        <f t="shared" ref="I108:I112" si="105">SUM(F108:H108)</f>
        <v>0</v>
      </c>
      <c r="J108" s="96"/>
      <c r="K108" s="96"/>
      <c r="L108" s="96"/>
      <c r="M108" s="34">
        <f t="shared" ref="M108:M112" si="106">SUM(J108:L108)</f>
        <v>0</v>
      </c>
      <c r="N108" s="96"/>
      <c r="O108" s="96"/>
      <c r="P108" s="96"/>
      <c r="Q108" s="34">
        <f t="shared" ref="Q108:Q112" si="107">SUM(N108:P108)</f>
        <v>0</v>
      </c>
      <c r="R108" s="96"/>
      <c r="S108" s="96"/>
      <c r="T108" s="96"/>
      <c r="U108" s="34">
        <f t="shared" ref="U108:U112" si="108">SUM(R108:T108)</f>
        <v>0</v>
      </c>
      <c r="V108" s="34">
        <f t="shared" ref="V108:V117" si="109">I108+M108+Q108+U108</f>
        <v>0</v>
      </c>
    </row>
    <row r="109" spans="1:22" ht="13.15" outlineLevel="2">
      <c r="A109" s="24"/>
      <c r="B109" s="27"/>
      <c r="C109" s="28" t="s">
        <v>33</v>
      </c>
      <c r="D109" s="27"/>
      <c r="E109" s="9">
        <v>0</v>
      </c>
      <c r="F109" s="96"/>
      <c r="G109" s="96"/>
      <c r="H109" s="96"/>
      <c r="I109" s="34">
        <f t="shared" si="105"/>
        <v>0</v>
      </c>
      <c r="J109" s="96"/>
      <c r="K109" s="96"/>
      <c r="L109" s="96"/>
      <c r="M109" s="34">
        <f t="shared" si="106"/>
        <v>0</v>
      </c>
      <c r="N109" s="96"/>
      <c r="O109" s="96"/>
      <c r="P109" s="96"/>
      <c r="Q109" s="34">
        <f t="shared" si="107"/>
        <v>0</v>
      </c>
      <c r="R109" s="96"/>
      <c r="S109" s="96"/>
      <c r="T109" s="96"/>
      <c r="U109" s="34">
        <f t="shared" si="108"/>
        <v>0</v>
      </c>
      <c r="V109" s="34">
        <f t="shared" si="109"/>
        <v>0</v>
      </c>
    </row>
    <row r="110" spans="1:22" ht="13.15" outlineLevel="2">
      <c r="A110" s="24"/>
      <c r="B110" s="27"/>
      <c r="C110" s="28" t="s">
        <v>95</v>
      </c>
      <c r="D110" s="27"/>
      <c r="E110" s="9"/>
      <c r="F110" s="96"/>
      <c r="G110" s="96"/>
      <c r="H110" s="96"/>
      <c r="I110" s="34">
        <f t="shared" si="105"/>
        <v>0</v>
      </c>
      <c r="J110" s="96"/>
      <c r="K110" s="96"/>
      <c r="L110" s="96"/>
      <c r="M110" s="34">
        <f t="shared" si="106"/>
        <v>0</v>
      </c>
      <c r="N110" s="96"/>
      <c r="O110" s="96"/>
      <c r="P110" s="96"/>
      <c r="Q110" s="34">
        <f t="shared" si="107"/>
        <v>0</v>
      </c>
      <c r="R110" s="96"/>
      <c r="S110" s="96"/>
      <c r="T110" s="96"/>
      <c r="U110" s="34">
        <f t="shared" si="108"/>
        <v>0</v>
      </c>
      <c r="V110" s="34">
        <f t="shared" si="109"/>
        <v>0</v>
      </c>
    </row>
    <row r="111" spans="1:22" ht="13.15" outlineLevel="2">
      <c r="A111" s="24"/>
      <c r="B111" s="27"/>
      <c r="C111" s="28" t="s">
        <v>63</v>
      </c>
      <c r="D111" s="27"/>
      <c r="E111" s="9"/>
      <c r="F111" s="96"/>
      <c r="G111" s="96"/>
      <c r="H111" s="96"/>
      <c r="I111" s="34">
        <f t="shared" si="105"/>
        <v>0</v>
      </c>
      <c r="J111" s="96"/>
      <c r="K111" s="96"/>
      <c r="L111" s="96"/>
      <c r="M111" s="34">
        <f t="shared" si="106"/>
        <v>0</v>
      </c>
      <c r="N111" s="96"/>
      <c r="O111" s="96"/>
      <c r="P111" s="96"/>
      <c r="Q111" s="34">
        <f t="shared" si="107"/>
        <v>0</v>
      </c>
      <c r="R111" s="96"/>
      <c r="S111" s="96"/>
      <c r="T111" s="96"/>
      <c r="U111" s="34">
        <f t="shared" si="108"/>
        <v>0</v>
      </c>
      <c r="V111" s="34">
        <f t="shared" si="109"/>
        <v>0</v>
      </c>
    </row>
    <row r="112" spans="1:22" ht="13.15" outlineLevel="2">
      <c r="A112" s="24"/>
      <c r="B112" s="27"/>
      <c r="C112" s="28" t="s">
        <v>153</v>
      </c>
      <c r="D112" s="27"/>
      <c r="E112" s="9">
        <v>0</v>
      </c>
      <c r="F112" s="96"/>
      <c r="G112" s="96"/>
      <c r="H112" s="96"/>
      <c r="I112" s="34">
        <f t="shared" si="105"/>
        <v>0</v>
      </c>
      <c r="J112" s="96"/>
      <c r="K112" s="96"/>
      <c r="L112" s="96"/>
      <c r="M112" s="34">
        <f t="shared" si="106"/>
        <v>0</v>
      </c>
      <c r="N112" s="96"/>
      <c r="O112" s="96"/>
      <c r="P112" s="96"/>
      <c r="Q112" s="34">
        <f t="shared" si="107"/>
        <v>0</v>
      </c>
      <c r="R112" s="96"/>
      <c r="S112" s="96"/>
      <c r="T112" s="96"/>
      <c r="U112" s="34">
        <f t="shared" si="108"/>
        <v>0</v>
      </c>
      <c r="V112" s="34">
        <f t="shared" si="109"/>
        <v>0</v>
      </c>
    </row>
    <row r="113" spans="1:22" ht="13.15" outlineLevel="1">
      <c r="A113" s="24"/>
      <c r="B113" s="30" t="s">
        <v>21</v>
      </c>
      <c r="C113" s="30"/>
      <c r="D113" s="30"/>
      <c r="E113" s="10"/>
      <c r="F113" s="45">
        <f t="shared" ref="F113:U113" si="110">SUM(F108:F112)</f>
        <v>0</v>
      </c>
      <c r="G113" s="45">
        <f t="shared" si="110"/>
        <v>0</v>
      </c>
      <c r="H113" s="45">
        <f t="shared" si="110"/>
        <v>0</v>
      </c>
      <c r="I113" s="35">
        <f t="shared" si="110"/>
        <v>0</v>
      </c>
      <c r="J113" s="45">
        <f t="shared" si="110"/>
        <v>0</v>
      </c>
      <c r="K113" s="45">
        <f t="shared" si="110"/>
        <v>0</v>
      </c>
      <c r="L113" s="45">
        <f t="shared" si="110"/>
        <v>0</v>
      </c>
      <c r="M113" s="35">
        <f t="shared" si="110"/>
        <v>0</v>
      </c>
      <c r="N113" s="45">
        <f t="shared" si="110"/>
        <v>0</v>
      </c>
      <c r="O113" s="45">
        <f t="shared" si="110"/>
        <v>0</v>
      </c>
      <c r="P113" s="45">
        <f t="shared" si="110"/>
        <v>0</v>
      </c>
      <c r="Q113" s="35">
        <f t="shared" si="110"/>
        <v>0</v>
      </c>
      <c r="R113" s="45">
        <f t="shared" si="110"/>
        <v>0</v>
      </c>
      <c r="S113" s="45">
        <f t="shared" si="110"/>
        <v>0</v>
      </c>
      <c r="T113" s="45">
        <f t="shared" si="110"/>
        <v>0</v>
      </c>
      <c r="U113" s="35">
        <f t="shared" si="110"/>
        <v>0</v>
      </c>
      <c r="V113" s="35">
        <f t="shared" si="109"/>
        <v>0</v>
      </c>
    </row>
    <row r="114" spans="1:22" ht="13.15">
      <c r="A114" s="24"/>
      <c r="B114" s="24"/>
      <c r="C114" s="24"/>
      <c r="D114" s="24" t="s">
        <v>22</v>
      </c>
      <c r="E114" s="8"/>
      <c r="F114" s="44">
        <f t="shared" ref="F114:U114" si="111">F88+F89+F97+F106+F113</f>
        <v>0</v>
      </c>
      <c r="G114" s="44">
        <f t="shared" si="111"/>
        <v>200000</v>
      </c>
      <c r="H114" s="44">
        <f t="shared" si="111"/>
        <v>200000</v>
      </c>
      <c r="I114" s="35">
        <f t="shared" si="111"/>
        <v>400000</v>
      </c>
      <c r="J114" s="44">
        <f t="shared" si="111"/>
        <v>200000</v>
      </c>
      <c r="K114" s="44">
        <f t="shared" si="111"/>
        <v>200000</v>
      </c>
      <c r="L114" s="44">
        <f t="shared" si="111"/>
        <v>200000</v>
      </c>
      <c r="M114" s="35">
        <f t="shared" si="111"/>
        <v>600000</v>
      </c>
      <c r="N114" s="44">
        <f t="shared" si="111"/>
        <v>200000</v>
      </c>
      <c r="O114" s="44">
        <f t="shared" si="111"/>
        <v>200000</v>
      </c>
      <c r="P114" s="44">
        <f t="shared" si="111"/>
        <v>200000</v>
      </c>
      <c r="Q114" s="35">
        <f t="shared" si="111"/>
        <v>600000</v>
      </c>
      <c r="R114" s="44">
        <f t="shared" si="111"/>
        <v>200000</v>
      </c>
      <c r="S114" s="44">
        <f t="shared" si="111"/>
        <v>200000</v>
      </c>
      <c r="T114" s="44">
        <f t="shared" si="111"/>
        <v>200000</v>
      </c>
      <c r="U114" s="35">
        <f t="shared" si="111"/>
        <v>600000</v>
      </c>
      <c r="V114" s="35">
        <f t="shared" si="109"/>
        <v>2200000</v>
      </c>
    </row>
    <row r="115" spans="1:22" ht="13.9">
      <c r="A115" s="11" t="s">
        <v>23</v>
      </c>
      <c r="B115" s="11"/>
      <c r="C115" s="11"/>
      <c r="D115" s="11"/>
      <c r="E115" s="12"/>
      <c r="F115" s="46">
        <f t="shared" ref="F115:U115" si="112">F114+F77</f>
        <v>14109000</v>
      </c>
      <c r="G115" s="46">
        <f t="shared" si="112"/>
        <v>14309000</v>
      </c>
      <c r="H115" s="46">
        <f t="shared" si="112"/>
        <v>14309000</v>
      </c>
      <c r="I115" s="109">
        <f t="shared" si="112"/>
        <v>42727000</v>
      </c>
      <c r="J115" s="46">
        <f t="shared" si="112"/>
        <v>14309000</v>
      </c>
      <c r="K115" s="46">
        <f t="shared" si="112"/>
        <v>14309000</v>
      </c>
      <c r="L115" s="46">
        <f t="shared" si="112"/>
        <v>14309000</v>
      </c>
      <c r="M115" s="109">
        <f t="shared" si="112"/>
        <v>42927000</v>
      </c>
      <c r="N115" s="46">
        <f t="shared" si="112"/>
        <v>14309000</v>
      </c>
      <c r="O115" s="46">
        <f t="shared" si="112"/>
        <v>14309000</v>
      </c>
      <c r="P115" s="46">
        <f t="shared" si="112"/>
        <v>14309000</v>
      </c>
      <c r="Q115" s="109">
        <f t="shared" si="112"/>
        <v>42927000</v>
      </c>
      <c r="R115" s="46">
        <f t="shared" si="112"/>
        <v>14309000</v>
      </c>
      <c r="S115" s="46">
        <f t="shared" si="112"/>
        <v>14309000</v>
      </c>
      <c r="T115" s="46">
        <f t="shared" si="112"/>
        <v>14309000</v>
      </c>
      <c r="U115" s="109">
        <f t="shared" si="112"/>
        <v>42927000</v>
      </c>
      <c r="V115" s="40">
        <f t="shared" si="109"/>
        <v>171508000</v>
      </c>
    </row>
    <row r="116" spans="1:22" s="111" customFormat="1" ht="12.75" customHeight="1">
      <c r="A116" s="462" t="s">
        <v>181</v>
      </c>
      <c r="B116" s="463"/>
      <c r="C116" s="463"/>
      <c r="D116" s="464"/>
      <c r="E116" s="8"/>
      <c r="F116" s="43"/>
      <c r="G116" s="43"/>
      <c r="H116" s="43"/>
      <c r="I116" s="34"/>
      <c r="J116" s="43"/>
      <c r="K116" s="43"/>
      <c r="L116" s="43"/>
      <c r="M116" s="34"/>
      <c r="N116" s="43"/>
      <c r="O116" s="43"/>
      <c r="P116" s="43"/>
      <c r="Q116" s="34"/>
      <c r="R116" s="43"/>
      <c r="S116" s="43"/>
      <c r="T116" s="43"/>
      <c r="U116" s="34"/>
      <c r="V116" s="34"/>
    </row>
    <row r="117" spans="1:22" s="111" customFormat="1" ht="12.75" customHeight="1">
      <c r="A117" s="125"/>
      <c r="B117" s="4"/>
      <c r="C117" s="455" t="s">
        <v>182</v>
      </c>
      <c r="D117" s="456"/>
      <c r="E117" s="8"/>
      <c r="F117" s="138">
        <f>F29-F77</f>
        <v>-14109000</v>
      </c>
      <c r="G117" s="138">
        <f>G29-G77</f>
        <v>-13109000</v>
      </c>
      <c r="H117" s="138">
        <f>H29-H77</f>
        <v>-13109000</v>
      </c>
      <c r="I117" s="35">
        <f>SUM(F117:H117)</f>
        <v>-40327000</v>
      </c>
      <c r="J117" s="138">
        <f>J29-J77</f>
        <v>-13109000</v>
      </c>
      <c r="K117" s="138">
        <f>K29-K77</f>
        <v>-13109000</v>
      </c>
      <c r="L117" s="138">
        <f>L29-L77</f>
        <v>-13109000</v>
      </c>
      <c r="M117" s="35">
        <f>SUM(J117:L117)</f>
        <v>-39327000</v>
      </c>
      <c r="N117" s="138">
        <f>N29-N77</f>
        <v>-13109000</v>
      </c>
      <c r="O117" s="138">
        <f>O29-O77</f>
        <v>-13109000</v>
      </c>
      <c r="P117" s="138">
        <f>P29-P77</f>
        <v>-13109000</v>
      </c>
      <c r="Q117" s="35">
        <f>SUM(N117:P117)</f>
        <v>-39327000</v>
      </c>
      <c r="R117" s="138">
        <f>R29-R77</f>
        <v>-13109000</v>
      </c>
      <c r="S117" s="138">
        <f>S29-S77</f>
        <v>-13109000</v>
      </c>
      <c r="T117" s="138">
        <f>T29-T77</f>
        <v>-13109000</v>
      </c>
      <c r="U117" s="35">
        <f>SUM(R117:T117)</f>
        <v>-39327000</v>
      </c>
      <c r="V117" s="35">
        <f t="shared" si="109"/>
        <v>-158308000</v>
      </c>
    </row>
    <row r="118" spans="1:22" ht="13.15" thickBot="1">
      <c r="A118" s="14"/>
      <c r="B118" s="14"/>
      <c r="C118" s="14"/>
      <c r="D118" s="14"/>
      <c r="E118" s="15"/>
      <c r="F118" s="47"/>
      <c r="G118" s="47"/>
      <c r="H118" s="47"/>
      <c r="I118" s="37"/>
      <c r="J118" s="47"/>
      <c r="K118" s="47"/>
      <c r="L118" s="47"/>
      <c r="M118" s="37"/>
      <c r="N118" s="47"/>
      <c r="O118" s="47"/>
      <c r="P118" s="47"/>
      <c r="Q118" s="37"/>
      <c r="R118" s="47"/>
      <c r="S118" s="47"/>
      <c r="T118" s="47"/>
      <c r="U118" s="37"/>
      <c r="V118" s="37"/>
    </row>
    <row r="119" spans="1:22">
      <c r="A119" s="7"/>
      <c r="B119" s="7"/>
      <c r="C119" s="7"/>
      <c r="D119" s="7"/>
      <c r="F119" s="13"/>
      <c r="G119" s="13"/>
      <c r="H119" s="13"/>
      <c r="J119" s="13"/>
      <c r="K119" s="13"/>
      <c r="L119" s="13"/>
      <c r="N119" s="13" t="s">
        <v>86</v>
      </c>
      <c r="O119" s="13"/>
      <c r="P119" s="13"/>
      <c r="R119" s="13"/>
      <c r="S119" s="13"/>
      <c r="T119" s="13"/>
    </row>
    <row r="120" spans="1:22">
      <c r="D120" s="106" t="s">
        <v>232</v>
      </c>
      <c r="F120" s="201"/>
      <c r="G120" s="201"/>
      <c r="H120" s="198"/>
      <c r="J120" s="205"/>
      <c r="K120" s="173"/>
      <c r="L120" s="168"/>
      <c r="N120" s="168"/>
      <c r="O120" s="173"/>
      <c r="P120" s="247"/>
      <c r="R120" s="173"/>
      <c r="S120" s="173"/>
      <c r="T120" s="173"/>
    </row>
    <row r="121" spans="1:22">
      <c r="D121" s="106" t="s">
        <v>233</v>
      </c>
      <c r="F121" s="202"/>
      <c r="G121" s="202"/>
      <c r="H121" s="202"/>
      <c r="J121" s="167"/>
      <c r="N121" s="167"/>
      <c r="O121" s="167"/>
      <c r="P121" s="173"/>
      <c r="R121" s="173"/>
      <c r="S121" s="173"/>
      <c r="T121" s="173"/>
    </row>
    <row r="122" spans="1:22" ht="13.15">
      <c r="D122" s="104" t="s">
        <v>266</v>
      </c>
      <c r="F122" s="140">
        <f>F77</f>
        <v>14109000</v>
      </c>
      <c r="G122" s="140">
        <f t="shared" ref="G122:H122" si="113">G77</f>
        <v>14109000</v>
      </c>
      <c r="H122" s="140">
        <f t="shared" si="113"/>
        <v>14109000</v>
      </c>
      <c r="I122" s="157">
        <f>F122+G122+H122</f>
        <v>42327000</v>
      </c>
      <c r="J122" s="140">
        <f>J77</f>
        <v>14109000</v>
      </c>
      <c r="K122" s="140">
        <f t="shared" ref="K122:L122" si="114">K77</f>
        <v>14109000</v>
      </c>
      <c r="L122" s="140">
        <f t="shared" si="114"/>
        <v>14109000</v>
      </c>
      <c r="M122" s="157">
        <f>J122+K122+L122</f>
        <v>42327000</v>
      </c>
      <c r="N122" s="140">
        <f>N77</f>
        <v>14109000</v>
      </c>
      <c r="O122" s="140">
        <f t="shared" ref="O122:P122" si="115">O77</f>
        <v>14109000</v>
      </c>
      <c r="P122" s="140">
        <f t="shared" si="115"/>
        <v>14109000</v>
      </c>
      <c r="Q122" s="157">
        <f>N122+O122+P122</f>
        <v>42327000</v>
      </c>
      <c r="R122" s="140">
        <f>R77</f>
        <v>14109000</v>
      </c>
      <c r="S122" s="140">
        <f t="shared" ref="S122:T122" si="116">S77</f>
        <v>14109000</v>
      </c>
      <c r="T122" s="140">
        <f t="shared" si="116"/>
        <v>14109000</v>
      </c>
      <c r="U122" s="157">
        <f>R122+S122+T122</f>
        <v>42327000</v>
      </c>
      <c r="V122" s="157">
        <f>I122+M122+Q122+U122</f>
        <v>169308000</v>
      </c>
    </row>
    <row r="123" spans="1:22" ht="13.15">
      <c r="D123" s="104" t="s">
        <v>276</v>
      </c>
      <c r="F123" s="141">
        <f>ROUND(JHAHN!F77*F122/(TSG!F124-JHAHN!F77),-3)</f>
        <v>2325000</v>
      </c>
      <c r="G123" s="141">
        <f>ROUND((JHAHN!G77*G122)/(TSG!G124-JHAHN!G77),-3)</f>
        <v>2301000</v>
      </c>
      <c r="H123" s="141">
        <f>ROUND((JHAHN!H77*H122)/(TSG!H124-JHAHN!H77),-3)</f>
        <v>2301000</v>
      </c>
      <c r="I123" s="157">
        <f>F123+G123+H123</f>
        <v>6927000</v>
      </c>
      <c r="J123" s="141">
        <f>ROUND((JHAHN!J77*J122)/(TSG!J124-JHAHN!J77),-3)</f>
        <v>2301000</v>
      </c>
      <c r="K123" s="141">
        <f>ROUND((JHAHN!K77*K122)/(TSG!K124-JHAHN!K77),-3)</f>
        <v>2301000</v>
      </c>
      <c r="L123" s="141">
        <f>ROUND((JHAHN!L77*L122)/(TSG!L124-JHAHN!L77),-3)</f>
        <v>2301000</v>
      </c>
      <c r="M123" s="157">
        <f>J123+K123+L123</f>
        <v>6903000</v>
      </c>
      <c r="N123" s="141">
        <f>ROUND((JHAHN!N77*N122)/(TSG!N124-JHAHN!N77),-3)</f>
        <v>2301000</v>
      </c>
      <c r="O123" s="141">
        <f>ROUND((JHAHN!O77*O122)/(TSG!O124-JHAHN!O77),-3)</f>
        <v>2301000</v>
      </c>
      <c r="P123" s="141">
        <f>ROUND((JHAHN!P77*P122)/(TSG!P124-JHAHN!P77),-3)</f>
        <v>2301000</v>
      </c>
      <c r="Q123" s="157">
        <f>N123+O123+P123</f>
        <v>6903000</v>
      </c>
      <c r="R123" s="141">
        <f>ROUND((JHAHN!R77*R122)/(TSG!R124-JHAHN!R77),-3)</f>
        <v>2301000</v>
      </c>
      <c r="S123" s="141">
        <f>ROUND((JHAHN!S77*S122)/(TSG!S124-JHAHN!S77),-3)</f>
        <v>2301000</v>
      </c>
      <c r="T123" s="141">
        <f>ROUND((JHAHN!T77*T122)/(TSG!T124-JHAHN!T77),-3)</f>
        <v>2301000</v>
      </c>
      <c r="U123" s="157">
        <f>R123+S123+T123</f>
        <v>6903000</v>
      </c>
      <c r="V123" s="157">
        <f t="shared" ref="V123:V126" si="117">I123+M123+Q123+U123</f>
        <v>27636000</v>
      </c>
    </row>
    <row r="124" spans="1:22" ht="13.15">
      <c r="D124" s="104" t="s">
        <v>281</v>
      </c>
      <c r="F124" s="140">
        <f>F122+F123</f>
        <v>16434000</v>
      </c>
      <c r="G124" s="140">
        <f t="shared" ref="G124:H124" si="118">G122+G123</f>
        <v>16410000</v>
      </c>
      <c r="H124" s="140">
        <f t="shared" si="118"/>
        <v>16410000</v>
      </c>
      <c r="I124" s="157">
        <f t="shared" ref="I124:I126" si="119">F124+G124+H124</f>
        <v>49254000</v>
      </c>
      <c r="J124" s="140">
        <f>J122+J123</f>
        <v>16410000</v>
      </c>
      <c r="K124" s="140">
        <f t="shared" ref="K124:L124" si="120">K122+K123</f>
        <v>16410000</v>
      </c>
      <c r="L124" s="140">
        <f t="shared" si="120"/>
        <v>16410000</v>
      </c>
      <c r="M124" s="157">
        <f>J124+K124+L124</f>
        <v>49230000</v>
      </c>
      <c r="N124" s="140">
        <f>N122+N123</f>
        <v>16410000</v>
      </c>
      <c r="O124" s="140">
        <f t="shared" ref="O124:P124" si="121">O122+O123</f>
        <v>16410000</v>
      </c>
      <c r="P124" s="140">
        <f t="shared" si="121"/>
        <v>16410000</v>
      </c>
      <c r="Q124" s="157">
        <f t="shared" ref="Q124:Q126" si="122">N124+O124+P124</f>
        <v>49230000</v>
      </c>
      <c r="R124" s="140">
        <f>R122+R123</f>
        <v>16410000</v>
      </c>
      <c r="S124" s="140">
        <f t="shared" ref="S124:T124" si="123">S122+S123</f>
        <v>16410000</v>
      </c>
      <c r="T124" s="140">
        <f t="shared" si="123"/>
        <v>16410000</v>
      </c>
      <c r="U124" s="157">
        <f>R124+S124+T124</f>
        <v>49230000</v>
      </c>
      <c r="V124" s="157">
        <f t="shared" si="117"/>
        <v>196944000</v>
      </c>
    </row>
    <row r="125" spans="1:22" ht="13.15">
      <c r="D125" s="105" t="s">
        <v>207</v>
      </c>
      <c r="F125" s="141">
        <f>ROUND((간접!F124*F124)/(SDT!F124+TST!F124+TSG!F124),-3)</f>
        <v>4892000</v>
      </c>
      <c r="G125" s="141">
        <f>ROUND((간접!G124*G124)/(SDT!G122+TST!G124+TSG!G124),-3)</f>
        <v>4849000</v>
      </c>
      <c r="H125" s="141">
        <f>ROUND((간접!H124*H124)/(SDT!H122+TST!H124+TSG!H124),-3)</f>
        <v>4849000</v>
      </c>
      <c r="I125" s="157">
        <f t="shared" si="119"/>
        <v>14590000</v>
      </c>
      <c r="J125" s="141">
        <f>ROUND((간접!J124*J124)/(SDT!J122+TST!J124+TSG!J124),-3)</f>
        <v>4849000</v>
      </c>
      <c r="K125" s="141">
        <f>ROUND((간접!K124*K124)/(SDT!K122+TST!K124+TSG!K124),-3)</f>
        <v>4849000</v>
      </c>
      <c r="L125" s="141">
        <f>ROUND((간접!L124*L124)/(SDT!L122+TST!L124+TSG!L124),-3)</f>
        <v>4849000</v>
      </c>
      <c r="M125" s="157">
        <f t="shared" ref="M125:M126" si="124">J125+K125+L125</f>
        <v>14547000</v>
      </c>
      <c r="N125" s="141">
        <f>ROUND((간접!N124*N124)/(SDT!N122+TST!N124+TSG!N124),-3)</f>
        <v>4849000</v>
      </c>
      <c r="O125" s="141">
        <f>ROUND((간접!O124*O124)/(SDT!O122+TST!O124+TSG!O124),-3)</f>
        <v>4849000</v>
      </c>
      <c r="P125" s="141">
        <f>ROUND((간접!P124*P124)/(SDT!P122+TST!P124+TSG!P124),-3)</f>
        <v>4849000</v>
      </c>
      <c r="Q125" s="157">
        <f t="shared" si="122"/>
        <v>14547000</v>
      </c>
      <c r="R125" s="141">
        <f>ROUND((간접!R124*R124)/(SDT!R122+TST!R124+TSG!R124),-3)</f>
        <v>4849000</v>
      </c>
      <c r="S125" s="141">
        <f>ROUND((간접!S124*S124)/(SDT!S122+TST!S124+TSG!S124),-3)</f>
        <v>4849000</v>
      </c>
      <c r="T125" s="141">
        <f>ROUND((간접!T124*T124)/(SDT!T122+TST!T124+TSG!T124),-3)</f>
        <v>4849000</v>
      </c>
      <c r="U125" s="157">
        <f t="shared" ref="U125:U126" si="125">R125+S125+T125</f>
        <v>14547000</v>
      </c>
      <c r="V125" s="157">
        <f t="shared" si="117"/>
        <v>58231000</v>
      </c>
    </row>
    <row r="126" spans="1:22" ht="13.15">
      <c r="D126" s="105" t="s">
        <v>282</v>
      </c>
      <c r="F126" s="141">
        <f>F124+F125</f>
        <v>21326000</v>
      </c>
      <c r="G126" s="141">
        <f t="shared" ref="G126:H126" si="126">G124+G125</f>
        <v>21259000</v>
      </c>
      <c r="H126" s="141">
        <f t="shared" si="126"/>
        <v>21259000</v>
      </c>
      <c r="I126" s="157">
        <f t="shared" si="119"/>
        <v>63844000</v>
      </c>
      <c r="J126" s="141">
        <f>J124+J125</f>
        <v>21259000</v>
      </c>
      <c r="K126" s="141">
        <f t="shared" ref="K126:L126" si="127">K124+K125</f>
        <v>21259000</v>
      </c>
      <c r="L126" s="141">
        <f t="shared" si="127"/>
        <v>21259000</v>
      </c>
      <c r="M126" s="157">
        <f t="shared" si="124"/>
        <v>63777000</v>
      </c>
      <c r="N126" s="141">
        <f>N124+N125</f>
        <v>21259000</v>
      </c>
      <c r="O126" s="141">
        <f t="shared" ref="O126:P126" si="128">O124+O125</f>
        <v>21259000</v>
      </c>
      <c r="P126" s="141">
        <f t="shared" si="128"/>
        <v>21259000</v>
      </c>
      <c r="Q126" s="157">
        <f t="shared" si="122"/>
        <v>63777000</v>
      </c>
      <c r="R126" s="141">
        <f>R124+R125</f>
        <v>21259000</v>
      </c>
      <c r="S126" s="141">
        <f t="shared" ref="S126:T126" si="129">S124+S125</f>
        <v>21259000</v>
      </c>
      <c r="T126" s="141">
        <f t="shared" si="129"/>
        <v>21259000</v>
      </c>
      <c r="U126" s="157">
        <f t="shared" si="125"/>
        <v>63777000</v>
      </c>
      <c r="V126" s="157">
        <f t="shared" si="117"/>
        <v>255175000</v>
      </c>
    </row>
    <row r="127" spans="1:22" ht="13.15">
      <c r="D127" s="94" t="s">
        <v>209</v>
      </c>
      <c r="F127" s="142">
        <f>F126/(SDT!F126+TST!F126+TSG!F126)</f>
        <v>7.3062771081860725E-2</v>
      </c>
      <c r="G127" s="142">
        <f>G126/(SDT!G126+TST!G126+TSG!G126)</f>
        <v>7.2871676744409253E-2</v>
      </c>
      <c r="H127" s="142">
        <f>H126/(SDT!H126+TST!H126+TSG!H126)</f>
        <v>7.2871676744409253E-2</v>
      </c>
      <c r="I127" s="158">
        <f>AVERAGE(F127:H127)</f>
        <v>7.2935374856893068E-2</v>
      </c>
      <c r="J127" s="142">
        <f>J126/(SDT!J126+TST!J126+TSG!J126)</f>
        <v>7.2871676744409253E-2</v>
      </c>
      <c r="K127" s="142">
        <f>K126/(SDT!K126+TST!K126+TSG!K126)</f>
        <v>7.2871676744409253E-2</v>
      </c>
      <c r="L127" s="142">
        <f>L126/(SDT!L126+TST!L126+TSG!L126)</f>
        <v>7.2871676744409253E-2</v>
      </c>
      <c r="M127" s="158">
        <f>AVERAGE(J127:L127)</f>
        <v>7.2871676744409253E-2</v>
      </c>
      <c r="N127" s="142">
        <f>N126/(SDT!N126+TST!N126+TSG!N126)</f>
        <v>7.2871676744409253E-2</v>
      </c>
      <c r="O127" s="142">
        <f>O126/(SDT!O126+TST!O126+TSG!O126)</f>
        <v>7.2871676744409253E-2</v>
      </c>
      <c r="P127" s="142">
        <f>P126/(SDT!P126+TST!P126+TSG!P126)</f>
        <v>7.2871676744409253E-2</v>
      </c>
      <c r="Q127" s="158">
        <f>AVERAGE(N127:P127)</f>
        <v>7.2871676744409253E-2</v>
      </c>
      <c r="R127" s="142">
        <f>R126/(SDT!R126+TST!R126+TSG!R126)</f>
        <v>7.2694507989591137E-2</v>
      </c>
      <c r="S127" s="142">
        <f>S126/(SDT!S126+TST!S126+TSG!S126)</f>
        <v>7.2871676744409253E-2</v>
      </c>
      <c r="T127" s="142">
        <f>T126/(SDT!T126+TST!T126+TSG!T126)</f>
        <v>7.2871676744409253E-2</v>
      </c>
      <c r="U127" s="158">
        <f>AVERAGE(R127:T127)</f>
        <v>7.2812620492803223E-2</v>
      </c>
      <c r="V127" s="158">
        <f>AVERAGE(I127,M127,Q127,U127)</f>
        <v>7.2872837209628699E-2</v>
      </c>
    </row>
  </sheetData>
  <mergeCells count="17">
    <mergeCell ref="A28:D28"/>
    <mergeCell ref="C23:D23"/>
    <mergeCell ref="A116:D116"/>
    <mergeCell ref="C117:D117"/>
    <mergeCell ref="C29:D29"/>
    <mergeCell ref="A15:A25"/>
    <mergeCell ref="C15:D15"/>
    <mergeCell ref="C21:D21"/>
    <mergeCell ref="C22:D22"/>
    <mergeCell ref="C24:D24"/>
    <mergeCell ref="C25:D25"/>
    <mergeCell ref="A26:D26"/>
    <mergeCell ref="A3:D3"/>
    <mergeCell ref="A4:A11"/>
    <mergeCell ref="B5:B10"/>
    <mergeCell ref="A12:D12"/>
    <mergeCell ref="A14:D14"/>
  </mergeCells>
  <phoneticPr fontId="8" type="noConversion"/>
  <pageMargins left="0.59055118110236227" right="0.39370078740157483" top="0.78740157480314965" bottom="0.39370078740157483" header="0.31496062992125984" footer="0.51181102362204722"/>
  <pageSetup scale="10" fitToHeight="2" orientation="portrait" r:id="rId1"/>
  <headerFooter alignWithMargins="0">
    <oddHeader>&amp;L&amp;Z&amp;F&amp;A</oddHeader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U122"/>
  <sheetViews>
    <sheetView workbookViewId="0">
      <pane xSplit="4" ySplit="2" topLeftCell="E40" activePane="bottomRight" state="frozen"/>
      <selection pane="topRight" activeCell="E1" sqref="E1"/>
      <selection pane="bottomLeft" activeCell="A3" sqref="A3"/>
      <selection pane="bottomRight" activeCell="T71" sqref="T71"/>
    </sheetView>
  </sheetViews>
  <sheetFormatPr defaultColWidth="8.87890625" defaultRowHeight="12.75" outlineLevelRow="2" outlineLevelCol="1"/>
  <cols>
    <col min="1" max="3" width="1.3515625" style="3" customWidth="1"/>
    <col min="4" max="4" width="21.1171875" style="3" customWidth="1"/>
    <col min="5" max="5" width="1.64453125" style="7" customWidth="1"/>
    <col min="6" max="6" width="10.234375" style="3" customWidth="1" outlineLevel="1"/>
    <col min="7" max="8" width="10.87890625" style="3" customWidth="1" outlineLevel="1"/>
    <col min="9" max="9" width="10.87890625" style="3" bestFit="1" customWidth="1"/>
    <col min="10" max="10" width="10.234375" style="3" customWidth="1" outlineLevel="1"/>
    <col min="11" max="12" width="10.87890625" style="3" customWidth="1" outlineLevel="1"/>
    <col min="13" max="13" width="10.87890625" style="3" bestFit="1" customWidth="1"/>
    <col min="14" max="14" width="10.234375" style="3" customWidth="1" outlineLevel="1"/>
    <col min="15" max="16" width="10.87890625" style="3" customWidth="1" outlineLevel="1"/>
    <col min="17" max="17" width="10.87890625" style="3" bestFit="1" customWidth="1"/>
    <col min="18" max="20" width="10.234375" style="3" customWidth="1" outlineLevel="1"/>
    <col min="21" max="22" width="10.87890625" style="3" bestFit="1" customWidth="1"/>
    <col min="23" max="16384" width="8.87890625" style="3"/>
  </cols>
  <sheetData>
    <row r="1" spans="1:47" ht="13.9" thickBot="1">
      <c r="A1" s="1"/>
      <c r="B1" s="1"/>
      <c r="C1" s="1"/>
      <c r="D1" s="38"/>
      <c r="E1" s="2"/>
      <c r="F1" s="18" t="s">
        <v>69</v>
      </c>
      <c r="G1" s="18" t="s">
        <v>70</v>
      </c>
      <c r="H1" s="18" t="s">
        <v>71</v>
      </c>
      <c r="I1" s="18" t="s">
        <v>72</v>
      </c>
      <c r="J1" s="18" t="s">
        <v>74</v>
      </c>
      <c r="K1" s="18" t="s">
        <v>75</v>
      </c>
      <c r="L1" s="18" t="s">
        <v>76</v>
      </c>
      <c r="M1" s="18" t="s">
        <v>77</v>
      </c>
      <c r="N1" s="18" t="s">
        <v>80</v>
      </c>
      <c r="O1" s="18" t="s">
        <v>81</v>
      </c>
      <c r="P1" s="18" t="s">
        <v>82</v>
      </c>
      <c r="Q1" s="18" t="s">
        <v>83</v>
      </c>
      <c r="R1" s="18" t="s">
        <v>88</v>
      </c>
      <c r="S1" s="18" t="s">
        <v>91</v>
      </c>
      <c r="T1" s="18" t="s">
        <v>92</v>
      </c>
      <c r="U1" s="18" t="s">
        <v>89</v>
      </c>
      <c r="V1" s="18">
        <v>2026</v>
      </c>
      <c r="AU1" s="4"/>
    </row>
    <row r="2" spans="1:47" ht="13.5" thickBot="1">
      <c r="A2" s="5"/>
      <c r="B2" s="5"/>
      <c r="C2" s="5"/>
      <c r="D2" s="6"/>
      <c r="E2" s="2"/>
      <c r="F2" s="110" t="s">
        <v>24</v>
      </c>
      <c r="G2" s="110" t="s">
        <v>24</v>
      </c>
      <c r="H2" s="110" t="s">
        <v>24</v>
      </c>
      <c r="I2" s="137" t="s">
        <v>25</v>
      </c>
      <c r="J2" s="110" t="s">
        <v>24</v>
      </c>
      <c r="K2" s="110" t="s">
        <v>24</v>
      </c>
      <c r="L2" s="110" t="s">
        <v>24</v>
      </c>
      <c r="M2" s="137" t="s">
        <v>25</v>
      </c>
      <c r="N2" s="110" t="s">
        <v>24</v>
      </c>
      <c r="O2" s="110" t="s">
        <v>24</v>
      </c>
      <c r="P2" s="110" t="s">
        <v>24</v>
      </c>
      <c r="Q2" s="137" t="s">
        <v>25</v>
      </c>
      <c r="R2" s="110" t="s">
        <v>24</v>
      </c>
      <c r="S2" s="110" t="s">
        <v>24</v>
      </c>
      <c r="T2" s="110" t="s">
        <v>24</v>
      </c>
      <c r="U2" s="137" t="s">
        <v>25</v>
      </c>
      <c r="V2" s="137" t="s">
        <v>25</v>
      </c>
    </row>
    <row r="3" spans="1:47" s="111" customFormat="1" ht="12.75" customHeight="1">
      <c r="A3" s="447" t="s">
        <v>159</v>
      </c>
      <c r="B3" s="448"/>
      <c r="C3" s="448"/>
      <c r="D3" s="449"/>
      <c r="E3" s="2"/>
      <c r="F3" s="133"/>
      <c r="G3" s="133"/>
      <c r="H3" s="133"/>
      <c r="I3" s="34"/>
      <c r="J3" s="133"/>
      <c r="K3" s="133"/>
      <c r="L3" s="133"/>
      <c r="M3" s="34"/>
      <c r="N3" s="133"/>
      <c r="O3" s="133"/>
      <c r="P3" s="133"/>
      <c r="Q3" s="34"/>
      <c r="R3" s="133"/>
      <c r="S3" s="133"/>
      <c r="T3" s="133"/>
      <c r="U3" s="34"/>
      <c r="V3" s="134"/>
    </row>
    <row r="4" spans="1:47" s="111" customFormat="1" ht="12.75" customHeight="1">
      <c r="A4" s="450"/>
      <c r="B4" s="112" t="s">
        <v>160</v>
      </c>
      <c r="C4" s="112"/>
      <c r="D4" s="113"/>
      <c r="E4" s="2"/>
      <c r="F4" s="43"/>
      <c r="G4" s="43"/>
      <c r="H4" s="43"/>
      <c r="I4" s="34"/>
      <c r="J4" s="43"/>
      <c r="K4" s="43"/>
      <c r="L4" s="43"/>
      <c r="M4" s="34"/>
      <c r="N4" s="43"/>
      <c r="O4" s="43"/>
      <c r="P4" s="43"/>
      <c r="Q4" s="34"/>
      <c r="R4" s="43"/>
      <c r="S4" s="43"/>
      <c r="T4" s="43"/>
      <c r="U4" s="34"/>
      <c r="V4" s="34"/>
    </row>
    <row r="5" spans="1:47" s="111" customFormat="1" ht="12.75" customHeight="1" outlineLevel="1">
      <c r="A5" s="450"/>
      <c r="B5" s="451"/>
      <c r="C5" s="114"/>
      <c r="D5" s="115" t="s">
        <v>161</v>
      </c>
      <c r="E5" s="7">
        <v>1</v>
      </c>
      <c r="F5" s="43"/>
      <c r="G5" s="43"/>
      <c r="H5" s="43"/>
      <c r="I5" s="34">
        <f t="shared" ref="I5:I10" si="0">H5+G5+F5</f>
        <v>0</v>
      </c>
      <c r="J5" s="43"/>
      <c r="K5" s="43"/>
      <c r="L5" s="43"/>
      <c r="M5" s="34">
        <f t="shared" ref="M5:M10" si="1">L5+K5+J5</f>
        <v>0</v>
      </c>
      <c r="N5" s="43"/>
      <c r="O5" s="43"/>
      <c r="P5" s="43"/>
      <c r="Q5" s="34">
        <f t="shared" ref="Q5:Q10" si="2">P5+O5+N5</f>
        <v>0</v>
      </c>
      <c r="R5" s="43"/>
      <c r="S5" s="43"/>
      <c r="T5" s="43"/>
      <c r="U5" s="34">
        <f t="shared" ref="U5:U10" si="3">T5+S5+R5</f>
        <v>0</v>
      </c>
      <c r="V5" s="34">
        <f t="shared" ref="V5:V10" si="4">U5+Q5+M5+I5</f>
        <v>0</v>
      </c>
    </row>
    <row r="6" spans="1:47" s="111" customFormat="1" ht="12.75" customHeight="1" outlineLevel="1">
      <c r="A6" s="450"/>
      <c r="B6" s="451"/>
      <c r="C6" s="116"/>
      <c r="D6" s="117" t="s">
        <v>162</v>
      </c>
      <c r="E6" s="7">
        <v>1</v>
      </c>
      <c r="F6" s="43"/>
      <c r="G6" s="43"/>
      <c r="H6" s="43"/>
      <c r="I6" s="34">
        <f t="shared" si="0"/>
        <v>0</v>
      </c>
      <c r="J6" s="43"/>
      <c r="K6" s="43"/>
      <c r="L6" s="43"/>
      <c r="M6" s="34">
        <f t="shared" si="1"/>
        <v>0</v>
      </c>
      <c r="N6" s="43"/>
      <c r="O6" s="43"/>
      <c r="P6" s="43"/>
      <c r="Q6" s="34">
        <f t="shared" si="2"/>
        <v>0</v>
      </c>
      <c r="R6" s="43"/>
      <c r="S6" s="43"/>
      <c r="T6" s="43"/>
      <c r="U6" s="34">
        <f t="shared" si="3"/>
        <v>0</v>
      </c>
      <c r="V6" s="34">
        <f t="shared" si="4"/>
        <v>0</v>
      </c>
    </row>
    <row r="7" spans="1:47" s="111" customFormat="1" ht="12.75" customHeight="1" outlineLevel="1">
      <c r="A7" s="450"/>
      <c r="B7" s="451"/>
      <c r="C7" s="116"/>
      <c r="D7" s="117" t="s">
        <v>163</v>
      </c>
      <c r="E7" s="7">
        <v>1</v>
      </c>
      <c r="F7" s="43"/>
      <c r="G7" s="43"/>
      <c r="H7" s="43"/>
      <c r="I7" s="34">
        <f t="shared" si="0"/>
        <v>0</v>
      </c>
      <c r="J7" s="43"/>
      <c r="K7" s="43"/>
      <c r="L7" s="43"/>
      <c r="M7" s="34">
        <f t="shared" si="1"/>
        <v>0</v>
      </c>
      <c r="N7" s="43"/>
      <c r="O7" s="43"/>
      <c r="P7" s="43"/>
      <c r="Q7" s="34">
        <f t="shared" si="2"/>
        <v>0</v>
      </c>
      <c r="R7" s="43"/>
      <c r="S7" s="43"/>
      <c r="T7" s="43"/>
      <c r="U7" s="34">
        <f t="shared" si="3"/>
        <v>0</v>
      </c>
      <c r="V7" s="34">
        <f t="shared" si="4"/>
        <v>0</v>
      </c>
    </row>
    <row r="8" spans="1:47" s="111" customFormat="1" ht="12.75" customHeight="1" outlineLevel="1">
      <c r="A8" s="450"/>
      <c r="B8" s="451"/>
      <c r="C8" s="116"/>
      <c r="D8" s="118" t="s">
        <v>164</v>
      </c>
      <c r="E8" s="7"/>
      <c r="F8" s="43"/>
      <c r="G8" s="43"/>
      <c r="H8" s="43"/>
      <c r="I8" s="34">
        <f t="shared" si="0"/>
        <v>0</v>
      </c>
      <c r="J8" s="43"/>
      <c r="K8" s="43"/>
      <c r="L8" s="43"/>
      <c r="M8" s="34">
        <f t="shared" si="1"/>
        <v>0</v>
      </c>
      <c r="N8" s="43"/>
      <c r="O8" s="43"/>
      <c r="P8" s="43"/>
      <c r="Q8" s="34">
        <f t="shared" si="2"/>
        <v>0</v>
      </c>
      <c r="R8" s="43"/>
      <c r="S8" s="43"/>
      <c r="T8" s="43"/>
      <c r="U8" s="34">
        <f t="shared" si="3"/>
        <v>0</v>
      </c>
      <c r="V8" s="34">
        <f t="shared" si="4"/>
        <v>0</v>
      </c>
    </row>
    <row r="9" spans="1:47" s="111" customFormat="1" ht="12.75" customHeight="1" outlineLevel="1">
      <c r="A9" s="450"/>
      <c r="B9" s="451"/>
      <c r="C9" s="116"/>
      <c r="D9" s="117" t="s">
        <v>166</v>
      </c>
      <c r="E9" s="7"/>
      <c r="F9" s="43"/>
      <c r="G9" s="43"/>
      <c r="H9" s="43"/>
      <c r="I9" s="34">
        <f t="shared" si="0"/>
        <v>0</v>
      </c>
      <c r="J9" s="43"/>
      <c r="K9" s="43"/>
      <c r="L9" s="43"/>
      <c r="M9" s="34">
        <f t="shared" si="1"/>
        <v>0</v>
      </c>
      <c r="N9" s="43"/>
      <c r="O9" s="43"/>
      <c r="P9" s="43"/>
      <c r="Q9" s="34">
        <f t="shared" si="2"/>
        <v>0</v>
      </c>
      <c r="R9" s="43"/>
      <c r="S9" s="43"/>
      <c r="T9" s="43"/>
      <c r="U9" s="34">
        <f t="shared" si="3"/>
        <v>0</v>
      </c>
      <c r="V9" s="34">
        <f t="shared" si="4"/>
        <v>0</v>
      </c>
    </row>
    <row r="10" spans="1:47" s="111" customFormat="1" ht="12.75" customHeight="1" outlineLevel="1">
      <c r="A10" s="450"/>
      <c r="B10" s="451"/>
      <c r="C10" s="116"/>
      <c r="D10" s="117" t="s">
        <v>165</v>
      </c>
      <c r="E10" s="7"/>
      <c r="F10" s="43"/>
      <c r="G10" s="43"/>
      <c r="H10" s="43"/>
      <c r="I10" s="34">
        <f t="shared" si="0"/>
        <v>0</v>
      </c>
      <c r="J10" s="43"/>
      <c r="K10" s="43"/>
      <c r="L10" s="43"/>
      <c r="M10" s="34">
        <f t="shared" si="1"/>
        <v>0</v>
      </c>
      <c r="N10" s="43"/>
      <c r="O10" s="43"/>
      <c r="P10" s="43"/>
      <c r="Q10" s="34">
        <f t="shared" si="2"/>
        <v>0</v>
      </c>
      <c r="R10" s="43"/>
      <c r="S10" s="43"/>
      <c r="T10" s="43"/>
      <c r="U10" s="34">
        <f t="shared" si="3"/>
        <v>0</v>
      </c>
      <c r="V10" s="34">
        <f t="shared" si="4"/>
        <v>0</v>
      </c>
    </row>
    <row r="11" spans="1:47" s="111" customFormat="1" ht="6.75" customHeight="1">
      <c r="A11" s="450"/>
      <c r="B11" s="4"/>
      <c r="C11" s="4"/>
      <c r="D11" s="119"/>
      <c r="E11" s="120"/>
      <c r="F11" s="43"/>
      <c r="G11" s="43"/>
      <c r="H11" s="43"/>
      <c r="I11" s="34"/>
      <c r="J11" s="43"/>
      <c r="K11" s="43"/>
      <c r="L11" s="43"/>
      <c r="M11" s="34"/>
      <c r="N11" s="43"/>
      <c r="O11" s="43"/>
      <c r="P11" s="43"/>
      <c r="Q11" s="34"/>
      <c r="R11" s="43"/>
      <c r="S11" s="43"/>
      <c r="T11" s="43"/>
      <c r="U11" s="34"/>
      <c r="V11" s="34"/>
    </row>
    <row r="12" spans="1:47" s="111" customFormat="1" ht="12.75" customHeight="1">
      <c r="A12" s="447" t="s">
        <v>167</v>
      </c>
      <c r="B12" s="448"/>
      <c r="C12" s="448"/>
      <c r="D12" s="449"/>
      <c r="E12" s="8"/>
      <c r="F12" s="44">
        <f t="shared" ref="F12:T12" si="5">SUM(F5:F10)</f>
        <v>0</v>
      </c>
      <c r="G12" s="44">
        <f t="shared" si="5"/>
        <v>0</v>
      </c>
      <c r="H12" s="44">
        <f t="shared" si="5"/>
        <v>0</v>
      </c>
      <c r="I12" s="35">
        <f t="shared" si="5"/>
        <v>0</v>
      </c>
      <c r="J12" s="44">
        <f t="shared" si="5"/>
        <v>0</v>
      </c>
      <c r="K12" s="44">
        <f t="shared" si="5"/>
        <v>0</v>
      </c>
      <c r="L12" s="44">
        <f t="shared" si="5"/>
        <v>0</v>
      </c>
      <c r="M12" s="35">
        <f t="shared" si="5"/>
        <v>0</v>
      </c>
      <c r="N12" s="44">
        <f t="shared" si="5"/>
        <v>0</v>
      </c>
      <c r="O12" s="44">
        <f t="shared" si="5"/>
        <v>0</v>
      </c>
      <c r="P12" s="44">
        <f t="shared" si="5"/>
        <v>0</v>
      </c>
      <c r="Q12" s="35">
        <f t="shared" si="5"/>
        <v>0</v>
      </c>
      <c r="R12" s="44">
        <f t="shared" si="5"/>
        <v>0</v>
      </c>
      <c r="S12" s="44">
        <f t="shared" si="5"/>
        <v>0</v>
      </c>
      <c r="T12" s="44">
        <f t="shared" si="5"/>
        <v>0</v>
      </c>
      <c r="U12" s="35">
        <f t="shared" ref="U12:V12" si="6">SUM(U5:U10)</f>
        <v>0</v>
      </c>
      <c r="V12" s="35">
        <f t="shared" si="6"/>
        <v>0</v>
      </c>
    </row>
    <row r="13" spans="1:47" s="111" customFormat="1" ht="5.25" customHeight="1">
      <c r="A13" s="121"/>
      <c r="B13" s="3"/>
      <c r="C13" s="3"/>
      <c r="D13" s="119"/>
      <c r="E13" s="4"/>
      <c r="F13" s="43"/>
      <c r="G13" s="43"/>
      <c r="H13" s="43"/>
      <c r="I13" s="34"/>
      <c r="J13" s="43"/>
      <c r="K13" s="43"/>
      <c r="L13" s="43"/>
      <c r="M13" s="34"/>
      <c r="N13" s="43"/>
      <c r="O13" s="43"/>
      <c r="P13" s="43"/>
      <c r="Q13" s="34"/>
      <c r="R13" s="43"/>
      <c r="S13" s="43"/>
      <c r="T13" s="43"/>
      <c r="U13" s="34"/>
      <c r="V13" s="34"/>
    </row>
    <row r="14" spans="1:47" s="111" customFormat="1" ht="12.75" customHeight="1">
      <c r="A14" s="452" t="s">
        <v>168</v>
      </c>
      <c r="B14" s="453"/>
      <c r="C14" s="453"/>
      <c r="D14" s="454"/>
      <c r="E14" s="7"/>
      <c r="F14" s="43"/>
      <c r="G14" s="43"/>
      <c r="H14" s="43"/>
      <c r="I14" s="34"/>
      <c r="J14" s="43"/>
      <c r="K14" s="43"/>
      <c r="L14" s="43"/>
      <c r="M14" s="34"/>
      <c r="N14" s="43"/>
      <c r="O14" s="43"/>
      <c r="P14" s="43"/>
      <c r="Q14" s="34"/>
      <c r="R14" s="43"/>
      <c r="S14" s="43"/>
      <c r="T14" s="43"/>
      <c r="U14" s="34"/>
      <c r="V14" s="34"/>
    </row>
    <row r="15" spans="1:47" s="111" customFormat="1" ht="12.75" customHeight="1" outlineLevel="1">
      <c r="A15" s="465"/>
      <c r="B15" s="3"/>
      <c r="C15" s="466" t="s">
        <v>169</v>
      </c>
      <c r="D15" s="467"/>
      <c r="E15" s="7"/>
      <c r="F15" s="43"/>
      <c r="G15" s="43"/>
      <c r="H15" s="43"/>
      <c r="I15" s="34"/>
      <c r="J15" s="43"/>
      <c r="K15" s="43"/>
      <c r="L15" s="43"/>
      <c r="M15" s="34"/>
      <c r="N15" s="43"/>
      <c r="O15" s="43"/>
      <c r="P15" s="43"/>
      <c r="Q15" s="34"/>
      <c r="R15" s="43"/>
      <c r="S15" s="43"/>
      <c r="T15" s="43"/>
      <c r="U15" s="34"/>
      <c r="V15" s="34"/>
    </row>
    <row r="16" spans="1:47" s="111" customFormat="1" ht="12.75" customHeight="1" outlineLevel="1">
      <c r="A16" s="465"/>
      <c r="B16" s="3"/>
      <c r="C16" s="116"/>
      <c r="D16" s="117" t="s">
        <v>170</v>
      </c>
      <c r="E16" s="7">
        <v>0</v>
      </c>
      <c r="F16" s="43"/>
      <c r="G16" s="43"/>
      <c r="H16" s="43"/>
      <c r="I16" s="34">
        <f t="shared" ref="I16:I22" si="7">H16+G16+F16</f>
        <v>0</v>
      </c>
      <c r="J16" s="43"/>
      <c r="K16" s="43"/>
      <c r="L16" s="43"/>
      <c r="M16" s="34">
        <f t="shared" ref="M16:M22" si="8">L16+K16+J16</f>
        <v>0</v>
      </c>
      <c r="N16" s="43"/>
      <c r="O16" s="43"/>
      <c r="P16" s="43"/>
      <c r="Q16" s="34">
        <f t="shared" ref="Q16:Q22" si="9">P16+O16+N16</f>
        <v>0</v>
      </c>
      <c r="R16" s="43"/>
      <c r="S16" s="43"/>
      <c r="T16" s="43"/>
      <c r="U16" s="34">
        <f t="shared" ref="U16:U22" si="10">T16+S16+R16</f>
        <v>0</v>
      </c>
      <c r="V16" s="34">
        <f t="shared" ref="V16:V22" si="11">U16+Q16+M16+I16</f>
        <v>0</v>
      </c>
    </row>
    <row r="17" spans="1:22" s="111" customFormat="1" ht="12.75" customHeight="1" outlineLevel="1">
      <c r="A17" s="465"/>
      <c r="B17" s="3"/>
      <c r="C17" s="116"/>
      <c r="D17" s="117" t="s">
        <v>172</v>
      </c>
      <c r="E17" s="7"/>
      <c r="F17" s="43"/>
      <c r="G17" s="43"/>
      <c r="H17" s="43"/>
      <c r="I17" s="34">
        <f t="shared" si="7"/>
        <v>0</v>
      </c>
      <c r="J17" s="43"/>
      <c r="K17" s="43"/>
      <c r="L17" s="43"/>
      <c r="M17" s="34">
        <f t="shared" si="8"/>
        <v>0</v>
      </c>
      <c r="N17" s="43"/>
      <c r="O17" s="43"/>
      <c r="P17" s="43"/>
      <c r="Q17" s="34">
        <f t="shared" si="9"/>
        <v>0</v>
      </c>
      <c r="R17" s="43"/>
      <c r="S17" s="43"/>
      <c r="T17" s="43"/>
      <c r="U17" s="34">
        <f t="shared" si="10"/>
        <v>0</v>
      </c>
      <c r="V17" s="34">
        <f t="shared" si="11"/>
        <v>0</v>
      </c>
    </row>
    <row r="18" spans="1:22" s="111" customFormat="1" ht="12.75" customHeight="1" outlineLevel="1">
      <c r="A18" s="465"/>
      <c r="B18" s="3"/>
      <c r="C18" s="116"/>
      <c r="D18" s="117" t="s">
        <v>294</v>
      </c>
      <c r="E18" s="7"/>
      <c r="F18" s="43"/>
      <c r="G18" s="43"/>
      <c r="H18" s="43"/>
      <c r="I18" s="34">
        <f t="shared" si="7"/>
        <v>0</v>
      </c>
      <c r="J18" s="43"/>
      <c r="K18" s="43"/>
      <c r="L18" s="43"/>
      <c r="M18" s="34">
        <f t="shared" si="8"/>
        <v>0</v>
      </c>
      <c r="N18" s="43"/>
      <c r="O18" s="43"/>
      <c r="P18" s="43"/>
      <c r="Q18" s="34">
        <f t="shared" si="9"/>
        <v>0</v>
      </c>
      <c r="R18" s="43"/>
      <c r="S18" s="43"/>
      <c r="T18" s="43"/>
      <c r="U18" s="34">
        <f t="shared" si="10"/>
        <v>0</v>
      </c>
      <c r="V18" s="34">
        <f t="shared" si="11"/>
        <v>0</v>
      </c>
    </row>
    <row r="19" spans="1:22" s="111" customFormat="1" ht="12.75" customHeight="1" outlineLevel="1">
      <c r="A19" s="465"/>
      <c r="B19" s="3"/>
      <c r="C19" s="116"/>
      <c r="D19" s="117" t="s">
        <v>173</v>
      </c>
      <c r="E19" s="7"/>
      <c r="F19" s="43"/>
      <c r="G19" s="43"/>
      <c r="H19" s="43"/>
      <c r="I19" s="34">
        <f t="shared" si="7"/>
        <v>0</v>
      </c>
      <c r="J19" s="43"/>
      <c r="K19" s="43"/>
      <c r="L19" s="43"/>
      <c r="M19" s="34">
        <f t="shared" si="8"/>
        <v>0</v>
      </c>
      <c r="N19" s="43"/>
      <c r="O19" s="43"/>
      <c r="P19" s="43"/>
      <c r="Q19" s="34">
        <f t="shared" si="9"/>
        <v>0</v>
      </c>
      <c r="R19" s="43"/>
      <c r="S19" s="43"/>
      <c r="T19" s="43"/>
      <c r="U19" s="34">
        <f t="shared" si="10"/>
        <v>0</v>
      </c>
      <c r="V19" s="34">
        <f t="shared" si="11"/>
        <v>0</v>
      </c>
    </row>
    <row r="20" spans="1:22" s="111" customFormat="1" ht="12.75" customHeight="1" outlineLevel="1">
      <c r="A20" s="465"/>
      <c r="B20" s="3"/>
      <c r="C20" s="116"/>
      <c r="D20" s="118" t="s">
        <v>174</v>
      </c>
      <c r="E20" s="7">
        <v>0</v>
      </c>
      <c r="F20" s="43"/>
      <c r="G20" s="43"/>
      <c r="H20" s="43"/>
      <c r="I20" s="34">
        <f t="shared" si="7"/>
        <v>0</v>
      </c>
      <c r="J20" s="43"/>
      <c r="K20" s="43"/>
      <c r="L20" s="43"/>
      <c r="M20" s="34">
        <f t="shared" si="8"/>
        <v>0</v>
      </c>
      <c r="N20" s="43"/>
      <c r="O20" s="43"/>
      <c r="P20" s="43"/>
      <c r="Q20" s="34">
        <f t="shared" si="9"/>
        <v>0</v>
      </c>
      <c r="R20" s="43"/>
      <c r="S20" s="43"/>
      <c r="T20" s="43"/>
      <c r="U20" s="34">
        <f t="shared" si="10"/>
        <v>0</v>
      </c>
      <c r="V20" s="34">
        <f t="shared" si="11"/>
        <v>0</v>
      </c>
    </row>
    <row r="21" spans="1:22" s="111" customFormat="1" ht="12.75" customHeight="1" outlineLevel="1">
      <c r="A21" s="465"/>
      <c r="B21" s="3"/>
      <c r="C21" s="468" t="s">
        <v>175</v>
      </c>
      <c r="D21" s="469"/>
      <c r="E21" s="7"/>
      <c r="F21" s="43"/>
      <c r="G21" s="43"/>
      <c r="H21" s="43"/>
      <c r="I21" s="34">
        <f t="shared" si="7"/>
        <v>0</v>
      </c>
      <c r="J21" s="43"/>
      <c r="K21" s="43"/>
      <c r="L21" s="43"/>
      <c r="M21" s="34">
        <f t="shared" si="8"/>
        <v>0</v>
      </c>
      <c r="N21" s="43"/>
      <c r="O21" s="43"/>
      <c r="P21" s="43"/>
      <c r="Q21" s="34">
        <f t="shared" si="9"/>
        <v>0</v>
      </c>
      <c r="R21" s="43"/>
      <c r="S21" s="43"/>
      <c r="T21" s="43"/>
      <c r="U21" s="34">
        <f t="shared" si="10"/>
        <v>0</v>
      </c>
      <c r="V21" s="34">
        <f t="shared" si="11"/>
        <v>0</v>
      </c>
    </row>
    <row r="22" spans="1:22" s="111" customFormat="1" ht="12.75" customHeight="1" outlineLevel="1">
      <c r="A22" s="465"/>
      <c r="B22" s="3"/>
      <c r="C22" s="468" t="s">
        <v>176</v>
      </c>
      <c r="D22" s="469"/>
      <c r="E22" s="7"/>
      <c r="F22" s="43"/>
      <c r="G22" s="43"/>
      <c r="H22" s="43"/>
      <c r="I22" s="34">
        <f t="shared" si="7"/>
        <v>0</v>
      </c>
      <c r="J22" s="43"/>
      <c r="K22" s="43"/>
      <c r="L22" s="43"/>
      <c r="M22" s="34">
        <f t="shared" si="8"/>
        <v>0</v>
      </c>
      <c r="N22" s="43"/>
      <c r="O22" s="43"/>
      <c r="P22" s="43"/>
      <c r="Q22" s="34">
        <f t="shared" si="9"/>
        <v>0</v>
      </c>
      <c r="R22" s="43"/>
      <c r="S22" s="43"/>
      <c r="T22" s="43"/>
      <c r="U22" s="34">
        <f t="shared" si="10"/>
        <v>0</v>
      </c>
      <c r="V22" s="34">
        <f t="shared" si="11"/>
        <v>0</v>
      </c>
    </row>
    <row r="23" spans="1:22" s="111" customFormat="1" ht="12.75" customHeight="1" outlineLevel="1">
      <c r="A23" s="465"/>
      <c r="B23" s="3"/>
      <c r="C23" s="457" t="s">
        <v>203</v>
      </c>
      <c r="D23" s="470"/>
      <c r="E23" s="7"/>
      <c r="F23" s="96"/>
      <c r="G23" s="96"/>
      <c r="H23" s="96"/>
      <c r="I23" s="34">
        <f>H23+G23+F23</f>
        <v>0</v>
      </c>
      <c r="J23" s="96"/>
      <c r="K23" s="96"/>
      <c r="L23" s="96"/>
      <c r="M23" s="34">
        <f>L23+K23+J23</f>
        <v>0</v>
      </c>
      <c r="N23" s="96"/>
      <c r="O23" s="96"/>
      <c r="P23" s="96"/>
      <c r="Q23" s="34">
        <f>P23+O23+N23</f>
        <v>0</v>
      </c>
      <c r="R23" s="96"/>
      <c r="S23" s="96"/>
      <c r="T23" s="96"/>
      <c r="U23" s="34">
        <f t="shared" ref="U23" si="12">T23+S23+R23</f>
        <v>0</v>
      </c>
      <c r="V23" s="34">
        <f t="shared" ref="V23" si="13">U23+Q23+M23+I23</f>
        <v>0</v>
      </c>
    </row>
    <row r="24" spans="1:22" s="111" customFormat="1" ht="12.75" customHeight="1" outlineLevel="1">
      <c r="A24" s="465"/>
      <c r="B24" s="3"/>
      <c r="C24" s="457" t="s">
        <v>184</v>
      </c>
      <c r="D24" s="458"/>
      <c r="E24" s="7"/>
      <c r="F24" s="96"/>
      <c r="G24" s="96"/>
      <c r="H24" s="96"/>
      <c r="I24" s="34">
        <f t="shared" ref="I24:I25" si="14">H24+G24+F24</f>
        <v>0</v>
      </c>
      <c r="J24" s="96"/>
      <c r="K24" s="96"/>
      <c r="L24" s="96"/>
      <c r="M24" s="34">
        <f t="shared" ref="M24:M25" si="15">L24+K24+J24</f>
        <v>0</v>
      </c>
      <c r="N24" s="96"/>
      <c r="O24" s="96"/>
      <c r="P24" s="96"/>
      <c r="Q24" s="34">
        <f t="shared" ref="Q24:Q25" si="16">P24+O24+N24</f>
        <v>0</v>
      </c>
      <c r="R24" s="96"/>
      <c r="S24" s="96"/>
      <c r="T24" s="96"/>
      <c r="U24" s="34">
        <f t="shared" ref="U24:U25" si="17">T24+S24+R24</f>
        <v>0</v>
      </c>
      <c r="V24" s="34">
        <f t="shared" ref="V24:V25" si="18">U24+Q24+M24+I24</f>
        <v>0</v>
      </c>
    </row>
    <row r="25" spans="1:22" s="111" customFormat="1" ht="12.75" customHeight="1" outlineLevel="1">
      <c r="A25" s="465"/>
      <c r="B25" s="3"/>
      <c r="C25" s="457" t="s">
        <v>183</v>
      </c>
      <c r="D25" s="458"/>
      <c r="E25" s="7">
        <v>0</v>
      </c>
      <c r="F25" s="43"/>
      <c r="G25" s="43"/>
      <c r="H25" s="96"/>
      <c r="I25" s="34">
        <f t="shared" si="14"/>
        <v>0</v>
      </c>
      <c r="J25" s="43"/>
      <c r="K25" s="43"/>
      <c r="L25" s="96"/>
      <c r="M25" s="34">
        <f t="shared" si="15"/>
        <v>0</v>
      </c>
      <c r="N25" s="43"/>
      <c r="O25" s="43"/>
      <c r="P25" s="96"/>
      <c r="Q25" s="34">
        <f t="shared" si="16"/>
        <v>0</v>
      </c>
      <c r="R25" s="43"/>
      <c r="S25" s="43"/>
      <c r="T25" s="96"/>
      <c r="U25" s="34">
        <f t="shared" si="17"/>
        <v>0</v>
      </c>
      <c r="V25" s="34">
        <f t="shared" si="18"/>
        <v>0</v>
      </c>
    </row>
    <row r="26" spans="1:22" s="111" customFormat="1" ht="12.75" customHeight="1">
      <c r="A26" s="459" t="s">
        <v>177</v>
      </c>
      <c r="B26" s="460"/>
      <c r="C26" s="460"/>
      <c r="D26" s="461"/>
      <c r="E26" s="8"/>
      <c r="F26" s="44">
        <f t="shared" ref="F26:T26" si="19">SUM(F16:F25)</f>
        <v>0</v>
      </c>
      <c r="G26" s="44">
        <f t="shared" si="19"/>
        <v>0</v>
      </c>
      <c r="H26" s="44">
        <f t="shared" si="19"/>
        <v>0</v>
      </c>
      <c r="I26" s="35">
        <f t="shared" si="19"/>
        <v>0</v>
      </c>
      <c r="J26" s="44">
        <f t="shared" si="19"/>
        <v>0</v>
      </c>
      <c r="K26" s="44">
        <f t="shared" si="19"/>
        <v>0</v>
      </c>
      <c r="L26" s="44">
        <f t="shared" si="19"/>
        <v>0</v>
      </c>
      <c r="M26" s="35">
        <f t="shared" si="19"/>
        <v>0</v>
      </c>
      <c r="N26" s="44">
        <f t="shared" si="19"/>
        <v>0</v>
      </c>
      <c r="O26" s="44">
        <f t="shared" si="19"/>
        <v>0</v>
      </c>
      <c r="P26" s="44">
        <f t="shared" si="19"/>
        <v>0</v>
      </c>
      <c r="Q26" s="35">
        <f t="shared" si="19"/>
        <v>0</v>
      </c>
      <c r="R26" s="44">
        <f t="shared" si="19"/>
        <v>0</v>
      </c>
      <c r="S26" s="44">
        <f t="shared" si="19"/>
        <v>0</v>
      </c>
      <c r="T26" s="44">
        <f t="shared" si="19"/>
        <v>0</v>
      </c>
      <c r="U26" s="35">
        <f t="shared" ref="U26:V26" si="20">SUM(U16:U25)</f>
        <v>0</v>
      </c>
      <c r="V26" s="35">
        <f t="shared" si="20"/>
        <v>0</v>
      </c>
    </row>
    <row r="27" spans="1:22" s="111" customFormat="1" ht="8.25" customHeight="1">
      <c r="A27" s="122"/>
      <c r="B27" s="123"/>
      <c r="C27" s="123"/>
      <c r="D27" s="124"/>
      <c r="E27" s="8"/>
      <c r="F27" s="43"/>
      <c r="G27" s="43"/>
      <c r="H27" s="43"/>
      <c r="I27" s="34"/>
      <c r="J27" s="43"/>
      <c r="K27" s="43"/>
      <c r="L27" s="43"/>
      <c r="M27" s="34"/>
      <c r="N27" s="43"/>
      <c r="O27" s="43"/>
      <c r="P27" s="43"/>
      <c r="Q27" s="34"/>
      <c r="R27" s="43"/>
      <c r="S27" s="43"/>
      <c r="T27" s="43"/>
      <c r="U27" s="34"/>
      <c r="V27" s="34"/>
    </row>
    <row r="28" spans="1:22" s="111" customFormat="1" ht="12.75" customHeight="1">
      <c r="A28" s="462" t="s">
        <v>178</v>
      </c>
      <c r="B28" s="463"/>
      <c r="C28" s="463"/>
      <c r="D28" s="464"/>
      <c r="E28" s="8"/>
      <c r="F28" s="43"/>
      <c r="G28" s="43"/>
      <c r="H28" s="43"/>
      <c r="I28" s="34"/>
      <c r="J28" s="43"/>
      <c r="K28" s="43"/>
      <c r="L28" s="43"/>
      <c r="M28" s="34"/>
      <c r="N28" s="43"/>
      <c r="O28" s="43"/>
      <c r="P28" s="43"/>
      <c r="Q28" s="34"/>
      <c r="R28" s="43"/>
      <c r="S28" s="43"/>
      <c r="T28" s="43"/>
      <c r="U28" s="34"/>
      <c r="V28" s="34"/>
    </row>
    <row r="29" spans="1:22" s="111" customFormat="1" ht="12.75" customHeight="1">
      <c r="A29" s="125"/>
      <c r="B29" s="4"/>
      <c r="C29" s="455" t="s">
        <v>179</v>
      </c>
      <c r="D29" s="456"/>
      <c r="E29" s="8"/>
      <c r="F29" s="44">
        <f t="shared" ref="F29:T29" si="21">F12-F26</f>
        <v>0</v>
      </c>
      <c r="G29" s="44">
        <f t="shared" si="21"/>
        <v>0</v>
      </c>
      <c r="H29" s="44">
        <f t="shared" si="21"/>
        <v>0</v>
      </c>
      <c r="I29" s="35">
        <f t="shared" si="21"/>
        <v>0</v>
      </c>
      <c r="J29" s="44">
        <f t="shared" si="21"/>
        <v>0</v>
      </c>
      <c r="K29" s="44">
        <f t="shared" si="21"/>
        <v>0</v>
      </c>
      <c r="L29" s="44">
        <f t="shared" si="21"/>
        <v>0</v>
      </c>
      <c r="M29" s="35">
        <f t="shared" si="21"/>
        <v>0</v>
      </c>
      <c r="N29" s="44">
        <f t="shared" si="21"/>
        <v>0</v>
      </c>
      <c r="O29" s="44">
        <f t="shared" si="21"/>
        <v>0</v>
      </c>
      <c r="P29" s="44">
        <f t="shared" si="21"/>
        <v>0</v>
      </c>
      <c r="Q29" s="35">
        <f t="shared" si="21"/>
        <v>0</v>
      </c>
      <c r="R29" s="44">
        <f t="shared" si="21"/>
        <v>0</v>
      </c>
      <c r="S29" s="44">
        <f t="shared" si="21"/>
        <v>0</v>
      </c>
      <c r="T29" s="44">
        <f t="shared" si="21"/>
        <v>0</v>
      </c>
      <c r="U29" s="35">
        <f t="shared" ref="U29:V29" si="22">U12-U26</f>
        <v>0</v>
      </c>
      <c r="V29" s="35">
        <f t="shared" si="22"/>
        <v>0</v>
      </c>
    </row>
    <row r="30" spans="1:22" s="111" customFormat="1" ht="12.75" customHeight="1">
      <c r="A30" s="121"/>
      <c r="B30" s="3"/>
      <c r="C30" s="3"/>
      <c r="D30" s="118" t="s">
        <v>180</v>
      </c>
      <c r="E30" s="7"/>
      <c r="F30" s="126">
        <f t="shared" ref="F30:T30" si="23">IF(F12=0,0,F29/F12)</f>
        <v>0</v>
      </c>
      <c r="G30" s="126">
        <f t="shared" si="23"/>
        <v>0</v>
      </c>
      <c r="H30" s="126">
        <f t="shared" si="23"/>
        <v>0</v>
      </c>
      <c r="I30" s="127">
        <f t="shared" si="23"/>
        <v>0</v>
      </c>
      <c r="J30" s="126">
        <f t="shared" si="23"/>
        <v>0</v>
      </c>
      <c r="K30" s="126">
        <f t="shared" si="23"/>
        <v>0</v>
      </c>
      <c r="L30" s="126">
        <f t="shared" si="23"/>
        <v>0</v>
      </c>
      <c r="M30" s="127">
        <f t="shared" si="23"/>
        <v>0</v>
      </c>
      <c r="N30" s="126">
        <f t="shared" si="23"/>
        <v>0</v>
      </c>
      <c r="O30" s="126">
        <f t="shared" si="23"/>
        <v>0</v>
      </c>
      <c r="P30" s="126">
        <f t="shared" si="23"/>
        <v>0</v>
      </c>
      <c r="Q30" s="127">
        <f t="shared" si="23"/>
        <v>0</v>
      </c>
      <c r="R30" s="126">
        <f t="shared" si="23"/>
        <v>0</v>
      </c>
      <c r="S30" s="126">
        <f t="shared" si="23"/>
        <v>0</v>
      </c>
      <c r="T30" s="126">
        <f t="shared" si="23"/>
        <v>0</v>
      </c>
      <c r="U30" s="127">
        <f t="shared" ref="U30:V30" si="24">IF(U12=0,0,U29/U12)</f>
        <v>0</v>
      </c>
      <c r="V30" s="127">
        <f t="shared" si="24"/>
        <v>0</v>
      </c>
    </row>
    <row r="31" spans="1:22" ht="13.15" outlineLevel="1">
      <c r="A31" s="21" t="s">
        <v>49</v>
      </c>
      <c r="B31" s="22"/>
      <c r="C31" s="22"/>
      <c r="D31" s="22"/>
      <c r="F31" s="43"/>
      <c r="G31" s="43"/>
      <c r="H31" s="43"/>
      <c r="I31" s="34"/>
      <c r="J31" s="43"/>
      <c r="K31" s="43"/>
      <c r="L31" s="43"/>
      <c r="M31" s="34"/>
      <c r="N31" s="43"/>
      <c r="O31" s="43"/>
      <c r="P31" s="43"/>
      <c r="Q31" s="34"/>
      <c r="R31" s="43"/>
      <c r="S31" s="43"/>
      <c r="T31" s="43"/>
      <c r="U31" s="34"/>
      <c r="V31" s="34"/>
    </row>
    <row r="32" spans="1:22" ht="13.5" outlineLevel="2">
      <c r="A32" s="22"/>
      <c r="B32" s="22"/>
      <c r="C32" s="23" t="s">
        <v>37</v>
      </c>
      <c r="D32" s="24"/>
      <c r="E32" s="8"/>
      <c r="F32" s="43"/>
      <c r="G32" s="43"/>
      <c r="H32" s="43"/>
      <c r="I32" s="34"/>
      <c r="J32" s="43"/>
      <c r="K32" s="43"/>
      <c r="L32" s="43"/>
      <c r="M32" s="34"/>
      <c r="N32" s="43"/>
      <c r="O32" s="43"/>
      <c r="P32" s="43"/>
      <c r="Q32" s="34"/>
      <c r="R32" s="43"/>
      <c r="S32" s="43"/>
      <c r="T32" s="43"/>
      <c r="U32" s="34"/>
      <c r="V32" s="34"/>
    </row>
    <row r="33" spans="1:22" ht="13.15" outlineLevel="2">
      <c r="A33" s="22"/>
      <c r="B33" s="22"/>
      <c r="C33" s="22"/>
      <c r="D33" s="25" t="s">
        <v>27</v>
      </c>
      <c r="E33" s="7">
        <v>0</v>
      </c>
      <c r="F33" s="43">
        <v>10000000</v>
      </c>
      <c r="G33" s="43">
        <v>10000000</v>
      </c>
      <c r="H33" s="43">
        <v>10000000</v>
      </c>
      <c r="I33" s="34">
        <f>SUM(F33:H33)</f>
        <v>30000000</v>
      </c>
      <c r="J33" s="43">
        <v>10000000</v>
      </c>
      <c r="K33" s="43">
        <v>10000000</v>
      </c>
      <c r="L33" s="43">
        <v>10000000</v>
      </c>
      <c r="M33" s="34">
        <f>SUM(J33:L33)</f>
        <v>30000000</v>
      </c>
      <c r="N33" s="43">
        <v>10000000</v>
      </c>
      <c r="O33" s="43">
        <v>10000000</v>
      </c>
      <c r="P33" s="43">
        <v>10000000</v>
      </c>
      <c r="Q33" s="34">
        <f>SUM(N33:P33)</f>
        <v>30000000</v>
      </c>
      <c r="R33" s="43">
        <v>10000000</v>
      </c>
      <c r="S33" s="43">
        <v>10000000</v>
      </c>
      <c r="T33" s="43">
        <v>10000000</v>
      </c>
      <c r="U33" s="34">
        <f>SUM(R33:T33)</f>
        <v>30000000</v>
      </c>
      <c r="V33" s="34">
        <f t="shared" ref="V33:V37" si="25">I33+M33+Q33+U33</f>
        <v>120000000</v>
      </c>
    </row>
    <row r="34" spans="1:22" ht="13.15" outlineLevel="2">
      <c r="A34" s="22"/>
      <c r="B34" s="22"/>
      <c r="C34" s="22"/>
      <c r="D34" s="25" t="s">
        <v>73</v>
      </c>
      <c r="F34" s="43">
        <v>0</v>
      </c>
      <c r="G34" s="43">
        <v>0</v>
      </c>
      <c r="H34" s="43">
        <v>0</v>
      </c>
      <c r="I34" s="34">
        <f>SUM(F34:H34)</f>
        <v>0</v>
      </c>
      <c r="J34" s="43">
        <v>0</v>
      </c>
      <c r="K34" s="43">
        <v>0</v>
      </c>
      <c r="L34" s="43">
        <v>0</v>
      </c>
      <c r="M34" s="34">
        <f>SUM(J34:L34)</f>
        <v>0</v>
      </c>
      <c r="N34" s="43">
        <v>0</v>
      </c>
      <c r="O34" s="43">
        <v>0</v>
      </c>
      <c r="P34" s="43">
        <v>0</v>
      </c>
      <c r="Q34" s="34">
        <f>SUM(N34:P34)</f>
        <v>0</v>
      </c>
      <c r="R34" s="43">
        <v>0</v>
      </c>
      <c r="S34" s="43">
        <v>0</v>
      </c>
      <c r="T34" s="43">
        <v>0</v>
      </c>
      <c r="U34" s="34">
        <f>SUM(R34:T34)</f>
        <v>0</v>
      </c>
      <c r="V34" s="34">
        <f t="shared" si="25"/>
        <v>0</v>
      </c>
    </row>
    <row r="35" spans="1:22" ht="13.15" outlineLevel="2">
      <c r="A35" s="22"/>
      <c r="B35" s="22"/>
      <c r="C35" s="22"/>
      <c r="D35" s="25" t="s">
        <v>55</v>
      </c>
      <c r="E35" s="7">
        <v>0</v>
      </c>
      <c r="F35" s="43"/>
      <c r="G35" s="43"/>
      <c r="H35" s="43"/>
      <c r="I35" s="34">
        <f>SUM(F35:H35)</f>
        <v>0</v>
      </c>
      <c r="J35" s="43"/>
      <c r="K35" s="43"/>
      <c r="L35" s="43"/>
      <c r="M35" s="34">
        <f>SUM(J35:L35)</f>
        <v>0</v>
      </c>
      <c r="N35" s="43"/>
      <c r="O35" s="43"/>
      <c r="P35" s="43"/>
      <c r="Q35" s="34">
        <f>SUM(N35:P35)</f>
        <v>0</v>
      </c>
      <c r="R35" s="43"/>
      <c r="S35" s="43"/>
      <c r="T35" s="43"/>
      <c r="U35" s="34">
        <f>SUM(R35:T35)</f>
        <v>0</v>
      </c>
      <c r="V35" s="34">
        <f t="shared" si="25"/>
        <v>0</v>
      </c>
    </row>
    <row r="36" spans="1:22" ht="13.15" outlineLevel="2">
      <c r="A36" s="22"/>
      <c r="B36" s="22"/>
      <c r="C36" s="22"/>
      <c r="D36" s="25" t="s">
        <v>96</v>
      </c>
      <c r="E36" s="7">
        <v>0</v>
      </c>
      <c r="F36" s="43">
        <v>1000000</v>
      </c>
      <c r="G36" s="43">
        <v>1000000</v>
      </c>
      <c r="H36" s="43">
        <v>1000000</v>
      </c>
      <c r="I36" s="34">
        <f>SUM(F36:H36)</f>
        <v>3000000</v>
      </c>
      <c r="J36" s="43">
        <v>1000000</v>
      </c>
      <c r="K36" s="43">
        <v>1000000</v>
      </c>
      <c r="L36" s="43">
        <v>1000000</v>
      </c>
      <c r="M36" s="34">
        <f>SUM(J36:L36)</f>
        <v>3000000</v>
      </c>
      <c r="N36" s="43">
        <v>1000000</v>
      </c>
      <c r="O36" s="43">
        <v>1000000</v>
      </c>
      <c r="P36" s="43">
        <v>1000000</v>
      </c>
      <c r="Q36" s="34">
        <f>SUM(N36:P36)</f>
        <v>3000000</v>
      </c>
      <c r="R36" s="43">
        <v>1000000</v>
      </c>
      <c r="S36" s="43">
        <v>1000000</v>
      </c>
      <c r="T36" s="43">
        <v>1000000</v>
      </c>
      <c r="U36" s="34">
        <f>SUM(R36:T36)</f>
        <v>3000000</v>
      </c>
      <c r="V36" s="34">
        <f t="shared" si="25"/>
        <v>12000000</v>
      </c>
    </row>
    <row r="37" spans="1:22" ht="13.15" outlineLevel="1">
      <c r="A37" s="24"/>
      <c r="B37" s="24" t="s">
        <v>0</v>
      </c>
      <c r="C37" s="24"/>
      <c r="D37" s="24"/>
      <c r="E37" s="8"/>
      <c r="F37" s="44">
        <f t="shared" ref="F37:H37" si="26">SUM(F33:F36)</f>
        <v>11000000</v>
      </c>
      <c r="G37" s="44">
        <f t="shared" si="26"/>
        <v>11000000</v>
      </c>
      <c r="H37" s="44">
        <f t="shared" si="26"/>
        <v>11000000</v>
      </c>
      <c r="I37" s="35">
        <f>SUM(I33:I36)</f>
        <v>33000000</v>
      </c>
      <c r="J37" s="44">
        <f t="shared" ref="J37:L37" si="27">SUM(J33:J36)</f>
        <v>11000000</v>
      </c>
      <c r="K37" s="44">
        <f t="shared" si="27"/>
        <v>11000000</v>
      </c>
      <c r="L37" s="44">
        <f t="shared" si="27"/>
        <v>11000000</v>
      </c>
      <c r="M37" s="35">
        <f>SUM(M33:M36)</f>
        <v>33000000</v>
      </c>
      <c r="N37" s="44">
        <f t="shared" ref="N37:P37" si="28">SUM(N33:N36)</f>
        <v>11000000</v>
      </c>
      <c r="O37" s="44">
        <f t="shared" si="28"/>
        <v>11000000</v>
      </c>
      <c r="P37" s="44">
        <f t="shared" si="28"/>
        <v>11000000</v>
      </c>
      <c r="Q37" s="35">
        <f>SUM(Q33:Q36)</f>
        <v>33000000</v>
      </c>
      <c r="R37" s="44">
        <f t="shared" ref="R37:T37" si="29">SUM(R33:R36)</f>
        <v>11000000</v>
      </c>
      <c r="S37" s="44">
        <f t="shared" si="29"/>
        <v>11000000</v>
      </c>
      <c r="T37" s="44">
        <f t="shared" si="29"/>
        <v>11000000</v>
      </c>
      <c r="U37" s="35">
        <f t="shared" ref="U37" si="30">SUM(U33:U36)</f>
        <v>33000000</v>
      </c>
      <c r="V37" s="35">
        <f t="shared" si="25"/>
        <v>132000000</v>
      </c>
    </row>
    <row r="38" spans="1:22" ht="13.15" outlineLevel="2">
      <c r="A38" s="22"/>
      <c r="B38" s="22"/>
      <c r="C38" s="23" t="s">
        <v>38</v>
      </c>
      <c r="D38" s="22"/>
      <c r="F38" s="43"/>
      <c r="G38" s="43"/>
      <c r="H38" s="43"/>
      <c r="I38" s="34"/>
      <c r="J38" s="43"/>
      <c r="K38" s="43"/>
      <c r="L38" s="43"/>
      <c r="M38" s="34"/>
      <c r="N38" s="43"/>
      <c r="O38" s="43"/>
      <c r="P38" s="43"/>
      <c r="Q38" s="34"/>
      <c r="R38" s="43"/>
      <c r="S38" s="43"/>
      <c r="T38" s="43"/>
      <c r="U38" s="34"/>
      <c r="V38" s="34"/>
    </row>
    <row r="39" spans="1:22" ht="13.15" outlineLevel="2">
      <c r="A39" s="22"/>
      <c r="B39" s="22"/>
      <c r="C39" s="22"/>
      <c r="D39" s="25" t="s">
        <v>30</v>
      </c>
      <c r="E39" s="7">
        <v>0</v>
      </c>
      <c r="F39" s="43">
        <v>300000</v>
      </c>
      <c r="G39" s="43">
        <v>300000</v>
      </c>
      <c r="H39" s="43">
        <v>300000</v>
      </c>
      <c r="I39" s="34">
        <f t="shared" ref="I39:I50" si="31">SUM(F39:H39)</f>
        <v>900000</v>
      </c>
      <c r="J39" s="43">
        <v>300000</v>
      </c>
      <c r="K39" s="43">
        <v>300000</v>
      </c>
      <c r="L39" s="43">
        <v>300000</v>
      </c>
      <c r="M39" s="34">
        <f t="shared" ref="M39:M50" si="32">SUM(J39:L39)</f>
        <v>900000</v>
      </c>
      <c r="N39" s="43">
        <v>300000</v>
      </c>
      <c r="O39" s="43">
        <v>300000</v>
      </c>
      <c r="P39" s="43">
        <v>300000</v>
      </c>
      <c r="Q39" s="34">
        <f t="shared" ref="Q39:Q50" si="33">SUM(N39:P39)</f>
        <v>900000</v>
      </c>
      <c r="R39" s="43">
        <v>300000</v>
      </c>
      <c r="S39" s="43">
        <v>300000</v>
      </c>
      <c r="T39" s="43">
        <v>300000</v>
      </c>
      <c r="U39" s="34">
        <f t="shared" ref="U39:U50" si="34">SUM(R39:T39)</f>
        <v>900000</v>
      </c>
      <c r="V39" s="34">
        <f t="shared" ref="V39:V53" si="35">I39+M39+Q39+U39</f>
        <v>3600000</v>
      </c>
    </row>
    <row r="40" spans="1:22" ht="13.15" outlineLevel="2">
      <c r="A40" s="22"/>
      <c r="B40" s="22"/>
      <c r="C40" s="22"/>
      <c r="D40" s="25" t="s">
        <v>31</v>
      </c>
      <c r="E40" s="7">
        <v>0</v>
      </c>
      <c r="F40" s="43">
        <v>300000</v>
      </c>
      <c r="G40" s="43">
        <v>300000</v>
      </c>
      <c r="H40" s="43">
        <v>300000</v>
      </c>
      <c r="I40" s="34">
        <f t="shared" si="31"/>
        <v>900000</v>
      </c>
      <c r="J40" s="43">
        <v>300000</v>
      </c>
      <c r="K40" s="43">
        <v>300000</v>
      </c>
      <c r="L40" s="43">
        <v>300000</v>
      </c>
      <c r="M40" s="34">
        <f t="shared" si="32"/>
        <v>900000</v>
      </c>
      <c r="N40" s="43">
        <v>300000</v>
      </c>
      <c r="O40" s="43">
        <v>300000</v>
      </c>
      <c r="P40" s="43">
        <v>300000</v>
      </c>
      <c r="Q40" s="34">
        <f t="shared" si="33"/>
        <v>900000</v>
      </c>
      <c r="R40" s="43">
        <v>300000</v>
      </c>
      <c r="S40" s="43">
        <v>300000</v>
      </c>
      <c r="T40" s="43">
        <v>300000</v>
      </c>
      <c r="U40" s="34">
        <f t="shared" si="34"/>
        <v>900000</v>
      </c>
      <c r="V40" s="34">
        <f t="shared" si="35"/>
        <v>3600000</v>
      </c>
    </row>
    <row r="41" spans="1:22" ht="13.15" outlineLevel="2">
      <c r="A41" s="22"/>
      <c r="B41" s="22"/>
      <c r="C41" s="22"/>
      <c r="D41" s="25" t="s">
        <v>32</v>
      </c>
      <c r="E41" s="7">
        <v>0</v>
      </c>
      <c r="F41" s="43">
        <v>100000</v>
      </c>
      <c r="G41" s="43">
        <v>100000</v>
      </c>
      <c r="H41" s="43">
        <v>100000</v>
      </c>
      <c r="I41" s="34">
        <f t="shared" si="31"/>
        <v>300000</v>
      </c>
      <c r="J41" s="43">
        <v>100000</v>
      </c>
      <c r="K41" s="43">
        <v>100000</v>
      </c>
      <c r="L41" s="43">
        <v>100000</v>
      </c>
      <c r="M41" s="34">
        <f t="shared" si="32"/>
        <v>300000</v>
      </c>
      <c r="N41" s="43">
        <v>100000</v>
      </c>
      <c r="O41" s="43">
        <v>100000</v>
      </c>
      <c r="P41" s="43">
        <v>100000</v>
      </c>
      <c r="Q41" s="34">
        <f t="shared" si="33"/>
        <v>300000</v>
      </c>
      <c r="R41" s="43">
        <v>100000</v>
      </c>
      <c r="S41" s="43">
        <v>100000</v>
      </c>
      <c r="T41" s="43">
        <v>100000</v>
      </c>
      <c r="U41" s="34">
        <f t="shared" si="34"/>
        <v>300000</v>
      </c>
      <c r="V41" s="34">
        <f t="shared" si="35"/>
        <v>1200000</v>
      </c>
    </row>
    <row r="42" spans="1:22" ht="13.15" outlineLevel="2">
      <c r="A42" s="22"/>
      <c r="B42" s="22"/>
      <c r="C42" s="22"/>
      <c r="D42" s="25" t="s">
        <v>98</v>
      </c>
      <c r="E42" s="7">
        <v>0</v>
      </c>
      <c r="F42" s="43">
        <v>54000</v>
      </c>
      <c r="G42" s="43">
        <v>54000</v>
      </c>
      <c r="H42" s="43">
        <v>54000</v>
      </c>
      <c r="I42" s="34">
        <f t="shared" si="31"/>
        <v>162000</v>
      </c>
      <c r="J42" s="43">
        <v>54000</v>
      </c>
      <c r="K42" s="43">
        <v>54000</v>
      </c>
      <c r="L42" s="43">
        <v>54000</v>
      </c>
      <c r="M42" s="34">
        <f t="shared" si="32"/>
        <v>162000</v>
      </c>
      <c r="N42" s="43">
        <v>54000</v>
      </c>
      <c r="O42" s="43">
        <v>54000</v>
      </c>
      <c r="P42" s="43">
        <v>54000</v>
      </c>
      <c r="Q42" s="34">
        <f t="shared" si="33"/>
        <v>162000</v>
      </c>
      <c r="R42" s="43">
        <v>54000</v>
      </c>
      <c r="S42" s="43">
        <v>54000</v>
      </c>
      <c r="T42" s="43">
        <v>54000</v>
      </c>
      <c r="U42" s="34">
        <f t="shared" si="34"/>
        <v>162000</v>
      </c>
      <c r="V42" s="34">
        <f t="shared" si="35"/>
        <v>648000</v>
      </c>
    </row>
    <row r="43" spans="1:22" ht="13.15" outlineLevel="2">
      <c r="A43" s="22"/>
      <c r="B43" s="22"/>
      <c r="C43" s="22"/>
      <c r="D43" s="25" t="s">
        <v>56</v>
      </c>
      <c r="E43" s="7">
        <v>0</v>
      </c>
      <c r="F43" s="43">
        <v>11000</v>
      </c>
      <c r="G43" s="43">
        <v>11000</v>
      </c>
      <c r="H43" s="43">
        <v>11000</v>
      </c>
      <c r="I43" s="34">
        <f t="shared" si="31"/>
        <v>33000</v>
      </c>
      <c r="J43" s="43">
        <v>11000</v>
      </c>
      <c r="K43" s="43">
        <v>11000</v>
      </c>
      <c r="L43" s="43">
        <v>11000</v>
      </c>
      <c r="M43" s="34">
        <f t="shared" si="32"/>
        <v>33000</v>
      </c>
      <c r="N43" s="43">
        <v>11000</v>
      </c>
      <c r="O43" s="43">
        <v>11000</v>
      </c>
      <c r="P43" s="43">
        <v>11000</v>
      </c>
      <c r="Q43" s="34">
        <f t="shared" si="33"/>
        <v>33000</v>
      </c>
      <c r="R43" s="43">
        <v>11000</v>
      </c>
      <c r="S43" s="43">
        <v>11000</v>
      </c>
      <c r="T43" s="43">
        <v>11000</v>
      </c>
      <c r="U43" s="34">
        <f t="shared" si="34"/>
        <v>33000</v>
      </c>
      <c r="V43" s="34">
        <f t="shared" si="35"/>
        <v>132000</v>
      </c>
    </row>
    <row r="44" spans="1:22" ht="13.15" outlineLevel="2">
      <c r="A44" s="22"/>
      <c r="B44" s="22"/>
      <c r="C44" s="22"/>
      <c r="D44" s="25" t="s">
        <v>57</v>
      </c>
      <c r="F44" s="43">
        <v>318000</v>
      </c>
      <c r="G44" s="43">
        <v>318000</v>
      </c>
      <c r="H44" s="43">
        <v>318000</v>
      </c>
      <c r="I44" s="34">
        <f t="shared" si="31"/>
        <v>954000</v>
      </c>
      <c r="J44" s="43">
        <v>318000</v>
      </c>
      <c r="K44" s="43">
        <v>318000</v>
      </c>
      <c r="L44" s="43">
        <v>318000</v>
      </c>
      <c r="M44" s="34">
        <f t="shared" si="32"/>
        <v>954000</v>
      </c>
      <c r="N44" s="43">
        <v>318000</v>
      </c>
      <c r="O44" s="43">
        <v>318000</v>
      </c>
      <c r="P44" s="43">
        <v>318000</v>
      </c>
      <c r="Q44" s="34">
        <f t="shared" si="33"/>
        <v>954000</v>
      </c>
      <c r="R44" s="43">
        <v>318000</v>
      </c>
      <c r="S44" s="43">
        <v>318000</v>
      </c>
      <c r="T44" s="43">
        <v>318000</v>
      </c>
      <c r="U44" s="34">
        <f t="shared" si="34"/>
        <v>954000</v>
      </c>
      <c r="V44" s="34">
        <f t="shared" si="35"/>
        <v>3816000</v>
      </c>
    </row>
    <row r="45" spans="1:22" ht="13.15" outlineLevel="2">
      <c r="A45" s="22"/>
      <c r="B45" s="22"/>
      <c r="C45" s="22"/>
      <c r="D45" s="25" t="s">
        <v>54</v>
      </c>
      <c r="E45" s="7">
        <v>0</v>
      </c>
      <c r="F45" s="43"/>
      <c r="G45" s="43"/>
      <c r="H45" s="43"/>
      <c r="I45" s="34">
        <f t="shared" si="31"/>
        <v>0</v>
      </c>
      <c r="J45" s="43"/>
      <c r="K45" s="43"/>
      <c r="L45" s="43"/>
      <c r="M45" s="34">
        <f t="shared" si="32"/>
        <v>0</v>
      </c>
      <c r="N45" s="43"/>
      <c r="O45" s="43"/>
      <c r="P45" s="43"/>
      <c r="Q45" s="34">
        <f t="shared" si="33"/>
        <v>0</v>
      </c>
      <c r="R45" s="43"/>
      <c r="S45" s="43"/>
      <c r="T45" s="43"/>
      <c r="U45" s="34">
        <f t="shared" si="34"/>
        <v>0</v>
      </c>
      <c r="V45" s="34">
        <f t="shared" si="35"/>
        <v>0</v>
      </c>
    </row>
    <row r="46" spans="1:22" ht="13.15" outlineLevel="2">
      <c r="A46" s="22"/>
      <c r="B46" s="22"/>
      <c r="C46" s="22"/>
      <c r="D46" s="25" t="s">
        <v>34</v>
      </c>
      <c r="E46" s="7">
        <v>0</v>
      </c>
      <c r="F46" s="43"/>
      <c r="G46" s="43"/>
      <c r="H46" s="43"/>
      <c r="I46" s="34">
        <f t="shared" si="31"/>
        <v>0</v>
      </c>
      <c r="J46" s="43"/>
      <c r="K46" s="43"/>
      <c r="L46" s="43"/>
      <c r="M46" s="34">
        <f t="shared" si="32"/>
        <v>0</v>
      </c>
      <c r="N46" s="43"/>
      <c r="O46" s="43"/>
      <c r="P46" s="43"/>
      <c r="Q46" s="34">
        <f t="shared" si="33"/>
        <v>0</v>
      </c>
      <c r="R46" s="43"/>
      <c r="S46" s="43"/>
      <c r="T46" s="43"/>
      <c r="U46" s="34">
        <f t="shared" si="34"/>
        <v>0</v>
      </c>
      <c r="V46" s="34">
        <f t="shared" si="35"/>
        <v>0</v>
      </c>
    </row>
    <row r="47" spans="1:22" ht="13.15" outlineLevel="2">
      <c r="A47" s="22"/>
      <c r="B47" s="22"/>
      <c r="C47" s="22"/>
      <c r="D47" s="25" t="s">
        <v>65</v>
      </c>
      <c r="E47" s="7">
        <v>0</v>
      </c>
      <c r="F47" s="43"/>
      <c r="G47" s="43"/>
      <c r="H47" s="43"/>
      <c r="I47" s="34">
        <f t="shared" si="31"/>
        <v>0</v>
      </c>
      <c r="J47" s="43"/>
      <c r="K47" s="43"/>
      <c r="L47" s="43"/>
      <c r="M47" s="34">
        <f t="shared" si="32"/>
        <v>0</v>
      </c>
      <c r="N47" s="43"/>
      <c r="O47" s="43"/>
      <c r="P47" s="43"/>
      <c r="Q47" s="34">
        <f t="shared" si="33"/>
        <v>0</v>
      </c>
      <c r="R47" s="43"/>
      <c r="S47" s="43"/>
      <c r="T47" s="43"/>
      <c r="U47" s="34">
        <f t="shared" si="34"/>
        <v>0</v>
      </c>
      <c r="V47" s="34">
        <f t="shared" si="35"/>
        <v>0</v>
      </c>
    </row>
    <row r="48" spans="1:22" ht="13.15" outlineLevel="2">
      <c r="A48" s="22"/>
      <c r="B48" s="22"/>
      <c r="C48" s="22"/>
      <c r="D48" s="25" t="s">
        <v>64</v>
      </c>
      <c r="E48" s="7">
        <v>0</v>
      </c>
      <c r="F48" s="43"/>
      <c r="G48" s="43"/>
      <c r="H48" s="43"/>
      <c r="I48" s="34">
        <f t="shared" si="31"/>
        <v>0</v>
      </c>
      <c r="J48" s="43"/>
      <c r="K48" s="43"/>
      <c r="L48" s="43"/>
      <c r="M48" s="34">
        <f t="shared" si="32"/>
        <v>0</v>
      </c>
      <c r="N48" s="43"/>
      <c r="O48" s="43"/>
      <c r="P48" s="43"/>
      <c r="Q48" s="34">
        <f t="shared" si="33"/>
        <v>0</v>
      </c>
      <c r="R48" s="43"/>
      <c r="S48" s="43"/>
      <c r="T48" s="43"/>
      <c r="U48" s="34">
        <f t="shared" si="34"/>
        <v>0</v>
      </c>
      <c r="V48" s="34">
        <f t="shared" si="35"/>
        <v>0</v>
      </c>
    </row>
    <row r="49" spans="1:22" ht="13.15" outlineLevel="2">
      <c r="A49" s="22"/>
      <c r="B49" s="22"/>
      <c r="C49" s="22"/>
      <c r="D49" s="25" t="s">
        <v>112</v>
      </c>
      <c r="F49" s="43">
        <v>65000</v>
      </c>
      <c r="G49" s="43">
        <v>65000</v>
      </c>
      <c r="H49" s="43">
        <v>65000</v>
      </c>
      <c r="I49" s="34">
        <f t="shared" si="31"/>
        <v>195000</v>
      </c>
      <c r="J49" s="43">
        <v>65000</v>
      </c>
      <c r="K49" s="43">
        <v>65000</v>
      </c>
      <c r="L49" s="43">
        <v>65000</v>
      </c>
      <c r="M49" s="34">
        <f t="shared" si="32"/>
        <v>195000</v>
      </c>
      <c r="N49" s="43">
        <v>65000</v>
      </c>
      <c r="O49" s="43">
        <v>65000</v>
      </c>
      <c r="P49" s="43">
        <v>65000</v>
      </c>
      <c r="Q49" s="34">
        <f t="shared" si="33"/>
        <v>195000</v>
      </c>
      <c r="R49" s="43">
        <v>65000</v>
      </c>
      <c r="S49" s="43">
        <v>65000</v>
      </c>
      <c r="T49" s="43">
        <v>65000</v>
      </c>
      <c r="U49" s="34">
        <f t="shared" si="34"/>
        <v>195000</v>
      </c>
      <c r="V49" s="34">
        <f t="shared" si="35"/>
        <v>780000</v>
      </c>
    </row>
    <row r="50" spans="1:22" ht="13.15" outlineLevel="2">
      <c r="A50" s="22"/>
      <c r="B50" s="22"/>
      <c r="C50" s="22"/>
      <c r="D50" s="25" t="s">
        <v>119</v>
      </c>
      <c r="F50" s="43">
        <v>60000</v>
      </c>
      <c r="G50" s="43">
        <v>60000</v>
      </c>
      <c r="H50" s="43">
        <v>60000</v>
      </c>
      <c r="I50" s="34">
        <f t="shared" si="31"/>
        <v>180000</v>
      </c>
      <c r="J50" s="43">
        <v>60000</v>
      </c>
      <c r="K50" s="43">
        <v>60000</v>
      </c>
      <c r="L50" s="43">
        <v>60000</v>
      </c>
      <c r="M50" s="34">
        <f t="shared" si="32"/>
        <v>180000</v>
      </c>
      <c r="N50" s="43">
        <v>60000</v>
      </c>
      <c r="O50" s="43">
        <v>60000</v>
      </c>
      <c r="P50" s="43">
        <v>60000</v>
      </c>
      <c r="Q50" s="34">
        <f t="shared" si="33"/>
        <v>180000</v>
      </c>
      <c r="R50" s="43">
        <v>60000</v>
      </c>
      <c r="S50" s="43">
        <v>60000</v>
      </c>
      <c r="T50" s="43">
        <v>60000</v>
      </c>
      <c r="U50" s="34">
        <f t="shared" si="34"/>
        <v>180000</v>
      </c>
      <c r="V50" s="34">
        <f t="shared" si="35"/>
        <v>720000</v>
      </c>
    </row>
    <row r="51" spans="1:22" ht="13.15" outlineLevel="1">
      <c r="A51" s="24"/>
      <c r="B51" s="24" t="s">
        <v>1</v>
      </c>
      <c r="C51" s="24"/>
      <c r="D51" s="24"/>
      <c r="E51" s="8"/>
      <c r="F51" s="44">
        <f t="shared" ref="F51:G51" si="36">SUM(F39:F50)</f>
        <v>1208000</v>
      </c>
      <c r="G51" s="44">
        <f t="shared" si="36"/>
        <v>1208000</v>
      </c>
      <c r="H51" s="44">
        <f t="shared" ref="H51" si="37">SUM(H39:H50)</f>
        <v>1208000</v>
      </c>
      <c r="I51" s="35">
        <f>SUM(I39:I50)</f>
        <v>3624000</v>
      </c>
      <c r="J51" s="44">
        <f t="shared" ref="J51:L51" si="38">SUM(J39:J50)</f>
        <v>1208000</v>
      </c>
      <c r="K51" s="44">
        <f t="shared" si="38"/>
        <v>1208000</v>
      </c>
      <c r="L51" s="44">
        <f t="shared" si="38"/>
        <v>1208000</v>
      </c>
      <c r="M51" s="35">
        <f>SUM(M39:M50)</f>
        <v>3624000</v>
      </c>
      <c r="N51" s="44">
        <f t="shared" ref="N51:P51" si="39">SUM(N39:N50)</f>
        <v>1208000</v>
      </c>
      <c r="O51" s="44">
        <f t="shared" si="39"/>
        <v>1208000</v>
      </c>
      <c r="P51" s="44">
        <f t="shared" si="39"/>
        <v>1208000</v>
      </c>
      <c r="Q51" s="35">
        <f>SUM(Q39:Q50)</f>
        <v>3624000</v>
      </c>
      <c r="R51" s="44">
        <f t="shared" ref="R51:T51" si="40">SUM(R39:R50)</f>
        <v>1208000</v>
      </c>
      <c r="S51" s="44">
        <f t="shared" si="40"/>
        <v>1208000</v>
      </c>
      <c r="T51" s="44">
        <f t="shared" si="40"/>
        <v>1208000</v>
      </c>
      <c r="U51" s="35">
        <f t="shared" ref="U51" si="41">SUM(U39:U50)</f>
        <v>3624000</v>
      </c>
      <c r="V51" s="35">
        <f t="shared" si="35"/>
        <v>14496000</v>
      </c>
    </row>
    <row r="52" spans="1:22" ht="13.15" outlineLevel="1">
      <c r="A52" s="24"/>
      <c r="B52" s="24" t="s">
        <v>2</v>
      </c>
      <c r="C52" s="24"/>
      <c r="D52" s="24"/>
      <c r="E52" s="8"/>
      <c r="F52" s="44">
        <f>F37+F51</f>
        <v>12208000</v>
      </c>
      <c r="G52" s="44">
        <f>G37+G51</f>
        <v>12208000</v>
      </c>
      <c r="H52" s="44">
        <f>H37+H51</f>
        <v>12208000</v>
      </c>
      <c r="I52" s="35">
        <f>I51+I37</f>
        <v>36624000</v>
      </c>
      <c r="J52" s="44">
        <f t="shared" ref="J52:L52" si="42">J37+J51</f>
        <v>12208000</v>
      </c>
      <c r="K52" s="44">
        <f t="shared" si="42"/>
        <v>12208000</v>
      </c>
      <c r="L52" s="44">
        <f t="shared" si="42"/>
        <v>12208000</v>
      </c>
      <c r="M52" s="35">
        <f>M51+M37</f>
        <v>36624000</v>
      </c>
      <c r="N52" s="44">
        <f t="shared" ref="N52:T52" si="43">N37+N51</f>
        <v>12208000</v>
      </c>
      <c r="O52" s="44">
        <f t="shared" si="43"/>
        <v>12208000</v>
      </c>
      <c r="P52" s="44">
        <f t="shared" si="43"/>
        <v>12208000</v>
      </c>
      <c r="Q52" s="35">
        <f>Q51+Q37</f>
        <v>36624000</v>
      </c>
      <c r="R52" s="44">
        <f t="shared" si="43"/>
        <v>12208000</v>
      </c>
      <c r="S52" s="44">
        <f t="shared" si="43"/>
        <v>12208000</v>
      </c>
      <c r="T52" s="44">
        <f t="shared" si="43"/>
        <v>12208000</v>
      </c>
      <c r="U52" s="35">
        <f>U51+U37</f>
        <v>36624000</v>
      </c>
      <c r="V52" s="35">
        <f t="shared" si="35"/>
        <v>146496000</v>
      </c>
    </row>
    <row r="53" spans="1:22" s="4" customFormat="1" ht="13.15" outlineLevel="1">
      <c r="A53" s="24"/>
      <c r="B53" s="24" t="s">
        <v>3</v>
      </c>
      <c r="C53" s="24"/>
      <c r="D53" s="24"/>
      <c r="E53" s="8">
        <v>0</v>
      </c>
      <c r="F53" s="44">
        <v>0</v>
      </c>
      <c r="G53" s="44">
        <v>0</v>
      </c>
      <c r="H53" s="44">
        <v>0</v>
      </c>
      <c r="I53" s="35">
        <v>0</v>
      </c>
      <c r="J53" s="44">
        <v>0</v>
      </c>
      <c r="K53" s="44">
        <v>0</v>
      </c>
      <c r="L53" s="44">
        <v>0</v>
      </c>
      <c r="M53" s="35">
        <v>0</v>
      </c>
      <c r="N53" s="44">
        <v>0</v>
      </c>
      <c r="O53" s="44">
        <v>0</v>
      </c>
      <c r="P53" s="44">
        <v>0</v>
      </c>
      <c r="Q53" s="35">
        <v>0</v>
      </c>
      <c r="R53" s="44">
        <v>0</v>
      </c>
      <c r="S53" s="44">
        <v>0</v>
      </c>
      <c r="T53" s="44">
        <v>0</v>
      </c>
      <c r="U53" s="35">
        <v>0</v>
      </c>
      <c r="V53" s="35">
        <f t="shared" si="35"/>
        <v>0</v>
      </c>
    </row>
    <row r="54" spans="1:22" ht="13.15" outlineLevel="2">
      <c r="A54" s="22"/>
      <c r="B54" s="23" t="s">
        <v>39</v>
      </c>
      <c r="C54" s="22"/>
      <c r="D54" s="22"/>
      <c r="F54" s="43"/>
      <c r="G54" s="43"/>
      <c r="H54" s="43"/>
      <c r="I54" s="34"/>
      <c r="J54" s="43"/>
      <c r="K54" s="43"/>
      <c r="L54" s="43"/>
      <c r="M54" s="34"/>
      <c r="N54" s="43"/>
      <c r="O54" s="43"/>
      <c r="P54" s="43"/>
      <c r="Q54" s="34"/>
      <c r="R54" s="43"/>
      <c r="S54" s="43"/>
      <c r="T54" s="43"/>
      <c r="U54" s="34"/>
      <c r="V54" s="34"/>
    </row>
    <row r="55" spans="1:22" ht="13.15" outlineLevel="2">
      <c r="A55" s="22"/>
      <c r="B55" s="22"/>
      <c r="C55" s="25" t="s">
        <v>58</v>
      </c>
      <c r="D55" s="22"/>
      <c r="E55" s="7">
        <v>0</v>
      </c>
      <c r="F55" s="43"/>
      <c r="G55" s="43"/>
      <c r="H55" s="43"/>
      <c r="I55" s="34">
        <f t="shared" ref="I55:I65" si="44">SUM(F55:H55)</f>
        <v>0</v>
      </c>
      <c r="J55" s="43"/>
      <c r="K55" s="43"/>
      <c r="L55" s="43"/>
      <c r="M55" s="34">
        <f t="shared" ref="M55:M65" si="45">SUM(J55:L55)</f>
        <v>0</v>
      </c>
      <c r="N55" s="43"/>
      <c r="O55" s="43"/>
      <c r="P55" s="43"/>
      <c r="Q55" s="34">
        <f t="shared" ref="Q55:Q65" si="46">SUM(N55:P55)</f>
        <v>0</v>
      </c>
      <c r="R55" s="43"/>
      <c r="S55" s="43"/>
      <c r="T55" s="43"/>
      <c r="U55" s="34">
        <f t="shared" ref="U55:U65" si="47">SUM(R55:T55)</f>
        <v>0</v>
      </c>
      <c r="V55" s="34">
        <f t="shared" ref="V55:V66" si="48">I55+M55+Q55+U55</f>
        <v>0</v>
      </c>
    </row>
    <row r="56" spans="1:22" ht="13.15" outlineLevel="2">
      <c r="A56" s="22"/>
      <c r="B56" s="22"/>
      <c r="C56" s="25" t="s">
        <v>59</v>
      </c>
      <c r="D56" s="22"/>
      <c r="F56" s="43">
        <v>27000</v>
      </c>
      <c r="G56" s="43">
        <v>27000</v>
      </c>
      <c r="H56" s="43">
        <v>27000</v>
      </c>
      <c r="I56" s="34">
        <f t="shared" si="44"/>
        <v>81000</v>
      </c>
      <c r="J56" s="43">
        <v>27000</v>
      </c>
      <c r="K56" s="43">
        <v>27000</v>
      </c>
      <c r="L56" s="43">
        <v>27000</v>
      </c>
      <c r="M56" s="34">
        <f t="shared" si="45"/>
        <v>81000</v>
      </c>
      <c r="N56" s="43">
        <v>27000</v>
      </c>
      <c r="O56" s="43">
        <v>27000</v>
      </c>
      <c r="P56" s="43">
        <v>27000</v>
      </c>
      <c r="Q56" s="34">
        <f t="shared" si="46"/>
        <v>81000</v>
      </c>
      <c r="R56" s="43">
        <v>27000</v>
      </c>
      <c r="S56" s="43">
        <v>27000</v>
      </c>
      <c r="T56" s="43">
        <v>27000</v>
      </c>
      <c r="U56" s="34">
        <f t="shared" si="47"/>
        <v>81000</v>
      </c>
      <c r="V56" s="34">
        <f t="shared" si="48"/>
        <v>324000</v>
      </c>
    </row>
    <row r="57" spans="1:22" ht="13.15" outlineLevel="2">
      <c r="A57" s="22"/>
      <c r="B57" s="22"/>
      <c r="C57" s="25" t="s">
        <v>60</v>
      </c>
      <c r="D57" s="22"/>
      <c r="F57" s="43">
        <v>1000</v>
      </c>
      <c r="G57" s="43">
        <v>1000</v>
      </c>
      <c r="H57" s="43">
        <v>1000</v>
      </c>
      <c r="I57" s="34">
        <f t="shared" si="44"/>
        <v>3000</v>
      </c>
      <c r="J57" s="43">
        <v>1000</v>
      </c>
      <c r="K57" s="43">
        <v>1000</v>
      </c>
      <c r="L57" s="43">
        <v>1000</v>
      </c>
      <c r="M57" s="34">
        <f t="shared" si="45"/>
        <v>3000</v>
      </c>
      <c r="N57" s="43">
        <v>1000</v>
      </c>
      <c r="O57" s="43">
        <v>1000</v>
      </c>
      <c r="P57" s="43">
        <v>1000</v>
      </c>
      <c r="Q57" s="34">
        <f t="shared" si="46"/>
        <v>3000</v>
      </c>
      <c r="R57" s="43">
        <v>1000</v>
      </c>
      <c r="S57" s="43">
        <v>1000</v>
      </c>
      <c r="T57" s="43">
        <v>1000</v>
      </c>
      <c r="U57" s="34">
        <f t="shared" si="47"/>
        <v>3000</v>
      </c>
      <c r="V57" s="34">
        <f t="shared" si="48"/>
        <v>12000</v>
      </c>
    </row>
    <row r="58" spans="1:22" ht="13.15" outlineLevel="2">
      <c r="A58" s="22"/>
      <c r="B58" s="22"/>
      <c r="C58" s="25" t="s">
        <v>61</v>
      </c>
      <c r="D58" s="22"/>
      <c r="F58" s="43">
        <v>159000</v>
      </c>
      <c r="G58" s="43">
        <v>159000</v>
      </c>
      <c r="H58" s="43">
        <v>159000</v>
      </c>
      <c r="I58" s="34">
        <f t="shared" si="44"/>
        <v>477000</v>
      </c>
      <c r="J58" s="43">
        <v>159000</v>
      </c>
      <c r="K58" s="43">
        <v>159000</v>
      </c>
      <c r="L58" s="43">
        <v>159000</v>
      </c>
      <c r="M58" s="34">
        <f t="shared" si="45"/>
        <v>477000</v>
      </c>
      <c r="N58" s="43">
        <v>159000</v>
      </c>
      <c r="O58" s="43">
        <v>159000</v>
      </c>
      <c r="P58" s="43">
        <v>159000</v>
      </c>
      <c r="Q58" s="34">
        <f t="shared" si="46"/>
        <v>477000</v>
      </c>
      <c r="R58" s="43">
        <v>159000</v>
      </c>
      <c r="S58" s="43">
        <v>159000</v>
      </c>
      <c r="T58" s="43">
        <v>159000</v>
      </c>
      <c r="U58" s="34">
        <f t="shared" si="47"/>
        <v>477000</v>
      </c>
      <c r="V58" s="34">
        <f t="shared" si="48"/>
        <v>1908000</v>
      </c>
    </row>
    <row r="59" spans="1:22" ht="13.15" outlineLevel="2">
      <c r="A59" s="22"/>
      <c r="B59" s="22"/>
      <c r="C59" s="25" t="s">
        <v>62</v>
      </c>
      <c r="D59" s="22"/>
      <c r="F59" s="43">
        <v>49000</v>
      </c>
      <c r="G59" s="43">
        <v>49000</v>
      </c>
      <c r="H59" s="43">
        <v>49000</v>
      </c>
      <c r="I59" s="34">
        <f t="shared" si="44"/>
        <v>147000</v>
      </c>
      <c r="J59" s="43">
        <v>49000</v>
      </c>
      <c r="K59" s="43">
        <v>49000</v>
      </c>
      <c r="L59" s="43">
        <v>49000</v>
      </c>
      <c r="M59" s="34">
        <f t="shared" si="45"/>
        <v>147000</v>
      </c>
      <c r="N59" s="43">
        <v>49000</v>
      </c>
      <c r="O59" s="43">
        <v>49000</v>
      </c>
      <c r="P59" s="43">
        <v>49000</v>
      </c>
      <c r="Q59" s="34">
        <f t="shared" si="46"/>
        <v>147000</v>
      </c>
      <c r="R59" s="43">
        <v>49000</v>
      </c>
      <c r="S59" s="43">
        <v>49000</v>
      </c>
      <c r="T59" s="43">
        <v>49000</v>
      </c>
      <c r="U59" s="34">
        <f t="shared" si="47"/>
        <v>147000</v>
      </c>
      <c r="V59" s="34">
        <f t="shared" si="48"/>
        <v>588000</v>
      </c>
    </row>
    <row r="60" spans="1:22" ht="13.15" outlineLevel="2">
      <c r="A60" s="22"/>
      <c r="B60" s="22"/>
      <c r="C60" s="25" t="s">
        <v>118</v>
      </c>
      <c r="D60" s="22"/>
      <c r="F60" s="43">
        <v>30000</v>
      </c>
      <c r="G60" s="43">
        <v>30000</v>
      </c>
      <c r="H60" s="43">
        <v>30000</v>
      </c>
      <c r="I60" s="34">
        <f t="shared" si="44"/>
        <v>90000</v>
      </c>
      <c r="J60" s="43">
        <v>30000</v>
      </c>
      <c r="K60" s="43">
        <v>30000</v>
      </c>
      <c r="L60" s="43">
        <v>30000</v>
      </c>
      <c r="M60" s="34">
        <f t="shared" si="45"/>
        <v>90000</v>
      </c>
      <c r="N60" s="43">
        <v>30000</v>
      </c>
      <c r="O60" s="43">
        <v>30000</v>
      </c>
      <c r="P60" s="43">
        <v>30000</v>
      </c>
      <c r="Q60" s="34">
        <f t="shared" si="46"/>
        <v>90000</v>
      </c>
      <c r="R60" s="43">
        <v>30000</v>
      </c>
      <c r="S60" s="43">
        <v>30000</v>
      </c>
      <c r="T60" s="43">
        <v>30000</v>
      </c>
      <c r="U60" s="34">
        <f t="shared" si="47"/>
        <v>90000</v>
      </c>
      <c r="V60" s="34">
        <f t="shared" si="48"/>
        <v>360000</v>
      </c>
    </row>
    <row r="61" spans="1:22" ht="13.15" outlineLevel="2">
      <c r="A61" s="22"/>
      <c r="B61" s="22"/>
      <c r="C61" s="25" t="s">
        <v>157</v>
      </c>
      <c r="D61" s="22"/>
      <c r="F61" s="43"/>
      <c r="G61" s="43"/>
      <c r="H61" s="43"/>
      <c r="I61" s="34">
        <f t="shared" si="44"/>
        <v>0</v>
      </c>
      <c r="J61" s="43"/>
      <c r="K61" s="43"/>
      <c r="L61" s="43"/>
      <c r="M61" s="34">
        <f t="shared" si="45"/>
        <v>0</v>
      </c>
      <c r="N61" s="43"/>
      <c r="O61" s="43"/>
      <c r="P61" s="43"/>
      <c r="Q61" s="34">
        <f t="shared" si="46"/>
        <v>0</v>
      </c>
      <c r="R61" s="43"/>
      <c r="S61" s="43"/>
      <c r="T61" s="43"/>
      <c r="U61" s="34">
        <f t="shared" si="47"/>
        <v>0</v>
      </c>
      <c r="V61" s="34">
        <f t="shared" si="48"/>
        <v>0</v>
      </c>
    </row>
    <row r="62" spans="1:22" ht="13.15" outlineLevel="2">
      <c r="A62" s="22"/>
      <c r="B62" s="22"/>
      <c r="C62" s="25" t="s">
        <v>28</v>
      </c>
      <c r="D62" s="22"/>
      <c r="E62" s="7">
        <v>0</v>
      </c>
      <c r="F62" s="43"/>
      <c r="G62" s="43"/>
      <c r="H62" s="43"/>
      <c r="I62" s="34">
        <f t="shared" si="44"/>
        <v>0</v>
      </c>
      <c r="J62" s="43"/>
      <c r="K62" s="43"/>
      <c r="L62" s="43"/>
      <c r="M62" s="34">
        <f t="shared" si="45"/>
        <v>0</v>
      </c>
      <c r="N62" s="43"/>
      <c r="O62" s="43"/>
      <c r="P62" s="43"/>
      <c r="Q62" s="34">
        <f t="shared" si="46"/>
        <v>0</v>
      </c>
      <c r="R62" s="43"/>
      <c r="S62" s="43"/>
      <c r="T62" s="43"/>
      <c r="U62" s="34">
        <f t="shared" si="47"/>
        <v>0</v>
      </c>
      <c r="V62" s="34">
        <f t="shared" si="48"/>
        <v>0</v>
      </c>
    </row>
    <row r="63" spans="1:22" ht="13.15" outlineLevel="2">
      <c r="A63" s="22"/>
      <c r="B63" s="22"/>
      <c r="C63" s="25" t="s">
        <v>35</v>
      </c>
      <c r="D63" s="22"/>
      <c r="E63" s="7">
        <v>0</v>
      </c>
      <c r="F63" s="43"/>
      <c r="G63" s="43"/>
      <c r="H63" s="43"/>
      <c r="I63" s="34">
        <f t="shared" si="44"/>
        <v>0</v>
      </c>
      <c r="J63" s="43"/>
      <c r="K63" s="43"/>
      <c r="L63" s="43"/>
      <c r="M63" s="34">
        <f t="shared" si="45"/>
        <v>0</v>
      </c>
      <c r="N63" s="43"/>
      <c r="O63" s="43"/>
      <c r="P63" s="43"/>
      <c r="Q63" s="34">
        <f t="shared" si="46"/>
        <v>0</v>
      </c>
      <c r="R63" s="43"/>
      <c r="S63" s="43"/>
      <c r="T63" s="43"/>
      <c r="U63" s="34">
        <f t="shared" si="47"/>
        <v>0</v>
      </c>
      <c r="V63" s="34">
        <f t="shared" si="48"/>
        <v>0</v>
      </c>
    </row>
    <row r="64" spans="1:22" ht="13.15" outlineLevel="2">
      <c r="A64" s="22"/>
      <c r="B64" s="22"/>
      <c r="C64" s="25" t="s">
        <v>52</v>
      </c>
      <c r="D64" s="22"/>
      <c r="E64" s="7">
        <v>0</v>
      </c>
      <c r="F64" s="43">
        <v>135000</v>
      </c>
      <c r="G64" s="43">
        <v>100000</v>
      </c>
      <c r="H64" s="43">
        <v>100000</v>
      </c>
      <c r="I64" s="34">
        <f t="shared" si="44"/>
        <v>335000</v>
      </c>
      <c r="J64" s="43">
        <v>100000</v>
      </c>
      <c r="K64" s="43">
        <v>100000</v>
      </c>
      <c r="L64" s="43">
        <v>100000</v>
      </c>
      <c r="M64" s="34">
        <f t="shared" si="45"/>
        <v>300000</v>
      </c>
      <c r="N64" s="43">
        <v>100000</v>
      </c>
      <c r="O64" s="43">
        <v>100000</v>
      </c>
      <c r="P64" s="43">
        <v>100000</v>
      </c>
      <c r="Q64" s="34">
        <f t="shared" si="46"/>
        <v>300000</v>
      </c>
      <c r="R64" s="43">
        <v>100000</v>
      </c>
      <c r="S64" s="43">
        <v>100000</v>
      </c>
      <c r="T64" s="43">
        <v>100000</v>
      </c>
      <c r="U64" s="34">
        <f t="shared" si="47"/>
        <v>300000</v>
      </c>
      <c r="V64" s="34">
        <f t="shared" si="48"/>
        <v>1235000</v>
      </c>
    </row>
    <row r="65" spans="1:22" ht="13.15" outlineLevel="2">
      <c r="A65" s="22"/>
      <c r="B65" s="22"/>
      <c r="C65" s="25" t="s">
        <v>36</v>
      </c>
      <c r="D65" s="22"/>
      <c r="E65" s="7">
        <v>0</v>
      </c>
      <c r="F65" s="43">
        <v>300000</v>
      </c>
      <c r="G65" s="43">
        <v>200000</v>
      </c>
      <c r="H65" s="43">
        <v>200000</v>
      </c>
      <c r="I65" s="34">
        <f t="shared" si="44"/>
        <v>700000</v>
      </c>
      <c r="J65" s="43">
        <v>200000</v>
      </c>
      <c r="K65" s="43">
        <v>200000</v>
      </c>
      <c r="L65" s="43">
        <v>200000</v>
      </c>
      <c r="M65" s="34">
        <f t="shared" si="45"/>
        <v>600000</v>
      </c>
      <c r="N65" s="43">
        <v>200000</v>
      </c>
      <c r="O65" s="43">
        <v>200000</v>
      </c>
      <c r="P65" s="43">
        <v>200000</v>
      </c>
      <c r="Q65" s="34">
        <f t="shared" si="46"/>
        <v>600000</v>
      </c>
      <c r="R65" s="43">
        <v>200000</v>
      </c>
      <c r="S65" s="43">
        <v>200000</v>
      </c>
      <c r="T65" s="43">
        <v>200000</v>
      </c>
      <c r="U65" s="34">
        <f t="shared" si="47"/>
        <v>600000</v>
      </c>
      <c r="V65" s="34">
        <f t="shared" si="48"/>
        <v>2500000</v>
      </c>
    </row>
    <row r="66" spans="1:22" ht="13.15" outlineLevel="1">
      <c r="A66" s="24"/>
      <c r="B66" s="24" t="s">
        <v>4</v>
      </c>
      <c r="C66" s="24"/>
      <c r="D66" s="24"/>
      <c r="E66" s="8"/>
      <c r="F66" s="44">
        <f t="shared" ref="F66:G66" si="49">SUM(F55:F65)</f>
        <v>701000</v>
      </c>
      <c r="G66" s="44">
        <f t="shared" si="49"/>
        <v>566000</v>
      </c>
      <c r="H66" s="44">
        <f t="shared" ref="H66" si="50">SUM(H55:H65)</f>
        <v>566000</v>
      </c>
      <c r="I66" s="35">
        <f>SUM(I55:I65)</f>
        <v>1833000</v>
      </c>
      <c r="J66" s="44">
        <f t="shared" ref="J66:L66" si="51">SUM(J55:J65)</f>
        <v>566000</v>
      </c>
      <c r="K66" s="44">
        <f t="shared" si="51"/>
        <v>566000</v>
      </c>
      <c r="L66" s="44">
        <f t="shared" si="51"/>
        <v>566000</v>
      </c>
      <c r="M66" s="35">
        <f>SUM(M55:M65)</f>
        <v>1698000</v>
      </c>
      <c r="N66" s="44">
        <f t="shared" ref="N66:P66" si="52">SUM(N55:N65)</f>
        <v>566000</v>
      </c>
      <c r="O66" s="44">
        <f t="shared" si="52"/>
        <v>566000</v>
      </c>
      <c r="P66" s="44">
        <f t="shared" si="52"/>
        <v>566000</v>
      </c>
      <c r="Q66" s="35">
        <f>SUM(Q55:Q65)</f>
        <v>1698000</v>
      </c>
      <c r="R66" s="44">
        <f t="shared" ref="R66:T66" si="53">SUM(R55:R65)</f>
        <v>566000</v>
      </c>
      <c r="S66" s="44">
        <f t="shared" si="53"/>
        <v>566000</v>
      </c>
      <c r="T66" s="44">
        <f t="shared" si="53"/>
        <v>566000</v>
      </c>
      <c r="U66" s="35">
        <f t="shared" ref="U66" si="54">SUM(U55:U65)</f>
        <v>1698000</v>
      </c>
      <c r="V66" s="35">
        <f t="shared" si="48"/>
        <v>6927000</v>
      </c>
    </row>
    <row r="67" spans="1:22" ht="13.15" outlineLevel="2">
      <c r="A67" s="24"/>
      <c r="B67" s="26" t="s">
        <v>5</v>
      </c>
      <c r="C67" s="27"/>
      <c r="D67" s="27"/>
      <c r="E67" s="9"/>
      <c r="F67" s="129"/>
      <c r="G67" s="129"/>
      <c r="H67" s="129"/>
      <c r="I67" s="36"/>
      <c r="J67" s="129"/>
      <c r="K67" s="129"/>
      <c r="L67" s="129"/>
      <c r="M67" s="36"/>
      <c r="N67" s="129"/>
      <c r="O67" s="129"/>
      <c r="P67" s="129"/>
      <c r="Q67" s="36"/>
      <c r="R67" s="129"/>
      <c r="S67" s="129"/>
      <c r="T67" s="129"/>
      <c r="U67" s="36"/>
      <c r="V67" s="35" t="s">
        <v>86</v>
      </c>
    </row>
    <row r="68" spans="1:22" ht="13.15" outlineLevel="2">
      <c r="A68" s="24"/>
      <c r="B68" s="27"/>
      <c r="C68" s="28" t="s">
        <v>47</v>
      </c>
      <c r="D68" s="27"/>
      <c r="E68" s="9">
        <v>0</v>
      </c>
      <c r="F68" s="43"/>
      <c r="G68" s="43"/>
      <c r="H68" s="43"/>
      <c r="I68" s="34">
        <f>SUM(F68:H68)</f>
        <v>0</v>
      </c>
      <c r="J68" s="43"/>
      <c r="K68" s="43"/>
      <c r="L68" s="43"/>
      <c r="M68" s="34">
        <f>SUM(J68:L68)</f>
        <v>0</v>
      </c>
      <c r="N68" s="43"/>
      <c r="O68" s="43"/>
      <c r="P68" s="43"/>
      <c r="Q68" s="34">
        <f>SUM(N68:P68)</f>
        <v>0</v>
      </c>
      <c r="R68" s="43"/>
      <c r="S68" s="43"/>
      <c r="T68" s="43"/>
      <c r="U68" s="34">
        <f>SUM(R68:T68)</f>
        <v>0</v>
      </c>
      <c r="V68" s="34">
        <f>I68+M68+Q68+U68</f>
        <v>0</v>
      </c>
    </row>
    <row r="69" spans="1:22" ht="13.15" outlineLevel="2">
      <c r="A69" s="24"/>
      <c r="B69" s="27"/>
      <c r="C69" s="28" t="s">
        <v>48</v>
      </c>
      <c r="D69" s="27"/>
      <c r="E69" s="9">
        <v>0</v>
      </c>
      <c r="F69" s="43"/>
      <c r="G69" s="43"/>
      <c r="H69" s="43"/>
      <c r="I69" s="34">
        <f>SUM(F69:H69)</f>
        <v>0</v>
      </c>
      <c r="J69" s="43"/>
      <c r="K69" s="43"/>
      <c r="L69" s="43"/>
      <c r="M69" s="34">
        <f>SUM(J69:L69)</f>
        <v>0</v>
      </c>
      <c r="N69" s="43"/>
      <c r="O69" s="43"/>
      <c r="P69" s="43"/>
      <c r="Q69" s="34">
        <f>SUM(N69:P69)</f>
        <v>0</v>
      </c>
      <c r="R69" s="43"/>
      <c r="S69" s="43"/>
      <c r="T69" s="43"/>
      <c r="U69" s="34">
        <f>SUM(R69:T69)</f>
        <v>0</v>
      </c>
      <c r="V69" s="34">
        <f>I69+M69+Q69+U69</f>
        <v>0</v>
      </c>
    </row>
    <row r="70" spans="1:22" ht="13.15" outlineLevel="2">
      <c r="A70" s="24"/>
      <c r="B70" s="27"/>
      <c r="C70" s="28" t="s">
        <v>26</v>
      </c>
      <c r="D70" s="27"/>
      <c r="E70" s="9">
        <v>0</v>
      </c>
      <c r="F70" s="43"/>
      <c r="G70" s="43"/>
      <c r="H70" s="43"/>
      <c r="I70" s="34">
        <f>SUM(F70:H70)</f>
        <v>0</v>
      </c>
      <c r="J70" s="43"/>
      <c r="K70" s="43"/>
      <c r="L70" s="43"/>
      <c r="M70" s="34">
        <f>SUM(J70:L70)</f>
        <v>0</v>
      </c>
      <c r="N70" s="43"/>
      <c r="O70" s="43"/>
      <c r="P70" s="43"/>
      <c r="Q70" s="34">
        <f>SUM(N70:P70)</f>
        <v>0</v>
      </c>
      <c r="R70" s="43"/>
      <c r="S70" s="43"/>
      <c r="T70" s="43"/>
      <c r="U70" s="34">
        <f>SUM(R70:T70)</f>
        <v>0</v>
      </c>
      <c r="V70" s="34">
        <f>I70+M70+Q70+U70</f>
        <v>0</v>
      </c>
    </row>
    <row r="71" spans="1:22" ht="13.15" outlineLevel="1">
      <c r="A71" s="24"/>
      <c r="B71" s="29" t="s">
        <v>6</v>
      </c>
      <c r="C71" s="30"/>
      <c r="D71" s="30"/>
      <c r="E71" s="10"/>
      <c r="F71" s="45">
        <f>SUM(F68:F70)</f>
        <v>0</v>
      </c>
      <c r="G71" s="45">
        <f>SUM(G68:G70)</f>
        <v>0</v>
      </c>
      <c r="H71" s="45">
        <f>SUM(H68:H70)</f>
        <v>0</v>
      </c>
      <c r="I71" s="35">
        <f t="shared" ref="I71:Q71" si="55">SUM(I68:I70)</f>
        <v>0</v>
      </c>
      <c r="J71" s="45">
        <f>SUM(J68:J70)</f>
        <v>0</v>
      </c>
      <c r="K71" s="45">
        <f>SUM(K68:K70)</f>
        <v>0</v>
      </c>
      <c r="L71" s="45">
        <f>SUM(L68:L70)</f>
        <v>0</v>
      </c>
      <c r="M71" s="35">
        <f t="shared" si="55"/>
        <v>0</v>
      </c>
      <c r="N71" s="45">
        <f>SUM(N68:N70)</f>
        <v>0</v>
      </c>
      <c r="O71" s="45">
        <f>SUM(O68:O70)</f>
        <v>0</v>
      </c>
      <c r="P71" s="45">
        <f>SUM(P68:P70)</f>
        <v>0</v>
      </c>
      <c r="Q71" s="35">
        <f t="shared" si="55"/>
        <v>0</v>
      </c>
      <c r="R71" s="45">
        <f>SUM(R68:R70)</f>
        <v>0</v>
      </c>
      <c r="S71" s="45">
        <f>SUM(S68:S70)</f>
        <v>0</v>
      </c>
      <c r="T71" s="45">
        <f>SUM(T68:T70)</f>
        <v>0</v>
      </c>
      <c r="U71" s="35">
        <f t="shared" ref="U71" si="56">SUM(U68:U70)</f>
        <v>0</v>
      </c>
      <c r="V71" s="35">
        <f>I71+M71+Q71+U71</f>
        <v>0</v>
      </c>
    </row>
    <row r="72" spans="1:22" ht="13.15" outlineLevel="2">
      <c r="A72" s="24"/>
      <c r="B72" s="26" t="s">
        <v>7</v>
      </c>
      <c r="C72" s="27"/>
      <c r="D72" s="27"/>
      <c r="E72" s="9"/>
      <c r="F72" s="129"/>
      <c r="G72" s="129"/>
      <c r="H72" s="129"/>
      <c r="I72" s="36"/>
      <c r="J72" s="129"/>
      <c r="K72" s="129"/>
      <c r="L72" s="129"/>
      <c r="M72" s="36"/>
      <c r="N72" s="129"/>
      <c r="O72" s="129"/>
      <c r="P72" s="129"/>
      <c r="Q72" s="36"/>
      <c r="R72" s="129"/>
      <c r="S72" s="129"/>
      <c r="T72" s="129"/>
      <c r="U72" s="36"/>
      <c r="V72" s="36"/>
    </row>
    <row r="73" spans="1:22" ht="13.15" outlineLevel="2">
      <c r="A73" s="24"/>
      <c r="B73" s="27"/>
      <c r="C73" s="28" t="s">
        <v>40</v>
      </c>
      <c r="D73" s="27"/>
      <c r="E73" s="9">
        <v>0</v>
      </c>
      <c r="F73" s="43"/>
      <c r="G73" s="43"/>
      <c r="H73" s="43"/>
      <c r="I73" s="34">
        <f>SUM(F73:H73)</f>
        <v>0</v>
      </c>
      <c r="J73" s="43"/>
      <c r="K73" s="43"/>
      <c r="L73" s="43"/>
      <c r="M73" s="34">
        <f>SUM(J73:L73)</f>
        <v>0</v>
      </c>
      <c r="N73" s="43"/>
      <c r="O73" s="43"/>
      <c r="P73" s="43"/>
      <c r="Q73" s="34">
        <f>SUM(N73:P73)</f>
        <v>0</v>
      </c>
      <c r="R73" s="43"/>
      <c r="S73" s="43"/>
      <c r="T73" s="43"/>
      <c r="U73" s="34">
        <f>SUM(R73:T73)</f>
        <v>0</v>
      </c>
      <c r="V73" s="34">
        <f>I73+M73+Q73+U73</f>
        <v>0</v>
      </c>
    </row>
    <row r="74" spans="1:22" ht="13.15" outlineLevel="2">
      <c r="A74" s="24"/>
      <c r="B74" s="27"/>
      <c r="C74" s="27" t="s">
        <v>8</v>
      </c>
      <c r="D74" s="27"/>
      <c r="E74" s="9">
        <v>0</v>
      </c>
      <c r="F74" s="43"/>
      <c r="G74" s="43"/>
      <c r="H74" s="43"/>
      <c r="I74" s="34">
        <f>SUM(F74:H74)</f>
        <v>0</v>
      </c>
      <c r="J74" s="43"/>
      <c r="K74" s="43"/>
      <c r="L74" s="43"/>
      <c r="M74" s="34">
        <f>SUM(J74:L74)</f>
        <v>0</v>
      </c>
      <c r="N74" s="43"/>
      <c r="O74" s="43"/>
      <c r="P74" s="43"/>
      <c r="Q74" s="34">
        <f>SUM(N74:P74)</f>
        <v>0</v>
      </c>
      <c r="R74" s="43"/>
      <c r="S74" s="43"/>
      <c r="T74" s="43"/>
      <c r="U74" s="34">
        <f>SUM(R74:T74)</f>
        <v>0</v>
      </c>
      <c r="V74" s="34">
        <f>I74+M74+Q74+U74</f>
        <v>0</v>
      </c>
    </row>
    <row r="75" spans="1:22" ht="13.15" outlineLevel="2">
      <c r="A75" s="24"/>
      <c r="B75" s="27"/>
      <c r="C75" s="27" t="s">
        <v>9</v>
      </c>
      <c r="D75" s="27"/>
      <c r="E75" s="9">
        <v>0</v>
      </c>
      <c r="F75" s="43"/>
      <c r="G75" s="43"/>
      <c r="H75" s="43"/>
      <c r="I75" s="34">
        <f>SUM(F75:H75)</f>
        <v>0</v>
      </c>
      <c r="J75" s="43"/>
      <c r="K75" s="43"/>
      <c r="L75" s="43"/>
      <c r="M75" s="34">
        <f>SUM(J75:L75)</f>
        <v>0</v>
      </c>
      <c r="N75" s="43"/>
      <c r="O75" s="43"/>
      <c r="P75" s="43"/>
      <c r="Q75" s="34">
        <f>SUM(N75:P75)</f>
        <v>0</v>
      </c>
      <c r="R75" s="43"/>
      <c r="S75" s="43"/>
      <c r="T75" s="43"/>
      <c r="U75" s="34">
        <f>SUM(R75:T75)</f>
        <v>0</v>
      </c>
      <c r="V75" s="34">
        <f>I75+M75+Q75+U75</f>
        <v>0</v>
      </c>
    </row>
    <row r="76" spans="1:22" ht="13.15" outlineLevel="1">
      <c r="A76" s="24"/>
      <c r="B76" s="29" t="s">
        <v>10</v>
      </c>
      <c r="C76" s="30"/>
      <c r="D76" s="30"/>
      <c r="E76" s="10"/>
      <c r="F76" s="45">
        <f t="shared" ref="F76" si="57">SUM(F73:F75)</f>
        <v>0</v>
      </c>
      <c r="G76" s="45">
        <f t="shared" ref="G76" si="58">SUM(G73:G75)</f>
        <v>0</v>
      </c>
      <c r="H76" s="45">
        <f t="shared" ref="H76" si="59">SUM(H73:H75)</f>
        <v>0</v>
      </c>
      <c r="I76" s="35">
        <f>SUM(I73:I75)</f>
        <v>0</v>
      </c>
      <c r="J76" s="45">
        <f t="shared" ref="J76:L76" si="60">SUM(J73:J75)</f>
        <v>0</v>
      </c>
      <c r="K76" s="45">
        <f t="shared" si="60"/>
        <v>0</v>
      </c>
      <c r="L76" s="45">
        <f t="shared" si="60"/>
        <v>0</v>
      </c>
      <c r="M76" s="35">
        <f>SUM(M73:M75)</f>
        <v>0</v>
      </c>
      <c r="N76" s="45">
        <f t="shared" ref="N76:P76" si="61">SUM(N73:N75)</f>
        <v>0</v>
      </c>
      <c r="O76" s="45">
        <f t="shared" si="61"/>
        <v>0</v>
      </c>
      <c r="P76" s="45">
        <f t="shared" si="61"/>
        <v>0</v>
      </c>
      <c r="Q76" s="35">
        <f>SUM(Q73:Q75)</f>
        <v>0</v>
      </c>
      <c r="R76" s="45">
        <f t="shared" ref="R76:T76" si="62">SUM(R73:R75)</f>
        <v>0</v>
      </c>
      <c r="S76" s="45">
        <f t="shared" si="62"/>
        <v>0</v>
      </c>
      <c r="T76" s="45">
        <f t="shared" si="62"/>
        <v>0</v>
      </c>
      <c r="U76" s="35">
        <f t="shared" ref="U76" si="63">SUM(U73:U75)</f>
        <v>0</v>
      </c>
      <c r="V76" s="35">
        <f>I76+M76+Q76+U76</f>
        <v>0</v>
      </c>
    </row>
    <row r="77" spans="1:22" ht="13.15">
      <c r="A77" s="31"/>
      <c r="B77" s="32"/>
      <c r="C77" s="31"/>
      <c r="D77" s="32" t="s">
        <v>11</v>
      </c>
      <c r="E77" s="9"/>
      <c r="F77" s="139">
        <f>F52+F53+F66+F71+F76</f>
        <v>12909000</v>
      </c>
      <c r="G77" s="139">
        <f>G52+G53+G66+G71+G76</f>
        <v>12774000</v>
      </c>
      <c r="H77" s="139">
        <f>H52+H53+H66+H71+H76</f>
        <v>12774000</v>
      </c>
      <c r="I77" s="139">
        <f>I76+I71+I66+I53+I52</f>
        <v>38457000</v>
      </c>
      <c r="J77" s="139">
        <f t="shared" ref="J77:L77" si="64">J52+J53+J66+J71+J76</f>
        <v>12774000</v>
      </c>
      <c r="K77" s="139">
        <f t="shared" si="64"/>
        <v>12774000</v>
      </c>
      <c r="L77" s="139">
        <f t="shared" si="64"/>
        <v>12774000</v>
      </c>
      <c r="M77" s="139">
        <f>M76+M71+M66+M53+M52</f>
        <v>38322000</v>
      </c>
      <c r="N77" s="139">
        <f t="shared" ref="N77:T77" si="65">N52+N53+N66+N71+N76</f>
        <v>12774000</v>
      </c>
      <c r="O77" s="139">
        <f t="shared" si="65"/>
        <v>12774000</v>
      </c>
      <c r="P77" s="139">
        <f t="shared" si="65"/>
        <v>12774000</v>
      </c>
      <c r="Q77" s="139">
        <f>Q76+Q71+Q66+Q53+Q52</f>
        <v>38322000</v>
      </c>
      <c r="R77" s="139">
        <f t="shared" si="65"/>
        <v>12774000</v>
      </c>
      <c r="S77" s="139">
        <f t="shared" si="65"/>
        <v>12774000</v>
      </c>
      <c r="T77" s="139">
        <f t="shared" si="65"/>
        <v>12774000</v>
      </c>
      <c r="U77" s="35">
        <f>U76+U71+U66+U53+U52</f>
        <v>38322000</v>
      </c>
      <c r="V77" s="35">
        <f>I77+M77+Q77+U77</f>
        <v>153423000</v>
      </c>
    </row>
    <row r="78" spans="1:22" ht="13.15" outlineLevel="1">
      <c r="A78" s="32" t="s">
        <v>12</v>
      </c>
      <c r="B78" s="32"/>
      <c r="C78" s="33"/>
      <c r="D78" s="33"/>
      <c r="E78" s="9"/>
      <c r="F78" s="44"/>
      <c r="G78" s="44"/>
      <c r="H78" s="44"/>
      <c r="I78" s="35"/>
      <c r="J78" s="44"/>
      <c r="K78" s="44"/>
      <c r="L78" s="44"/>
      <c r="M78" s="35"/>
      <c r="N78" s="44"/>
      <c r="O78" s="44"/>
      <c r="P78" s="44"/>
      <c r="Q78" s="35"/>
      <c r="R78" s="44"/>
      <c r="S78" s="44"/>
      <c r="T78" s="44"/>
      <c r="U78" s="35"/>
      <c r="V78" s="35"/>
    </row>
    <row r="79" spans="1:22" ht="13.15" outlineLevel="2">
      <c r="A79" s="24"/>
      <c r="B79" s="26" t="s">
        <v>13</v>
      </c>
      <c r="C79" s="27"/>
      <c r="D79" s="27"/>
      <c r="E79" s="9"/>
      <c r="F79" s="129"/>
      <c r="G79" s="129"/>
      <c r="H79" s="129"/>
      <c r="I79" s="36"/>
      <c r="J79" s="129"/>
      <c r="K79" s="129"/>
      <c r="L79" s="129"/>
      <c r="M79" s="36"/>
      <c r="N79" s="129"/>
      <c r="O79" s="129"/>
      <c r="P79" s="129"/>
      <c r="Q79" s="36"/>
      <c r="R79" s="129"/>
      <c r="S79" s="129"/>
      <c r="T79" s="129"/>
      <c r="U79" s="36"/>
      <c r="V79" s="36"/>
    </row>
    <row r="80" spans="1:22" ht="13.15" outlineLevel="2">
      <c r="A80" s="24"/>
      <c r="B80" s="27"/>
      <c r="C80" s="28" t="s">
        <v>66</v>
      </c>
      <c r="D80" s="27"/>
      <c r="E80" s="9">
        <v>0</v>
      </c>
      <c r="F80" s="96"/>
      <c r="G80" s="96"/>
      <c r="H80" s="96"/>
      <c r="I80" s="34">
        <f t="shared" ref="I80:I87" si="66">SUM(F80:H80)</f>
        <v>0</v>
      </c>
      <c r="J80" s="96"/>
      <c r="K80" s="96"/>
      <c r="L80" s="96"/>
      <c r="M80" s="34">
        <f t="shared" ref="M80:M87" si="67">SUM(J80:L80)</f>
        <v>0</v>
      </c>
      <c r="N80" s="96"/>
      <c r="O80" s="96"/>
      <c r="P80" s="96"/>
      <c r="Q80" s="34">
        <f t="shared" ref="Q80:Q87" si="68">SUM(N80:P80)</f>
        <v>0</v>
      </c>
      <c r="R80" s="96"/>
      <c r="S80" s="96"/>
      <c r="T80" s="96"/>
      <c r="U80" s="34">
        <f t="shared" ref="U80:U87" si="69">SUM(R80:T80)</f>
        <v>0</v>
      </c>
      <c r="V80" s="34">
        <f t="shared" ref="V80:V97" si="70">I80+M80+Q80+U80</f>
        <v>0</v>
      </c>
    </row>
    <row r="81" spans="1:22" ht="13.15" outlineLevel="2">
      <c r="A81" s="24"/>
      <c r="B81" s="27"/>
      <c r="C81" s="28" t="s">
        <v>67</v>
      </c>
      <c r="D81" s="27"/>
      <c r="E81" s="9">
        <v>0</v>
      </c>
      <c r="F81" s="96"/>
      <c r="G81" s="96"/>
      <c r="H81" s="96"/>
      <c r="I81" s="34">
        <f t="shared" si="66"/>
        <v>0</v>
      </c>
      <c r="J81" s="96"/>
      <c r="K81" s="96"/>
      <c r="L81" s="96"/>
      <c r="M81" s="34">
        <f t="shared" si="67"/>
        <v>0</v>
      </c>
      <c r="N81" s="96"/>
      <c r="O81" s="96"/>
      <c r="P81" s="96"/>
      <c r="Q81" s="34">
        <f t="shared" si="68"/>
        <v>0</v>
      </c>
      <c r="R81" s="96"/>
      <c r="S81" s="96"/>
      <c r="T81" s="96"/>
      <c r="U81" s="34">
        <f t="shared" si="69"/>
        <v>0</v>
      </c>
      <c r="V81" s="34">
        <f t="shared" si="70"/>
        <v>0</v>
      </c>
    </row>
    <row r="82" spans="1:22" ht="13.15" outlineLevel="2">
      <c r="A82" s="24"/>
      <c r="B82" s="27"/>
      <c r="C82" s="28" t="s">
        <v>100</v>
      </c>
      <c r="D82" s="27"/>
      <c r="E82" s="9">
        <v>0</v>
      </c>
      <c r="F82" s="96"/>
      <c r="G82" s="96"/>
      <c r="H82" s="96"/>
      <c r="I82" s="34">
        <f t="shared" si="66"/>
        <v>0</v>
      </c>
      <c r="J82" s="96"/>
      <c r="K82" s="96"/>
      <c r="L82" s="96"/>
      <c r="M82" s="34">
        <f t="shared" si="67"/>
        <v>0</v>
      </c>
      <c r="N82" s="96"/>
      <c r="O82" s="96"/>
      <c r="P82" s="96"/>
      <c r="Q82" s="34">
        <f t="shared" si="68"/>
        <v>0</v>
      </c>
      <c r="R82" s="96"/>
      <c r="S82" s="96"/>
      <c r="T82" s="96"/>
      <c r="U82" s="34">
        <f t="shared" si="69"/>
        <v>0</v>
      </c>
      <c r="V82" s="34">
        <f t="shared" si="70"/>
        <v>0</v>
      </c>
    </row>
    <row r="83" spans="1:22" ht="13.15" outlineLevel="2">
      <c r="A83" s="24"/>
      <c r="B83" s="27"/>
      <c r="C83" s="28" t="s">
        <v>99</v>
      </c>
      <c r="D83" s="27"/>
      <c r="E83" s="9"/>
      <c r="F83" s="96"/>
      <c r="G83" s="96"/>
      <c r="H83" s="96"/>
      <c r="I83" s="34">
        <f t="shared" si="66"/>
        <v>0</v>
      </c>
      <c r="J83" s="96"/>
      <c r="K83" s="96"/>
      <c r="L83" s="96"/>
      <c r="M83" s="34">
        <f t="shared" si="67"/>
        <v>0</v>
      </c>
      <c r="N83" s="96"/>
      <c r="O83" s="96"/>
      <c r="P83" s="96"/>
      <c r="Q83" s="34">
        <f t="shared" si="68"/>
        <v>0</v>
      </c>
      <c r="R83" s="96"/>
      <c r="S83" s="96"/>
      <c r="T83" s="96"/>
      <c r="U83" s="34">
        <f t="shared" si="69"/>
        <v>0</v>
      </c>
      <c r="V83" s="34">
        <f t="shared" si="70"/>
        <v>0</v>
      </c>
    </row>
    <row r="84" spans="1:22" ht="13.15" outlineLevel="2">
      <c r="A84" s="24"/>
      <c r="B84" s="27"/>
      <c r="C84" s="28" t="s">
        <v>101</v>
      </c>
      <c r="D84" s="27"/>
      <c r="E84" s="9"/>
      <c r="F84" s="96"/>
      <c r="G84" s="96"/>
      <c r="H84" s="96"/>
      <c r="I84" s="34">
        <f t="shared" si="66"/>
        <v>0</v>
      </c>
      <c r="J84" s="96"/>
      <c r="K84" s="96"/>
      <c r="L84" s="96"/>
      <c r="M84" s="34">
        <f t="shared" si="67"/>
        <v>0</v>
      </c>
      <c r="N84" s="96"/>
      <c r="O84" s="96"/>
      <c r="P84" s="96"/>
      <c r="Q84" s="34">
        <f t="shared" si="68"/>
        <v>0</v>
      </c>
      <c r="R84" s="96"/>
      <c r="S84" s="96"/>
      <c r="T84" s="96"/>
      <c r="U84" s="34">
        <f t="shared" si="69"/>
        <v>0</v>
      </c>
      <c r="V84" s="34">
        <f t="shared" si="70"/>
        <v>0</v>
      </c>
    </row>
    <row r="85" spans="1:22" ht="13.15" outlineLevel="2">
      <c r="A85" s="24"/>
      <c r="B85" s="27"/>
      <c r="C85" s="28" t="s">
        <v>41</v>
      </c>
      <c r="D85" s="27"/>
      <c r="E85" s="9">
        <v>0</v>
      </c>
      <c r="F85" s="96"/>
      <c r="G85" s="96"/>
      <c r="H85" s="96"/>
      <c r="I85" s="34">
        <f t="shared" si="66"/>
        <v>0</v>
      </c>
      <c r="J85" s="96"/>
      <c r="K85" s="96"/>
      <c r="L85" s="96"/>
      <c r="M85" s="34">
        <f t="shared" si="67"/>
        <v>0</v>
      </c>
      <c r="N85" s="96"/>
      <c r="O85" s="96"/>
      <c r="P85" s="96"/>
      <c r="Q85" s="34">
        <f t="shared" si="68"/>
        <v>0</v>
      </c>
      <c r="R85" s="96"/>
      <c r="S85" s="96"/>
      <c r="T85" s="96"/>
      <c r="U85" s="34">
        <f t="shared" si="69"/>
        <v>0</v>
      </c>
      <c r="V85" s="34">
        <f t="shared" si="70"/>
        <v>0</v>
      </c>
    </row>
    <row r="86" spans="1:22" ht="13.15" outlineLevel="2">
      <c r="A86" s="24"/>
      <c r="B86" s="27"/>
      <c r="C86" s="28" t="s">
        <v>114</v>
      </c>
      <c r="D86" s="27"/>
      <c r="E86" s="9">
        <v>0</v>
      </c>
      <c r="F86" s="96"/>
      <c r="G86" s="96"/>
      <c r="H86" s="96"/>
      <c r="I86" s="34">
        <f t="shared" si="66"/>
        <v>0</v>
      </c>
      <c r="J86" s="96"/>
      <c r="K86" s="96"/>
      <c r="L86" s="96"/>
      <c r="M86" s="34">
        <f t="shared" si="67"/>
        <v>0</v>
      </c>
      <c r="N86" s="96"/>
      <c r="O86" s="96"/>
      <c r="P86" s="96"/>
      <c r="Q86" s="34">
        <f t="shared" si="68"/>
        <v>0</v>
      </c>
      <c r="R86" s="96"/>
      <c r="S86" s="96"/>
      <c r="T86" s="96"/>
      <c r="U86" s="34">
        <f t="shared" si="69"/>
        <v>0</v>
      </c>
      <c r="V86" s="34">
        <f t="shared" si="70"/>
        <v>0</v>
      </c>
    </row>
    <row r="87" spans="1:22" ht="13.15" outlineLevel="2">
      <c r="A87" s="24"/>
      <c r="B87" s="27"/>
      <c r="C87" s="28" t="s">
        <v>105</v>
      </c>
      <c r="D87" s="27"/>
      <c r="E87" s="9">
        <v>0</v>
      </c>
      <c r="F87" s="96"/>
      <c r="G87" s="96"/>
      <c r="H87" s="96"/>
      <c r="I87" s="34">
        <f t="shared" si="66"/>
        <v>0</v>
      </c>
      <c r="J87" s="96"/>
      <c r="K87" s="96"/>
      <c r="L87" s="96"/>
      <c r="M87" s="34">
        <f t="shared" si="67"/>
        <v>0</v>
      </c>
      <c r="N87" s="96"/>
      <c r="O87" s="96"/>
      <c r="P87" s="96"/>
      <c r="Q87" s="34">
        <f t="shared" si="68"/>
        <v>0</v>
      </c>
      <c r="R87" s="96"/>
      <c r="S87" s="96"/>
      <c r="T87" s="96"/>
      <c r="U87" s="34">
        <f t="shared" si="69"/>
        <v>0</v>
      </c>
      <c r="V87" s="34">
        <f t="shared" si="70"/>
        <v>0</v>
      </c>
    </row>
    <row r="88" spans="1:22" ht="13.15" outlineLevel="1">
      <c r="A88" s="24"/>
      <c r="B88" s="30" t="s">
        <v>14</v>
      </c>
      <c r="C88" s="30"/>
      <c r="D88" s="30"/>
      <c r="E88" s="10"/>
      <c r="F88" s="45">
        <f t="shared" ref="F88:T89" si="71">SUM(F80:F87)</f>
        <v>0</v>
      </c>
      <c r="G88" s="45">
        <f t="shared" si="71"/>
        <v>0</v>
      </c>
      <c r="H88" s="45">
        <f t="shared" ref="H88" si="72">SUM(H80:H87)</f>
        <v>0</v>
      </c>
      <c r="I88" s="35">
        <f t="shared" si="71"/>
        <v>0</v>
      </c>
      <c r="J88" s="45">
        <f t="shared" ref="J88:L88" si="73">SUM(J80:J87)</f>
        <v>0</v>
      </c>
      <c r="K88" s="45">
        <f t="shared" si="73"/>
        <v>0</v>
      </c>
      <c r="L88" s="45">
        <f t="shared" si="73"/>
        <v>0</v>
      </c>
      <c r="M88" s="35">
        <f t="shared" si="71"/>
        <v>0</v>
      </c>
      <c r="N88" s="45">
        <f t="shared" ref="N88:P88" si="74">SUM(N80:N87)</f>
        <v>0</v>
      </c>
      <c r="O88" s="45">
        <f t="shared" si="74"/>
        <v>0</v>
      </c>
      <c r="P88" s="45">
        <f t="shared" si="74"/>
        <v>0</v>
      </c>
      <c r="Q88" s="35">
        <f t="shared" si="71"/>
        <v>0</v>
      </c>
      <c r="R88" s="45">
        <f t="shared" si="71"/>
        <v>0</v>
      </c>
      <c r="S88" s="45">
        <f t="shared" si="71"/>
        <v>0</v>
      </c>
      <c r="T88" s="45">
        <f t="shared" si="71"/>
        <v>0</v>
      </c>
      <c r="U88" s="35">
        <f t="shared" ref="U88" si="75">SUM(U80:U87)</f>
        <v>0</v>
      </c>
      <c r="V88" s="35">
        <f t="shared" si="70"/>
        <v>0</v>
      </c>
    </row>
    <row r="89" spans="1:22" s="4" customFormat="1" ht="13.15" outlineLevel="1">
      <c r="A89" s="24"/>
      <c r="B89" s="24" t="s">
        <v>15</v>
      </c>
      <c r="C89" s="24"/>
      <c r="D89" s="24"/>
      <c r="E89" s="8">
        <v>0</v>
      </c>
      <c r="F89" s="44">
        <v>0</v>
      </c>
      <c r="G89" s="44">
        <v>0</v>
      </c>
      <c r="H89" s="44">
        <v>0</v>
      </c>
      <c r="I89" s="35">
        <f t="shared" si="71"/>
        <v>0</v>
      </c>
      <c r="J89" s="44">
        <v>0</v>
      </c>
      <c r="K89" s="44">
        <v>0</v>
      </c>
      <c r="L89" s="44">
        <v>0</v>
      </c>
      <c r="M89" s="35">
        <f t="shared" si="71"/>
        <v>0</v>
      </c>
      <c r="N89" s="44">
        <v>0</v>
      </c>
      <c r="O89" s="44">
        <v>0</v>
      </c>
      <c r="P89" s="44">
        <v>0</v>
      </c>
      <c r="Q89" s="35">
        <f t="shared" si="71"/>
        <v>0</v>
      </c>
      <c r="R89" s="44">
        <v>0</v>
      </c>
      <c r="S89" s="44">
        <v>0</v>
      </c>
      <c r="T89" s="44">
        <v>0</v>
      </c>
      <c r="U89" s="35">
        <v>0</v>
      </c>
      <c r="V89" s="35">
        <f t="shared" si="70"/>
        <v>0</v>
      </c>
    </row>
    <row r="90" spans="1:22" ht="13.15" outlineLevel="2">
      <c r="A90" s="24"/>
      <c r="B90" s="26" t="s">
        <v>16</v>
      </c>
      <c r="C90" s="27"/>
      <c r="D90" s="27"/>
      <c r="E90" s="9"/>
      <c r="F90" s="129"/>
      <c r="G90" s="129"/>
      <c r="H90" s="129"/>
      <c r="I90" s="34">
        <f t="shared" ref="I90:I96" si="76">SUM(F90:H90)</f>
        <v>0</v>
      </c>
      <c r="J90" s="129"/>
      <c r="K90" s="129"/>
      <c r="L90" s="129"/>
      <c r="M90" s="34">
        <f t="shared" ref="M90:M96" si="77">SUM(J90:L90)</f>
        <v>0</v>
      </c>
      <c r="N90" s="129"/>
      <c r="O90" s="129"/>
      <c r="P90" s="129"/>
      <c r="Q90" s="34">
        <f t="shared" ref="Q90:Q96" si="78">SUM(N90:P90)</f>
        <v>0</v>
      </c>
      <c r="R90" s="129"/>
      <c r="S90" s="129"/>
      <c r="T90" s="129"/>
      <c r="U90" s="34">
        <f t="shared" ref="U90:U96" si="79">SUM(R90:T90)</f>
        <v>0</v>
      </c>
      <c r="V90" s="34">
        <f t="shared" si="70"/>
        <v>0</v>
      </c>
    </row>
    <row r="91" spans="1:22" ht="13.15" outlineLevel="2">
      <c r="A91" s="24"/>
      <c r="B91" s="27"/>
      <c r="C91" s="28" t="s">
        <v>42</v>
      </c>
      <c r="D91" s="27"/>
      <c r="E91" s="9">
        <v>0</v>
      </c>
      <c r="F91" s="43"/>
      <c r="G91" s="43"/>
      <c r="H91" s="43"/>
      <c r="I91" s="34">
        <f t="shared" si="76"/>
        <v>0</v>
      </c>
      <c r="J91" s="43"/>
      <c r="K91" s="43"/>
      <c r="L91" s="43"/>
      <c r="M91" s="34">
        <f t="shared" si="77"/>
        <v>0</v>
      </c>
      <c r="N91" s="43"/>
      <c r="O91" s="43"/>
      <c r="P91" s="43"/>
      <c r="Q91" s="34">
        <f t="shared" si="78"/>
        <v>0</v>
      </c>
      <c r="R91" s="43"/>
      <c r="S91" s="43"/>
      <c r="T91" s="43"/>
      <c r="U91" s="34">
        <f t="shared" si="79"/>
        <v>0</v>
      </c>
      <c r="V91" s="34">
        <f t="shared" si="70"/>
        <v>0</v>
      </c>
    </row>
    <row r="92" spans="1:22" ht="13.15" outlineLevel="2">
      <c r="A92" s="24"/>
      <c r="B92" s="27"/>
      <c r="C92" s="28" t="s">
        <v>43</v>
      </c>
      <c r="D92" s="27"/>
      <c r="E92" s="9">
        <v>0</v>
      </c>
      <c r="F92" s="43">
        <v>0</v>
      </c>
      <c r="G92" s="43"/>
      <c r="H92" s="43"/>
      <c r="I92" s="34">
        <f t="shared" si="76"/>
        <v>0</v>
      </c>
      <c r="J92" s="43"/>
      <c r="K92" s="43"/>
      <c r="L92" s="43"/>
      <c r="M92" s="34">
        <f t="shared" si="77"/>
        <v>0</v>
      </c>
      <c r="N92" s="43"/>
      <c r="O92" s="43"/>
      <c r="P92" s="43"/>
      <c r="Q92" s="34">
        <f t="shared" si="78"/>
        <v>0</v>
      </c>
      <c r="R92" s="43"/>
      <c r="S92" s="43"/>
      <c r="T92" s="43"/>
      <c r="U92" s="34">
        <f t="shared" si="79"/>
        <v>0</v>
      </c>
      <c r="V92" s="34">
        <f t="shared" si="70"/>
        <v>0</v>
      </c>
    </row>
    <row r="93" spans="1:22" ht="13.15" outlineLevel="2">
      <c r="A93" s="24"/>
      <c r="B93" s="27"/>
      <c r="C93" s="28" t="s">
        <v>53</v>
      </c>
      <c r="D93" s="27"/>
      <c r="E93" s="9">
        <v>0</v>
      </c>
      <c r="F93" s="43"/>
      <c r="G93" s="43"/>
      <c r="H93" s="43"/>
      <c r="I93" s="34">
        <f t="shared" si="76"/>
        <v>0</v>
      </c>
      <c r="J93" s="43"/>
      <c r="K93" s="43"/>
      <c r="L93" s="43"/>
      <c r="M93" s="34">
        <f t="shared" si="77"/>
        <v>0</v>
      </c>
      <c r="N93" s="43"/>
      <c r="O93" s="43"/>
      <c r="P93" s="43"/>
      <c r="Q93" s="34">
        <f t="shared" si="78"/>
        <v>0</v>
      </c>
      <c r="R93" s="43"/>
      <c r="S93" s="43"/>
      <c r="T93" s="43"/>
      <c r="U93" s="34">
        <f t="shared" si="79"/>
        <v>0</v>
      </c>
      <c r="V93" s="34">
        <f t="shared" si="70"/>
        <v>0</v>
      </c>
    </row>
    <row r="94" spans="1:22" ht="13.15" outlineLevel="2">
      <c r="A94" s="24"/>
      <c r="B94" s="27"/>
      <c r="C94" s="28" t="s">
        <v>44</v>
      </c>
      <c r="D94" s="27"/>
      <c r="E94" s="9">
        <v>0</v>
      </c>
      <c r="F94" s="43"/>
      <c r="G94" s="43"/>
      <c r="H94" s="43"/>
      <c r="I94" s="34">
        <f t="shared" si="76"/>
        <v>0</v>
      </c>
      <c r="J94" s="43"/>
      <c r="K94" s="43"/>
      <c r="L94" s="43"/>
      <c r="M94" s="34">
        <f t="shared" si="77"/>
        <v>0</v>
      </c>
      <c r="N94" s="43"/>
      <c r="O94" s="43"/>
      <c r="P94" s="43"/>
      <c r="Q94" s="34">
        <f t="shared" si="78"/>
        <v>0</v>
      </c>
      <c r="R94" s="43"/>
      <c r="S94" s="43"/>
      <c r="T94" s="43"/>
      <c r="U94" s="34">
        <f t="shared" si="79"/>
        <v>0</v>
      </c>
      <c r="V94" s="34">
        <f t="shared" si="70"/>
        <v>0</v>
      </c>
    </row>
    <row r="95" spans="1:22" ht="13.15" outlineLevel="2">
      <c r="A95" s="24"/>
      <c r="B95" s="27"/>
      <c r="C95" s="28" t="s">
        <v>51</v>
      </c>
      <c r="D95" s="27"/>
      <c r="E95" s="9">
        <v>0</v>
      </c>
      <c r="F95" s="43"/>
      <c r="G95" s="43"/>
      <c r="H95" s="43"/>
      <c r="I95" s="34">
        <f t="shared" si="76"/>
        <v>0</v>
      </c>
      <c r="J95" s="43"/>
      <c r="K95" s="43"/>
      <c r="L95" s="43"/>
      <c r="M95" s="34">
        <f t="shared" si="77"/>
        <v>0</v>
      </c>
      <c r="N95" s="43"/>
      <c r="O95" s="43"/>
      <c r="P95" s="43"/>
      <c r="Q95" s="34">
        <f t="shared" si="78"/>
        <v>0</v>
      </c>
      <c r="R95" s="43"/>
      <c r="S95" s="43"/>
      <c r="T95" s="43"/>
      <c r="U95" s="34">
        <f t="shared" si="79"/>
        <v>0</v>
      </c>
      <c r="V95" s="34">
        <f t="shared" si="70"/>
        <v>0</v>
      </c>
    </row>
    <row r="96" spans="1:22" ht="13.15" outlineLevel="2">
      <c r="A96" s="24"/>
      <c r="B96" s="27"/>
      <c r="C96" s="28" t="s">
        <v>50</v>
      </c>
      <c r="D96" s="27"/>
      <c r="E96" s="9">
        <v>0</v>
      </c>
      <c r="F96" s="43"/>
      <c r="G96" s="43"/>
      <c r="H96" s="43"/>
      <c r="I96" s="34">
        <f t="shared" si="76"/>
        <v>0</v>
      </c>
      <c r="J96" s="43"/>
      <c r="K96" s="43"/>
      <c r="L96" s="43"/>
      <c r="M96" s="34">
        <f t="shared" si="77"/>
        <v>0</v>
      </c>
      <c r="N96" s="43"/>
      <c r="O96" s="43"/>
      <c r="P96" s="43"/>
      <c r="Q96" s="34">
        <f t="shared" si="78"/>
        <v>0</v>
      </c>
      <c r="R96" s="43"/>
      <c r="S96" s="43"/>
      <c r="T96" s="43"/>
      <c r="U96" s="34">
        <f t="shared" si="79"/>
        <v>0</v>
      </c>
      <c r="V96" s="34">
        <f t="shared" si="70"/>
        <v>0</v>
      </c>
    </row>
    <row r="97" spans="1:22" ht="13.15" outlineLevel="1">
      <c r="A97" s="24"/>
      <c r="B97" s="24" t="s">
        <v>17</v>
      </c>
      <c r="C97" s="24"/>
      <c r="D97" s="24"/>
      <c r="E97" s="8"/>
      <c r="F97" s="44">
        <f t="shared" ref="F97:G97" si="80">SUM(F91:F96)</f>
        <v>0</v>
      </c>
      <c r="G97" s="44">
        <f t="shared" si="80"/>
        <v>0</v>
      </c>
      <c r="H97" s="44">
        <f t="shared" ref="H97" si="81">SUM(H91:H96)</f>
        <v>0</v>
      </c>
      <c r="I97" s="35">
        <f>SUM(I91:I96)</f>
        <v>0</v>
      </c>
      <c r="J97" s="44">
        <f t="shared" ref="J97:L97" si="82">SUM(J91:J96)</f>
        <v>0</v>
      </c>
      <c r="K97" s="44">
        <f t="shared" si="82"/>
        <v>0</v>
      </c>
      <c r="L97" s="44">
        <f t="shared" si="82"/>
        <v>0</v>
      </c>
      <c r="M97" s="35">
        <f>SUM(M91:M96)</f>
        <v>0</v>
      </c>
      <c r="N97" s="44">
        <f t="shared" ref="N97:P97" si="83">SUM(N91:N96)</f>
        <v>0</v>
      </c>
      <c r="O97" s="44">
        <f t="shared" si="83"/>
        <v>0</v>
      </c>
      <c r="P97" s="44">
        <f t="shared" si="83"/>
        <v>0</v>
      </c>
      <c r="Q97" s="35">
        <f>SUM(Q91:Q96)</f>
        <v>0</v>
      </c>
      <c r="R97" s="44">
        <f t="shared" ref="R97:T97" si="84">SUM(R91:R96)</f>
        <v>0</v>
      </c>
      <c r="S97" s="44">
        <f t="shared" si="84"/>
        <v>0</v>
      </c>
      <c r="T97" s="44">
        <f t="shared" si="84"/>
        <v>0</v>
      </c>
      <c r="U97" s="35">
        <f t="shared" ref="U97" si="85">SUM(U91:U96)</f>
        <v>0</v>
      </c>
      <c r="V97" s="35">
        <f t="shared" si="70"/>
        <v>0</v>
      </c>
    </row>
    <row r="98" spans="1:22" ht="13.15" outlineLevel="2">
      <c r="A98" s="24"/>
      <c r="B98" s="26" t="s">
        <v>18</v>
      </c>
      <c r="C98" s="27"/>
      <c r="D98" s="27"/>
      <c r="E98" s="9"/>
      <c r="F98" s="129"/>
      <c r="G98" s="129"/>
      <c r="H98" s="129"/>
      <c r="I98" s="36"/>
      <c r="J98" s="129"/>
      <c r="K98" s="129"/>
      <c r="L98" s="129"/>
      <c r="M98" s="36"/>
      <c r="N98" s="129"/>
      <c r="O98" s="129"/>
      <c r="P98" s="129"/>
      <c r="Q98" s="36"/>
      <c r="R98" s="129"/>
      <c r="S98" s="129"/>
      <c r="T98" s="129"/>
      <c r="U98" s="36"/>
      <c r="V98" s="36"/>
    </row>
    <row r="99" spans="1:22" ht="13.15" outlineLevel="2">
      <c r="A99" s="24"/>
      <c r="B99" s="27"/>
      <c r="C99" s="28" t="s">
        <v>68</v>
      </c>
      <c r="D99" s="27"/>
      <c r="E99" s="9">
        <v>0</v>
      </c>
      <c r="F99" s="96"/>
      <c r="G99" s="96"/>
      <c r="H99" s="96"/>
      <c r="I99" s="34">
        <f t="shared" ref="I99:I105" si="86">SUM(F99:H99)</f>
        <v>0</v>
      </c>
      <c r="J99" s="96"/>
      <c r="K99" s="96"/>
      <c r="L99" s="96"/>
      <c r="M99" s="34">
        <f t="shared" ref="M99:M105" si="87">SUM(J99:L99)</f>
        <v>0</v>
      </c>
      <c r="N99" s="96"/>
      <c r="O99" s="96"/>
      <c r="P99" s="96"/>
      <c r="Q99" s="34">
        <f t="shared" ref="Q99:Q105" si="88">SUM(N99:P99)</f>
        <v>0</v>
      </c>
      <c r="R99" s="96"/>
      <c r="S99" s="96"/>
      <c r="T99" s="96"/>
      <c r="U99" s="34">
        <f t="shared" ref="U99:U105" si="89">SUM(R99:T99)</f>
        <v>0</v>
      </c>
      <c r="V99" s="34">
        <f t="shared" ref="V99:V106" si="90">I99+M99+Q99+U99</f>
        <v>0</v>
      </c>
    </row>
    <row r="100" spans="1:22" ht="13.15" outlineLevel="2">
      <c r="A100" s="24"/>
      <c r="B100" s="27"/>
      <c r="C100" s="28" t="s">
        <v>45</v>
      </c>
      <c r="D100" s="27"/>
      <c r="E100" s="9">
        <v>0</v>
      </c>
      <c r="F100" s="96"/>
      <c r="G100" s="96"/>
      <c r="H100" s="96"/>
      <c r="I100" s="34">
        <f t="shared" si="86"/>
        <v>0</v>
      </c>
      <c r="J100" s="96"/>
      <c r="K100" s="96"/>
      <c r="L100" s="96"/>
      <c r="M100" s="34">
        <f t="shared" si="87"/>
        <v>0</v>
      </c>
      <c r="N100" s="96"/>
      <c r="O100" s="96"/>
      <c r="P100" s="96"/>
      <c r="Q100" s="34">
        <f t="shared" si="88"/>
        <v>0</v>
      </c>
      <c r="R100" s="96"/>
      <c r="S100" s="96"/>
      <c r="T100" s="96"/>
      <c r="U100" s="34">
        <f t="shared" si="89"/>
        <v>0</v>
      </c>
      <c r="V100" s="34">
        <f t="shared" si="90"/>
        <v>0</v>
      </c>
    </row>
    <row r="101" spans="1:22" ht="13.15" outlineLevel="2">
      <c r="A101" s="24"/>
      <c r="B101" s="27"/>
      <c r="C101" s="28" t="s">
        <v>94</v>
      </c>
      <c r="D101" s="27"/>
      <c r="E101" s="9">
        <v>0</v>
      </c>
      <c r="F101" s="96"/>
      <c r="G101" s="96"/>
      <c r="H101" s="96"/>
      <c r="I101" s="34">
        <f t="shared" si="86"/>
        <v>0</v>
      </c>
      <c r="J101" s="96"/>
      <c r="K101" s="96"/>
      <c r="L101" s="96"/>
      <c r="M101" s="34">
        <f t="shared" si="87"/>
        <v>0</v>
      </c>
      <c r="N101" s="96"/>
      <c r="O101" s="96"/>
      <c r="P101" s="96"/>
      <c r="Q101" s="34">
        <f t="shared" si="88"/>
        <v>0</v>
      </c>
      <c r="R101" s="96"/>
      <c r="S101" s="96"/>
      <c r="T101" s="96"/>
      <c r="U101" s="34">
        <f t="shared" si="89"/>
        <v>0</v>
      </c>
      <c r="V101" s="34">
        <f t="shared" si="90"/>
        <v>0</v>
      </c>
    </row>
    <row r="102" spans="1:22" ht="13.15" outlineLevel="2">
      <c r="A102" s="24"/>
      <c r="B102" s="27"/>
      <c r="C102" s="28" t="s">
        <v>46</v>
      </c>
      <c r="D102" s="27"/>
      <c r="E102" s="9">
        <v>0</v>
      </c>
      <c r="F102" s="96"/>
      <c r="G102" s="96"/>
      <c r="H102" s="96"/>
      <c r="I102" s="34">
        <f t="shared" si="86"/>
        <v>0</v>
      </c>
      <c r="J102" s="96"/>
      <c r="K102" s="96"/>
      <c r="L102" s="96"/>
      <c r="M102" s="34">
        <f t="shared" si="87"/>
        <v>0</v>
      </c>
      <c r="N102" s="96"/>
      <c r="O102" s="96"/>
      <c r="P102" s="96"/>
      <c r="Q102" s="34">
        <f t="shared" si="88"/>
        <v>0</v>
      </c>
      <c r="R102" s="96"/>
      <c r="S102" s="96"/>
      <c r="T102" s="96"/>
      <c r="U102" s="34">
        <f t="shared" si="89"/>
        <v>0</v>
      </c>
      <c r="V102" s="34">
        <f t="shared" si="90"/>
        <v>0</v>
      </c>
    </row>
    <row r="103" spans="1:22" ht="13.15" outlineLevel="2">
      <c r="A103" s="24"/>
      <c r="B103" s="27"/>
      <c r="C103" s="28" t="s">
        <v>111</v>
      </c>
      <c r="D103" s="27"/>
      <c r="E103" s="9">
        <v>0</v>
      </c>
      <c r="F103" s="96"/>
      <c r="G103" s="96"/>
      <c r="H103" s="96"/>
      <c r="I103" s="34">
        <f t="shared" si="86"/>
        <v>0</v>
      </c>
      <c r="J103" s="96"/>
      <c r="K103" s="96"/>
      <c r="L103" s="96"/>
      <c r="M103" s="34">
        <f t="shared" si="87"/>
        <v>0</v>
      </c>
      <c r="N103" s="96"/>
      <c r="O103" s="96"/>
      <c r="P103" s="96"/>
      <c r="Q103" s="34">
        <f t="shared" si="88"/>
        <v>0</v>
      </c>
      <c r="R103" s="96"/>
      <c r="S103" s="96"/>
      <c r="T103" s="96"/>
      <c r="U103" s="34">
        <f t="shared" si="89"/>
        <v>0</v>
      </c>
      <c r="V103" s="34">
        <f t="shared" si="90"/>
        <v>0</v>
      </c>
    </row>
    <row r="104" spans="1:22" ht="13.15" outlineLevel="2">
      <c r="A104" s="24"/>
      <c r="B104" s="27"/>
      <c r="C104" s="28" t="s">
        <v>115</v>
      </c>
      <c r="D104" s="27"/>
      <c r="E104" s="9">
        <v>0</v>
      </c>
      <c r="F104" s="96"/>
      <c r="G104" s="96"/>
      <c r="H104" s="96"/>
      <c r="I104" s="34">
        <f t="shared" si="86"/>
        <v>0</v>
      </c>
      <c r="J104" s="96"/>
      <c r="K104" s="96"/>
      <c r="L104" s="96"/>
      <c r="M104" s="34">
        <f t="shared" si="87"/>
        <v>0</v>
      </c>
      <c r="N104" s="96"/>
      <c r="O104" s="96"/>
      <c r="P104" s="96"/>
      <c r="Q104" s="34">
        <f t="shared" si="88"/>
        <v>0</v>
      </c>
      <c r="R104" s="96"/>
      <c r="S104" s="96"/>
      <c r="T104" s="96"/>
      <c r="U104" s="34">
        <f t="shared" si="89"/>
        <v>0</v>
      </c>
      <c r="V104" s="34">
        <f t="shared" si="90"/>
        <v>0</v>
      </c>
    </row>
    <row r="105" spans="1:22" ht="13.15" outlineLevel="2">
      <c r="A105" s="24"/>
      <c r="B105" s="27"/>
      <c r="C105" s="28" t="s">
        <v>26</v>
      </c>
      <c r="D105" s="27"/>
      <c r="E105" s="9"/>
      <c r="F105" s="96"/>
      <c r="G105" s="96">
        <v>50000</v>
      </c>
      <c r="H105" s="96">
        <v>50000</v>
      </c>
      <c r="I105" s="34">
        <f t="shared" si="86"/>
        <v>100000</v>
      </c>
      <c r="J105" s="96">
        <v>50000</v>
      </c>
      <c r="K105" s="96">
        <v>50000</v>
      </c>
      <c r="L105" s="96">
        <v>50000</v>
      </c>
      <c r="M105" s="34">
        <f t="shared" si="87"/>
        <v>150000</v>
      </c>
      <c r="N105" s="96">
        <v>50000</v>
      </c>
      <c r="O105" s="96">
        <v>50000</v>
      </c>
      <c r="P105" s="96">
        <v>50000</v>
      </c>
      <c r="Q105" s="34">
        <f t="shared" si="88"/>
        <v>150000</v>
      </c>
      <c r="R105" s="96">
        <v>50000</v>
      </c>
      <c r="S105" s="96">
        <v>50000</v>
      </c>
      <c r="T105" s="96">
        <v>50000</v>
      </c>
      <c r="U105" s="34">
        <f t="shared" si="89"/>
        <v>150000</v>
      </c>
      <c r="V105" s="34">
        <f t="shared" si="90"/>
        <v>550000</v>
      </c>
    </row>
    <row r="106" spans="1:22" ht="13.15" outlineLevel="1">
      <c r="A106" s="24"/>
      <c r="B106" s="29" t="s">
        <v>19</v>
      </c>
      <c r="C106" s="30"/>
      <c r="D106" s="30"/>
      <c r="E106" s="10"/>
      <c r="F106" s="45">
        <f>SUM(F99:F105)</f>
        <v>0</v>
      </c>
      <c r="G106" s="45">
        <f>SUM(G99:G105)</f>
        <v>50000</v>
      </c>
      <c r="H106" s="45">
        <f>SUM(H99:H105)</f>
        <v>50000</v>
      </c>
      <c r="I106" s="35">
        <f t="shared" ref="I106:L106" si="91">SUM(I99:I105)</f>
        <v>100000</v>
      </c>
      <c r="J106" s="45">
        <f t="shared" si="91"/>
        <v>50000</v>
      </c>
      <c r="K106" s="45">
        <f t="shared" si="91"/>
        <v>50000</v>
      </c>
      <c r="L106" s="45">
        <f t="shared" si="91"/>
        <v>50000</v>
      </c>
      <c r="M106" s="35">
        <f t="shared" ref="M106:P106" si="92">SUM(M99:M105)</f>
        <v>150000</v>
      </c>
      <c r="N106" s="45">
        <f t="shared" si="92"/>
        <v>50000</v>
      </c>
      <c r="O106" s="45">
        <f t="shared" si="92"/>
        <v>50000</v>
      </c>
      <c r="P106" s="45">
        <f t="shared" si="92"/>
        <v>50000</v>
      </c>
      <c r="Q106" s="35">
        <f t="shared" ref="Q106" si="93">SUM(Q99:Q105)</f>
        <v>150000</v>
      </c>
      <c r="R106" s="45">
        <f>SUM(R99:R105)</f>
        <v>50000</v>
      </c>
      <c r="S106" s="45">
        <f>SUM(S99:S105)</f>
        <v>50000</v>
      </c>
      <c r="T106" s="45">
        <f>SUM(T99:T105)</f>
        <v>50000</v>
      </c>
      <c r="U106" s="35">
        <f t="shared" ref="U106" si="94">SUM(U99:U105)</f>
        <v>150000</v>
      </c>
      <c r="V106" s="35">
        <f t="shared" si="90"/>
        <v>550000</v>
      </c>
    </row>
    <row r="107" spans="1:22" ht="13.15" outlineLevel="2">
      <c r="A107" s="24"/>
      <c r="B107" s="26" t="s">
        <v>20</v>
      </c>
      <c r="C107" s="27"/>
      <c r="D107" s="27"/>
      <c r="E107" s="9"/>
      <c r="F107" s="129"/>
      <c r="G107" s="129"/>
      <c r="H107" s="129"/>
      <c r="I107" s="36"/>
      <c r="J107" s="129"/>
      <c r="K107" s="129"/>
      <c r="L107" s="129"/>
      <c r="M107" s="36"/>
      <c r="N107" s="129"/>
      <c r="O107" s="129"/>
      <c r="P107" s="129"/>
      <c r="Q107" s="36"/>
      <c r="R107" s="129"/>
      <c r="S107" s="129"/>
      <c r="T107" s="129"/>
      <c r="U107" s="36"/>
      <c r="V107" s="36"/>
    </row>
    <row r="108" spans="1:22" ht="13.15" outlineLevel="2">
      <c r="A108" s="24"/>
      <c r="B108" s="27"/>
      <c r="C108" s="28" t="s">
        <v>29</v>
      </c>
      <c r="D108" s="27"/>
      <c r="E108" s="9">
        <v>0</v>
      </c>
      <c r="F108" s="96"/>
      <c r="G108" s="96"/>
      <c r="H108" s="96"/>
      <c r="I108" s="34">
        <f t="shared" ref="I108:I112" si="95">SUM(F108:H108)</f>
        <v>0</v>
      </c>
      <c r="J108" s="96"/>
      <c r="K108" s="96"/>
      <c r="L108" s="96"/>
      <c r="M108" s="34">
        <f t="shared" ref="M108:M112" si="96">SUM(J108:L108)</f>
        <v>0</v>
      </c>
      <c r="N108" s="96"/>
      <c r="O108" s="96"/>
      <c r="P108" s="96"/>
      <c r="Q108" s="34">
        <f t="shared" ref="Q108:Q112" si="97">SUM(N108:P108)</f>
        <v>0</v>
      </c>
      <c r="R108" s="96"/>
      <c r="S108" s="96"/>
      <c r="T108" s="96"/>
      <c r="U108" s="34">
        <f t="shared" ref="U108:U112" si="98">SUM(R108:T108)</f>
        <v>0</v>
      </c>
      <c r="V108" s="34">
        <f t="shared" ref="V108:V115" si="99">I108+M108+Q108+U108</f>
        <v>0</v>
      </c>
    </row>
    <row r="109" spans="1:22" ht="13.15" outlineLevel="2">
      <c r="A109" s="24"/>
      <c r="B109" s="27"/>
      <c r="C109" s="28" t="s">
        <v>33</v>
      </c>
      <c r="D109" s="27"/>
      <c r="E109" s="9">
        <v>0</v>
      </c>
      <c r="F109" s="96"/>
      <c r="G109" s="96"/>
      <c r="H109" s="96"/>
      <c r="I109" s="34">
        <f t="shared" si="95"/>
        <v>0</v>
      </c>
      <c r="J109" s="96"/>
      <c r="K109" s="96"/>
      <c r="L109" s="96"/>
      <c r="M109" s="34">
        <f t="shared" si="96"/>
        <v>0</v>
      </c>
      <c r="N109" s="96"/>
      <c r="O109" s="96"/>
      <c r="P109" s="96"/>
      <c r="Q109" s="34">
        <f t="shared" si="97"/>
        <v>0</v>
      </c>
      <c r="R109" s="96"/>
      <c r="S109" s="96"/>
      <c r="T109" s="96"/>
      <c r="U109" s="34">
        <f t="shared" si="98"/>
        <v>0</v>
      </c>
      <c r="V109" s="34">
        <f t="shared" si="99"/>
        <v>0</v>
      </c>
    </row>
    <row r="110" spans="1:22" ht="13.15" outlineLevel="2">
      <c r="A110" s="24"/>
      <c r="B110" s="27"/>
      <c r="C110" s="28" t="s">
        <v>95</v>
      </c>
      <c r="D110" s="27"/>
      <c r="E110" s="9"/>
      <c r="F110" s="96"/>
      <c r="G110" s="96"/>
      <c r="H110" s="96"/>
      <c r="I110" s="34">
        <f t="shared" si="95"/>
        <v>0</v>
      </c>
      <c r="J110" s="96"/>
      <c r="K110" s="96"/>
      <c r="L110" s="96"/>
      <c r="M110" s="34">
        <f t="shared" si="96"/>
        <v>0</v>
      </c>
      <c r="N110" s="96"/>
      <c r="O110" s="96"/>
      <c r="P110" s="96"/>
      <c r="Q110" s="34">
        <f t="shared" si="97"/>
        <v>0</v>
      </c>
      <c r="R110" s="96"/>
      <c r="S110" s="96"/>
      <c r="T110" s="96"/>
      <c r="U110" s="34">
        <f t="shared" si="98"/>
        <v>0</v>
      </c>
      <c r="V110" s="34">
        <f t="shared" si="99"/>
        <v>0</v>
      </c>
    </row>
    <row r="111" spans="1:22" ht="13.15" outlineLevel="2">
      <c r="A111" s="24"/>
      <c r="B111" s="27"/>
      <c r="C111" s="28" t="s">
        <v>63</v>
      </c>
      <c r="D111" s="27"/>
      <c r="E111" s="9"/>
      <c r="F111" s="96"/>
      <c r="G111" s="96"/>
      <c r="H111" s="96"/>
      <c r="I111" s="34">
        <f t="shared" si="95"/>
        <v>0</v>
      </c>
      <c r="J111" s="96"/>
      <c r="K111" s="96"/>
      <c r="L111" s="96"/>
      <c r="M111" s="34">
        <f t="shared" si="96"/>
        <v>0</v>
      </c>
      <c r="N111" s="96"/>
      <c r="O111" s="96"/>
      <c r="P111" s="96"/>
      <c r="Q111" s="34">
        <f t="shared" si="97"/>
        <v>0</v>
      </c>
      <c r="R111" s="96"/>
      <c r="S111" s="96"/>
      <c r="T111" s="96"/>
      <c r="U111" s="34">
        <f t="shared" si="98"/>
        <v>0</v>
      </c>
      <c r="V111" s="34">
        <f t="shared" si="99"/>
        <v>0</v>
      </c>
    </row>
    <row r="112" spans="1:22" ht="13.15" outlineLevel="2">
      <c r="A112" s="24"/>
      <c r="B112" s="27"/>
      <c r="C112" s="28" t="s">
        <v>153</v>
      </c>
      <c r="D112" s="27"/>
      <c r="E112" s="9">
        <v>0</v>
      </c>
      <c r="F112" s="96"/>
      <c r="G112" s="96"/>
      <c r="H112" s="96"/>
      <c r="I112" s="34">
        <f t="shared" si="95"/>
        <v>0</v>
      </c>
      <c r="J112" s="96"/>
      <c r="K112" s="96"/>
      <c r="L112" s="96"/>
      <c r="M112" s="34">
        <f t="shared" si="96"/>
        <v>0</v>
      </c>
      <c r="N112" s="96"/>
      <c r="O112" s="96"/>
      <c r="P112" s="96"/>
      <c r="Q112" s="34">
        <f t="shared" si="97"/>
        <v>0</v>
      </c>
      <c r="R112" s="96"/>
      <c r="S112" s="96"/>
      <c r="T112" s="96"/>
      <c r="U112" s="34">
        <f t="shared" si="98"/>
        <v>0</v>
      </c>
      <c r="V112" s="34">
        <f t="shared" si="99"/>
        <v>0</v>
      </c>
    </row>
    <row r="113" spans="1:22" ht="13.15" outlineLevel="1">
      <c r="A113" s="24"/>
      <c r="B113" s="30" t="s">
        <v>21</v>
      </c>
      <c r="C113" s="30"/>
      <c r="D113" s="30"/>
      <c r="E113" s="10"/>
      <c r="F113" s="45">
        <f t="shared" ref="F113:U113" si="100">SUM(F108:F112)</f>
        <v>0</v>
      </c>
      <c r="G113" s="45">
        <f t="shared" si="100"/>
        <v>0</v>
      </c>
      <c r="H113" s="45">
        <f t="shared" si="100"/>
        <v>0</v>
      </c>
      <c r="I113" s="35">
        <f t="shared" si="100"/>
        <v>0</v>
      </c>
      <c r="J113" s="45">
        <f t="shared" si="100"/>
        <v>0</v>
      </c>
      <c r="K113" s="45">
        <f t="shared" si="100"/>
        <v>0</v>
      </c>
      <c r="L113" s="45">
        <f t="shared" si="100"/>
        <v>0</v>
      </c>
      <c r="M113" s="35">
        <f t="shared" si="100"/>
        <v>0</v>
      </c>
      <c r="N113" s="45">
        <f t="shared" si="100"/>
        <v>0</v>
      </c>
      <c r="O113" s="45">
        <f t="shared" si="100"/>
        <v>0</v>
      </c>
      <c r="P113" s="45">
        <f t="shared" si="100"/>
        <v>0</v>
      </c>
      <c r="Q113" s="35">
        <f t="shared" si="100"/>
        <v>0</v>
      </c>
      <c r="R113" s="45">
        <f t="shared" si="100"/>
        <v>0</v>
      </c>
      <c r="S113" s="45">
        <f t="shared" si="100"/>
        <v>0</v>
      </c>
      <c r="T113" s="45">
        <f t="shared" si="100"/>
        <v>0</v>
      </c>
      <c r="U113" s="35">
        <f t="shared" si="100"/>
        <v>0</v>
      </c>
      <c r="V113" s="35">
        <f t="shared" si="99"/>
        <v>0</v>
      </c>
    </row>
    <row r="114" spans="1:22" ht="13.15">
      <c r="A114" s="24"/>
      <c r="B114" s="24"/>
      <c r="C114" s="24"/>
      <c r="D114" s="24" t="s">
        <v>22</v>
      </c>
      <c r="E114" s="8"/>
      <c r="F114" s="44">
        <f>F88+F89+F97+F106+F113</f>
        <v>0</v>
      </c>
      <c r="G114" s="44">
        <f>G88+G89+G97+G106+G113</f>
        <v>50000</v>
      </c>
      <c r="H114" s="44">
        <f>H88+H89+H97+H106+H113</f>
        <v>50000</v>
      </c>
      <c r="I114" s="35">
        <f>I113+I106+I97+I89+I88</f>
        <v>100000</v>
      </c>
      <c r="J114" s="44">
        <f>J88+J89+J97+J106+J113</f>
        <v>50000</v>
      </c>
      <c r="K114" s="44">
        <f>K88+K89+K97+K106+K113</f>
        <v>50000</v>
      </c>
      <c r="L114" s="44">
        <f>L88+L89+L97+L106+L113</f>
        <v>50000</v>
      </c>
      <c r="M114" s="35">
        <f>M113+M106+M97+M89+M88</f>
        <v>150000</v>
      </c>
      <c r="N114" s="44">
        <f>N88+N89+N97+N106+N113</f>
        <v>50000</v>
      </c>
      <c r="O114" s="44">
        <f>O88+O89+O97+O106+O113</f>
        <v>50000</v>
      </c>
      <c r="P114" s="44">
        <f>P88+P89+P97+P106+P113</f>
        <v>50000</v>
      </c>
      <c r="Q114" s="35">
        <f>Q113+Q106+Q97+Q89+Q88</f>
        <v>150000</v>
      </c>
      <c r="R114" s="44">
        <f>R88+R89+R97+R106+R113</f>
        <v>50000</v>
      </c>
      <c r="S114" s="44">
        <f>S88+S89+S97+S106+S113</f>
        <v>50000</v>
      </c>
      <c r="T114" s="44">
        <f>T88+T89+T97+T106+T113</f>
        <v>50000</v>
      </c>
      <c r="U114" s="35">
        <f>U113+U106+U97+U89+U88</f>
        <v>150000</v>
      </c>
      <c r="V114" s="35">
        <f t="shared" si="99"/>
        <v>550000</v>
      </c>
    </row>
    <row r="115" spans="1:22" ht="13.9">
      <c r="A115" s="11" t="s">
        <v>23</v>
      </c>
      <c r="B115" s="11"/>
      <c r="C115" s="11"/>
      <c r="D115" s="11"/>
      <c r="E115" s="12"/>
      <c r="F115" s="46">
        <f t="shared" ref="F115:U115" si="101">F114+F77</f>
        <v>12909000</v>
      </c>
      <c r="G115" s="46">
        <f t="shared" si="101"/>
        <v>12824000</v>
      </c>
      <c r="H115" s="46">
        <f t="shared" si="101"/>
        <v>12824000</v>
      </c>
      <c r="I115" s="109">
        <f t="shared" si="101"/>
        <v>38557000</v>
      </c>
      <c r="J115" s="46">
        <f t="shared" si="101"/>
        <v>12824000</v>
      </c>
      <c r="K115" s="46">
        <f t="shared" si="101"/>
        <v>12824000</v>
      </c>
      <c r="L115" s="46">
        <f t="shared" si="101"/>
        <v>12824000</v>
      </c>
      <c r="M115" s="109">
        <f t="shared" si="101"/>
        <v>38472000</v>
      </c>
      <c r="N115" s="46">
        <f t="shared" si="101"/>
        <v>12824000</v>
      </c>
      <c r="O115" s="46">
        <f t="shared" si="101"/>
        <v>12824000</v>
      </c>
      <c r="P115" s="46">
        <f t="shared" si="101"/>
        <v>12824000</v>
      </c>
      <c r="Q115" s="109">
        <f t="shared" si="101"/>
        <v>38472000</v>
      </c>
      <c r="R115" s="46">
        <f t="shared" si="101"/>
        <v>12824000</v>
      </c>
      <c r="S115" s="46">
        <f t="shared" si="101"/>
        <v>12824000</v>
      </c>
      <c r="T115" s="46">
        <f t="shared" si="101"/>
        <v>12824000</v>
      </c>
      <c r="U115" s="109">
        <f t="shared" si="101"/>
        <v>38472000</v>
      </c>
      <c r="V115" s="40">
        <f t="shared" si="99"/>
        <v>153973000</v>
      </c>
    </row>
    <row r="116" spans="1:22" s="111" customFormat="1" ht="12.75" customHeight="1">
      <c r="A116" s="462" t="s">
        <v>181</v>
      </c>
      <c r="B116" s="463"/>
      <c r="C116" s="463"/>
      <c r="D116" s="464"/>
      <c r="E116" s="8"/>
      <c r="F116" s="43"/>
      <c r="G116" s="43"/>
      <c r="H116" s="43"/>
      <c r="I116" s="34"/>
      <c r="J116" s="43"/>
      <c r="K116" s="43"/>
      <c r="L116" s="43"/>
      <c r="M116" s="34"/>
      <c r="N116" s="43"/>
      <c r="O116" s="43"/>
      <c r="P116" s="43"/>
      <c r="Q116" s="34"/>
      <c r="R116" s="43"/>
      <c r="S116" s="43"/>
      <c r="T116" s="43"/>
      <c r="U116" s="34"/>
      <c r="V116" s="34"/>
    </row>
    <row r="117" spans="1:22" s="111" customFormat="1" ht="12.75" customHeight="1">
      <c r="A117" s="125"/>
      <c r="B117" s="4"/>
      <c r="C117" s="455" t="s">
        <v>182</v>
      </c>
      <c r="D117" s="456"/>
      <c r="E117" s="8"/>
      <c r="F117" s="44">
        <f>F29-F77-F102-F104</f>
        <v>-12909000</v>
      </c>
      <c r="G117" s="44">
        <f t="shared" ref="G117:H117" si="102">G29-G77-G102-G104</f>
        <v>-12774000</v>
      </c>
      <c r="H117" s="44">
        <f t="shared" si="102"/>
        <v>-12774000</v>
      </c>
      <c r="I117" s="35">
        <f>SUM(F117:H117)</f>
        <v>-38457000</v>
      </c>
      <c r="J117" s="44">
        <f>J29-J77-J102-J104</f>
        <v>-12774000</v>
      </c>
      <c r="K117" s="44">
        <f t="shared" ref="K117:L117" si="103">K29-K77-K102-K104</f>
        <v>-12774000</v>
      </c>
      <c r="L117" s="44">
        <f t="shared" si="103"/>
        <v>-12774000</v>
      </c>
      <c r="M117" s="35">
        <f>SUM(J117:L117)</f>
        <v>-38322000</v>
      </c>
      <c r="N117" s="44">
        <f>N29-N77-N102-N104</f>
        <v>-12774000</v>
      </c>
      <c r="O117" s="44">
        <f t="shared" ref="O117:P117" si="104">O29-O77-O102-O104</f>
        <v>-12774000</v>
      </c>
      <c r="P117" s="44">
        <f t="shared" si="104"/>
        <v>-12774000</v>
      </c>
      <c r="Q117" s="35">
        <f>SUM(N117:P117)</f>
        <v>-38322000</v>
      </c>
      <c r="R117" s="44">
        <f>R29-R77-R102-R104</f>
        <v>-12774000</v>
      </c>
      <c r="S117" s="44">
        <f t="shared" ref="S117:T117" si="105">S29-S77-S102-S104</f>
        <v>-12774000</v>
      </c>
      <c r="T117" s="44">
        <f t="shared" si="105"/>
        <v>-12774000</v>
      </c>
      <c r="U117" s="35">
        <f>SUM(R117:T117)</f>
        <v>-38322000</v>
      </c>
      <c r="V117" s="35">
        <f>I117+M117+Q117+U117</f>
        <v>-153423000</v>
      </c>
    </row>
    <row r="118" spans="1:22" ht="13.15" thickBot="1">
      <c r="A118" s="14"/>
      <c r="B118" s="14"/>
      <c r="C118" s="14"/>
      <c r="D118" s="14"/>
      <c r="E118" s="15"/>
      <c r="F118" s="47"/>
      <c r="G118" s="47"/>
      <c r="H118" s="47"/>
      <c r="I118" s="37"/>
      <c r="J118" s="47"/>
      <c r="K118" s="47"/>
      <c r="L118" s="47"/>
      <c r="M118" s="37"/>
      <c r="N118" s="47"/>
      <c r="O118" s="47"/>
      <c r="P118" s="47"/>
      <c r="Q118" s="37"/>
      <c r="R118" s="47"/>
      <c r="S118" s="47"/>
      <c r="T118" s="47"/>
      <c r="U118" s="37"/>
      <c r="V118" s="37"/>
    </row>
    <row r="119" spans="1:22">
      <c r="A119" s="7"/>
      <c r="B119" s="7"/>
      <c r="C119" s="7"/>
      <c r="D119" s="7"/>
      <c r="F119" s="13"/>
      <c r="G119" s="13"/>
      <c r="H119" s="13"/>
      <c r="J119" s="13"/>
      <c r="K119" s="13"/>
      <c r="L119" s="13"/>
      <c r="N119" s="13" t="s">
        <v>86</v>
      </c>
      <c r="O119" s="13"/>
      <c r="P119" s="13"/>
      <c r="R119" s="13"/>
      <c r="S119" s="13"/>
      <c r="T119" s="13"/>
    </row>
    <row r="120" spans="1:22" ht="13.15">
      <c r="D120" s="104" t="s">
        <v>206</v>
      </c>
      <c r="F120" s="39">
        <f>F77</f>
        <v>12909000</v>
      </c>
      <c r="G120" s="39">
        <f>G77</f>
        <v>12774000</v>
      </c>
      <c r="H120" s="39">
        <f>H77</f>
        <v>12774000</v>
      </c>
      <c r="J120" s="39">
        <f>J77</f>
        <v>12774000</v>
      </c>
      <c r="K120" s="39">
        <f>K77</f>
        <v>12774000</v>
      </c>
      <c r="L120" s="39">
        <f>L77</f>
        <v>12774000</v>
      </c>
      <c r="N120" s="39">
        <f>N77</f>
        <v>12774000</v>
      </c>
      <c r="O120" s="39">
        <f>O77</f>
        <v>12774000</v>
      </c>
      <c r="P120" s="39">
        <f>P77</f>
        <v>12774000</v>
      </c>
      <c r="R120" s="39">
        <f>R77</f>
        <v>12774000</v>
      </c>
      <c r="S120" s="39">
        <f>S77</f>
        <v>12774000</v>
      </c>
      <c r="T120" s="39">
        <f>T77</f>
        <v>12774000</v>
      </c>
    </row>
    <row r="121" spans="1:22">
      <c r="D121" s="106" t="s">
        <v>232</v>
      </c>
      <c r="F121" s="199"/>
      <c r="G121" s="200"/>
      <c r="H121" s="200"/>
      <c r="I121" s="193"/>
      <c r="J121" s="163"/>
      <c r="K121" s="163"/>
      <c r="L121" s="163"/>
      <c r="N121" s="163"/>
      <c r="O121" s="163"/>
      <c r="P121" s="163"/>
      <c r="R121" s="163"/>
      <c r="S121" s="163"/>
      <c r="T121" s="163"/>
    </row>
    <row r="122" spans="1:22">
      <c r="D122" s="106" t="s">
        <v>233</v>
      </c>
      <c r="F122" s="189"/>
      <c r="G122" s="189"/>
      <c r="H122" s="189"/>
      <c r="I122" s="193"/>
      <c r="J122" s="189"/>
      <c r="K122" s="189"/>
      <c r="L122" s="189"/>
      <c r="N122" s="189"/>
      <c r="O122" s="189"/>
      <c r="P122" s="189"/>
      <c r="R122" s="189"/>
      <c r="S122" s="189"/>
      <c r="T122" s="189"/>
    </row>
  </sheetData>
  <mergeCells count="17">
    <mergeCell ref="C117:D117"/>
    <mergeCell ref="C24:D24"/>
    <mergeCell ref="C25:D25"/>
    <mergeCell ref="A26:D26"/>
    <mergeCell ref="A28:D28"/>
    <mergeCell ref="C29:D29"/>
    <mergeCell ref="A116:D116"/>
    <mergeCell ref="A15:A25"/>
    <mergeCell ref="C15:D15"/>
    <mergeCell ref="C21:D21"/>
    <mergeCell ref="C22:D22"/>
    <mergeCell ref="C23:D23"/>
    <mergeCell ref="A3:D3"/>
    <mergeCell ref="A4:A11"/>
    <mergeCell ref="B5:B10"/>
    <mergeCell ref="A12:D12"/>
    <mergeCell ref="A14:D14"/>
  </mergeCells>
  <phoneticPr fontId="8" type="noConversion"/>
  <pageMargins left="0.59055118110236227" right="0.39370078740157483" top="0.78740157480314965" bottom="0.39370078740157483" header="0.31496062992125984" footer="0.51181102362204722"/>
  <pageSetup scale="10" fitToHeight="2" orientation="portrait" r:id="rId1"/>
  <headerFooter alignWithMargins="0">
    <oddHeader>&amp;L&amp;Z&amp;F&amp;A</oddHeader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pageSetUpPr fitToPage="1"/>
  </sheetPr>
  <dimension ref="A1:AU132"/>
  <sheetViews>
    <sheetView zoomScaleNormal="100" workbookViewId="0">
      <pane xSplit="4" ySplit="2" topLeftCell="E63" activePane="bottomRight" state="frozen"/>
      <selection pane="topRight" activeCell="E1" sqref="E1"/>
      <selection pane="bottomLeft" activeCell="A3" sqref="A3"/>
      <selection pane="bottomRight" activeCell="F124" sqref="F124"/>
    </sheetView>
  </sheetViews>
  <sheetFormatPr defaultColWidth="8.87890625" defaultRowHeight="12.75" outlineLevelRow="2" outlineLevelCol="1"/>
  <cols>
    <col min="1" max="3" width="1.3515625" style="3" customWidth="1"/>
    <col min="4" max="4" width="21.1171875" style="3" customWidth="1"/>
    <col min="5" max="5" width="1.64453125" style="7" customWidth="1"/>
    <col min="6" max="6" width="10.234375" style="3" customWidth="1" outlineLevel="1"/>
    <col min="7" max="8" width="10.87890625" style="3" customWidth="1" outlineLevel="1"/>
    <col min="9" max="9" width="10.87890625" style="3" bestFit="1" customWidth="1"/>
    <col min="10" max="10" width="10.234375" style="3" customWidth="1" outlineLevel="1"/>
    <col min="11" max="12" width="10.87890625" style="3" customWidth="1" outlineLevel="1"/>
    <col min="13" max="13" width="10.87890625" style="3" bestFit="1" customWidth="1"/>
    <col min="14" max="14" width="10.234375" style="3" hidden="1" customWidth="1" outlineLevel="1"/>
    <col min="15" max="16" width="10.87890625" style="3" hidden="1" customWidth="1" outlineLevel="1"/>
    <col min="17" max="17" width="10.87890625" style="3" bestFit="1" customWidth="1" collapsed="1"/>
    <col min="18" max="20" width="10.234375" style="3" hidden="1" customWidth="1" outlineLevel="1"/>
    <col min="21" max="21" width="10.87890625" style="3" bestFit="1" customWidth="1" collapsed="1"/>
    <col min="22" max="22" width="10.87890625" style="3" bestFit="1" customWidth="1"/>
    <col min="23" max="16384" width="8.87890625" style="3"/>
  </cols>
  <sheetData>
    <row r="1" spans="1:47" ht="13.9" thickBot="1">
      <c r="A1" s="1"/>
      <c r="B1" s="1"/>
      <c r="C1" s="1"/>
      <c r="D1" s="38"/>
      <c r="E1" s="2"/>
      <c r="F1" s="18" t="s">
        <v>69</v>
      </c>
      <c r="G1" s="18" t="s">
        <v>70</v>
      </c>
      <c r="H1" s="18" t="s">
        <v>71</v>
      </c>
      <c r="I1" s="18" t="s">
        <v>72</v>
      </c>
      <c r="J1" s="18" t="s">
        <v>74</v>
      </c>
      <c r="K1" s="18" t="s">
        <v>75</v>
      </c>
      <c r="L1" s="18" t="s">
        <v>76</v>
      </c>
      <c r="M1" s="18" t="s">
        <v>77</v>
      </c>
      <c r="N1" s="18" t="s">
        <v>80</v>
      </c>
      <c r="O1" s="18" t="s">
        <v>81</v>
      </c>
      <c r="P1" s="18" t="s">
        <v>82</v>
      </c>
      <c r="Q1" s="18" t="s">
        <v>83</v>
      </c>
      <c r="R1" s="18" t="s">
        <v>88</v>
      </c>
      <c r="S1" s="18" t="s">
        <v>91</v>
      </c>
      <c r="T1" s="18" t="s">
        <v>92</v>
      </c>
      <c r="U1" s="18" t="s">
        <v>89</v>
      </c>
      <c r="V1" s="18">
        <v>2026</v>
      </c>
      <c r="AU1" s="4"/>
    </row>
    <row r="2" spans="1:47" ht="13.5" thickBot="1">
      <c r="A2" s="5"/>
      <c r="B2" s="5"/>
      <c r="C2" s="5"/>
      <c r="D2" s="6"/>
      <c r="E2" s="2"/>
      <c r="F2" s="110" t="s">
        <v>24</v>
      </c>
      <c r="G2" s="110" t="s">
        <v>24</v>
      </c>
      <c r="H2" s="110" t="s">
        <v>24</v>
      </c>
      <c r="I2" s="137" t="s">
        <v>25</v>
      </c>
      <c r="J2" s="110" t="s">
        <v>24</v>
      </c>
      <c r="K2" s="110" t="s">
        <v>24</v>
      </c>
      <c r="L2" s="110" t="s">
        <v>24</v>
      </c>
      <c r="M2" s="137" t="s">
        <v>25</v>
      </c>
      <c r="N2" s="110" t="s">
        <v>24</v>
      </c>
      <c r="O2" s="110" t="s">
        <v>24</v>
      </c>
      <c r="P2" s="110" t="s">
        <v>24</v>
      </c>
      <c r="Q2" s="137" t="s">
        <v>25</v>
      </c>
      <c r="R2" s="110" t="s">
        <v>24</v>
      </c>
      <c r="S2" s="110" t="s">
        <v>24</v>
      </c>
      <c r="T2" s="110" t="s">
        <v>24</v>
      </c>
      <c r="U2" s="137" t="s">
        <v>25</v>
      </c>
      <c r="V2" s="137" t="s">
        <v>25</v>
      </c>
    </row>
    <row r="3" spans="1:47" s="111" customFormat="1" ht="12.75" customHeight="1">
      <c r="A3" s="447" t="s">
        <v>159</v>
      </c>
      <c r="B3" s="448"/>
      <c r="C3" s="448"/>
      <c r="D3" s="449"/>
      <c r="E3" s="2"/>
      <c r="F3" s="133"/>
      <c r="G3" s="133"/>
      <c r="H3" s="133"/>
      <c r="I3" s="34"/>
      <c r="J3" s="133"/>
      <c r="K3" s="133"/>
      <c r="L3" s="133"/>
      <c r="M3" s="34"/>
      <c r="N3" s="133"/>
      <c r="O3" s="133"/>
      <c r="P3" s="133"/>
      <c r="Q3" s="34"/>
      <c r="R3" s="133"/>
      <c r="S3" s="133"/>
      <c r="T3" s="133"/>
      <c r="U3" s="34"/>
      <c r="V3" s="134"/>
    </row>
    <row r="4" spans="1:47" s="111" customFormat="1" ht="12.75" customHeight="1">
      <c r="A4" s="450"/>
      <c r="B4" s="112" t="s">
        <v>160</v>
      </c>
      <c r="C4" s="112"/>
      <c r="D4" s="113"/>
      <c r="E4" s="2"/>
      <c r="F4" s="43"/>
      <c r="G4" s="43"/>
      <c r="H4" s="43"/>
      <c r="I4" s="34"/>
      <c r="J4" s="43"/>
      <c r="K4" s="43"/>
      <c r="L4" s="43"/>
      <c r="M4" s="34"/>
      <c r="N4" s="43"/>
      <c r="O4" s="43"/>
      <c r="P4" s="43"/>
      <c r="Q4" s="34"/>
      <c r="R4" s="43"/>
      <c r="S4" s="43"/>
      <c r="T4" s="43"/>
      <c r="U4" s="34"/>
      <c r="V4" s="34"/>
    </row>
    <row r="5" spans="1:47" s="111" customFormat="1" ht="12.75" customHeight="1" outlineLevel="1">
      <c r="A5" s="450"/>
      <c r="B5" s="451"/>
      <c r="C5" s="114"/>
      <c r="D5" s="115" t="s">
        <v>161</v>
      </c>
      <c r="E5" s="7">
        <v>1</v>
      </c>
      <c r="F5" s="43">
        <f>'EST1'!F5+'EST2'!F5+'EST3'!F5+JHAHN!F5</f>
        <v>0</v>
      </c>
      <c r="G5" s="43">
        <f>'EST1'!G5+'EST2'!G5+'EST3'!G5+JHAHN!G5</f>
        <v>0</v>
      </c>
      <c r="H5" s="43">
        <f>'EST1'!H5+'EST2'!H5+'EST3'!H5+JHAHN!H5</f>
        <v>0</v>
      </c>
      <c r="I5" s="34">
        <f t="shared" ref="I5:I10" si="0">H5+G5+F5</f>
        <v>0</v>
      </c>
      <c r="J5" s="43">
        <f>'EST1'!J5+'EST2'!J5+'EST3'!J5+JHAHN!J5</f>
        <v>0</v>
      </c>
      <c r="K5" s="43">
        <f>'EST1'!K5+'EST2'!K5+'EST3'!K5+JHAHN!K5</f>
        <v>0</v>
      </c>
      <c r="L5" s="43">
        <f>'EST1'!L5+'EST2'!L5+'EST3'!L5+JHAHN!L5</f>
        <v>0</v>
      </c>
      <c r="M5" s="34">
        <f t="shared" ref="M5:M10" si="1">L5+K5+J5</f>
        <v>0</v>
      </c>
      <c r="N5" s="43">
        <f>'EST1'!N5+'EST2'!N5+'EST3'!N5+JHAHN!N5</f>
        <v>0</v>
      </c>
      <c r="O5" s="43">
        <f>'EST1'!O5+'EST2'!O5+'EST3'!O5+JHAHN!O5</f>
        <v>0</v>
      </c>
      <c r="P5" s="43">
        <f>'EST1'!P5+'EST2'!P5+'EST3'!P5+JHAHN!P5</f>
        <v>0</v>
      </c>
      <c r="Q5" s="34">
        <f t="shared" ref="Q5:Q10" si="2">P5+O5+N5</f>
        <v>0</v>
      </c>
      <c r="R5" s="43">
        <f>'EST1'!R5+'EST2'!R5+'EST3'!R5+JHAHN!R5</f>
        <v>0</v>
      </c>
      <c r="S5" s="43">
        <f>'EST1'!S5+'EST2'!S5+'EST3'!S5+JHAHN!S5</f>
        <v>0</v>
      </c>
      <c r="T5" s="43">
        <f>'EST1'!T5+'EST2'!T5+'EST3'!T5+JHAHN!T5</f>
        <v>0</v>
      </c>
      <c r="U5" s="34">
        <f t="shared" ref="U5:U10" si="3">T5+S5+R5</f>
        <v>0</v>
      </c>
      <c r="V5" s="34">
        <f t="shared" ref="V5:V10" si="4">U5+Q5+M5+I5</f>
        <v>0</v>
      </c>
    </row>
    <row r="6" spans="1:47" s="111" customFormat="1" ht="12.75" customHeight="1" outlineLevel="1">
      <c r="A6" s="450"/>
      <c r="B6" s="451"/>
      <c r="C6" s="116"/>
      <c r="D6" s="117" t="s">
        <v>162</v>
      </c>
      <c r="E6" s="7">
        <v>1</v>
      </c>
      <c r="F6" s="43">
        <f>'EST1'!F6+'EST2'!F6+'EST3'!F6+JHAHN!F6</f>
        <v>0</v>
      </c>
      <c r="G6" s="43">
        <f>'EST1'!G6+'EST2'!G6+'EST3'!G6+JHAHN!G6</f>
        <v>0</v>
      </c>
      <c r="H6" s="43">
        <f>'EST1'!H6+'EST2'!H6+'EST3'!H6+JHAHN!H6</f>
        <v>0</v>
      </c>
      <c r="I6" s="34">
        <f t="shared" si="0"/>
        <v>0</v>
      </c>
      <c r="J6" s="43">
        <f>'EST1'!J6+'EST2'!J6+'EST3'!J6+JHAHN!J6</f>
        <v>0</v>
      </c>
      <c r="K6" s="43">
        <f>'EST1'!K6+'EST2'!K6+'EST3'!K6+JHAHN!K6</f>
        <v>0</v>
      </c>
      <c r="L6" s="43">
        <f>'EST1'!L6+'EST2'!L6+'EST3'!L6+JHAHN!L6</f>
        <v>0</v>
      </c>
      <c r="M6" s="34">
        <f t="shared" si="1"/>
        <v>0</v>
      </c>
      <c r="N6" s="43">
        <f>'EST1'!N6+'EST2'!N6+'EST3'!N6+JHAHN!N6</f>
        <v>0</v>
      </c>
      <c r="O6" s="43">
        <f>'EST1'!O6+'EST2'!O6+'EST3'!O6+JHAHN!O6</f>
        <v>0</v>
      </c>
      <c r="P6" s="43">
        <f>'EST1'!P6+'EST2'!P6+'EST3'!P6+JHAHN!P6</f>
        <v>0</v>
      </c>
      <c r="Q6" s="34">
        <f t="shared" si="2"/>
        <v>0</v>
      </c>
      <c r="R6" s="43">
        <f>'EST1'!R6+'EST2'!R6+'EST3'!R6+JHAHN!R6</f>
        <v>0</v>
      </c>
      <c r="S6" s="43">
        <f>'EST1'!S6+'EST2'!S6+'EST3'!S6+JHAHN!S6</f>
        <v>0</v>
      </c>
      <c r="T6" s="43">
        <f>'EST1'!T6+'EST2'!T6+'EST3'!T6+JHAHN!T6</f>
        <v>0</v>
      </c>
      <c r="U6" s="34">
        <f t="shared" si="3"/>
        <v>0</v>
      </c>
      <c r="V6" s="34">
        <f t="shared" si="4"/>
        <v>0</v>
      </c>
    </row>
    <row r="7" spans="1:47" s="111" customFormat="1" ht="12.75" customHeight="1" outlineLevel="1">
      <c r="A7" s="450"/>
      <c r="B7" s="451"/>
      <c r="C7" s="116"/>
      <c r="D7" s="117" t="s">
        <v>163</v>
      </c>
      <c r="E7" s="7">
        <v>1</v>
      </c>
      <c r="F7" s="43">
        <f>'EST1'!F7+'EST2'!F7+'EST3'!F7+JHAHN!F7</f>
        <v>0</v>
      </c>
      <c r="G7" s="43">
        <f>'EST1'!G7+'EST2'!G7+'EST3'!G7+JHAHN!G7</f>
        <v>0</v>
      </c>
      <c r="H7" s="43">
        <f>'EST1'!H7+'EST2'!H7+'EST3'!H7+JHAHN!H7</f>
        <v>0</v>
      </c>
      <c r="I7" s="34">
        <f t="shared" si="0"/>
        <v>0</v>
      </c>
      <c r="J7" s="43">
        <f>'EST1'!J7+'EST2'!J7+'EST3'!J7+JHAHN!J7</f>
        <v>0</v>
      </c>
      <c r="K7" s="43">
        <f>'EST1'!K7+'EST2'!K7+'EST3'!K7+JHAHN!K7</f>
        <v>0</v>
      </c>
      <c r="L7" s="43">
        <f>'EST1'!L7+'EST2'!L7+'EST3'!L7+JHAHN!L7</f>
        <v>0</v>
      </c>
      <c r="M7" s="34">
        <f t="shared" si="1"/>
        <v>0</v>
      </c>
      <c r="N7" s="43">
        <f>'EST1'!N7+'EST2'!N7+'EST3'!N7+JHAHN!N7</f>
        <v>0</v>
      </c>
      <c r="O7" s="43">
        <f>'EST1'!O7+'EST2'!O7+'EST3'!O7+JHAHN!O7</f>
        <v>0</v>
      </c>
      <c r="P7" s="43">
        <f>'EST1'!P7+'EST2'!P7+'EST3'!P7+JHAHN!P7</f>
        <v>0</v>
      </c>
      <c r="Q7" s="34">
        <f t="shared" si="2"/>
        <v>0</v>
      </c>
      <c r="R7" s="43">
        <f>'EST1'!R7+'EST2'!R7+'EST3'!R7+JHAHN!R7</f>
        <v>0</v>
      </c>
      <c r="S7" s="43">
        <f>'EST1'!S7+'EST2'!S7+'EST3'!S7+JHAHN!S7</f>
        <v>0</v>
      </c>
      <c r="T7" s="43">
        <f>'EST1'!T7+'EST2'!T7+'EST3'!T7+JHAHN!T7</f>
        <v>0</v>
      </c>
      <c r="U7" s="34">
        <f t="shared" si="3"/>
        <v>0</v>
      </c>
      <c r="V7" s="34">
        <f t="shared" si="4"/>
        <v>0</v>
      </c>
    </row>
    <row r="8" spans="1:47" s="111" customFormat="1" ht="12.75" customHeight="1" outlineLevel="1">
      <c r="A8" s="450"/>
      <c r="B8" s="451"/>
      <c r="C8" s="116"/>
      <c r="D8" s="118" t="s">
        <v>164</v>
      </c>
      <c r="E8" s="7"/>
      <c r="F8" s="43">
        <f>'EST1'!F8+'EST2'!F8+'EST3'!F8+JHAHN!F8</f>
        <v>0</v>
      </c>
      <c r="G8" s="43">
        <f>'EST1'!G8+'EST2'!G8+'EST3'!G8+JHAHN!G8</f>
        <v>0</v>
      </c>
      <c r="H8" s="43">
        <f>'EST1'!H8+'EST2'!H8+'EST3'!H8+JHAHN!H8</f>
        <v>0</v>
      </c>
      <c r="I8" s="34">
        <f t="shared" si="0"/>
        <v>0</v>
      </c>
      <c r="J8" s="43">
        <f>'EST1'!J8+'EST2'!J8+'EST3'!J8+JHAHN!J8</f>
        <v>0</v>
      </c>
      <c r="K8" s="43">
        <f>'EST1'!K8+'EST2'!K8+'EST3'!K8+JHAHN!K8</f>
        <v>0</v>
      </c>
      <c r="L8" s="43">
        <f>'EST1'!L8+'EST2'!L8+'EST3'!L8+JHAHN!L8</f>
        <v>0</v>
      </c>
      <c r="M8" s="34">
        <f t="shared" si="1"/>
        <v>0</v>
      </c>
      <c r="N8" s="43">
        <f>'EST1'!N8+'EST2'!N8+'EST3'!N8+JHAHN!N8</f>
        <v>0</v>
      </c>
      <c r="O8" s="43">
        <f>'EST1'!O8+'EST2'!O8+'EST3'!O8+JHAHN!O8</f>
        <v>0</v>
      </c>
      <c r="P8" s="43">
        <f>'EST1'!P8+'EST2'!P8+'EST3'!P8+JHAHN!P8</f>
        <v>0</v>
      </c>
      <c r="Q8" s="34">
        <f t="shared" si="2"/>
        <v>0</v>
      </c>
      <c r="R8" s="43">
        <f>'EST1'!R8+'EST2'!R8+'EST3'!R8+JHAHN!R8</f>
        <v>0</v>
      </c>
      <c r="S8" s="43">
        <f>'EST1'!S8+'EST2'!S8+'EST3'!S8+JHAHN!S8</f>
        <v>0</v>
      </c>
      <c r="T8" s="43">
        <f>'EST1'!T8+'EST2'!T8+'EST3'!T8+JHAHN!T8</f>
        <v>0</v>
      </c>
      <c r="U8" s="34">
        <f t="shared" si="3"/>
        <v>0</v>
      </c>
      <c r="V8" s="34">
        <f t="shared" si="4"/>
        <v>0</v>
      </c>
    </row>
    <row r="9" spans="1:47" s="111" customFormat="1" ht="12.75" customHeight="1" outlineLevel="1">
      <c r="A9" s="450"/>
      <c r="B9" s="451"/>
      <c r="C9" s="116"/>
      <c r="D9" s="117" t="s">
        <v>166</v>
      </c>
      <c r="E9" s="7"/>
      <c r="F9" s="43">
        <f>'EST1'!F9+'EST2'!F9+'EST3'!F9+JHAHN!F9</f>
        <v>0</v>
      </c>
      <c r="G9" s="43">
        <f>'EST1'!G9+'EST2'!G9+'EST3'!G9+JHAHN!G9</f>
        <v>121000000</v>
      </c>
      <c r="H9" s="43">
        <f>'EST1'!H9+'EST2'!H9+'EST3'!H9+JHAHN!H9</f>
        <v>121000000</v>
      </c>
      <c r="I9" s="34">
        <f t="shared" si="0"/>
        <v>242000000</v>
      </c>
      <c r="J9" s="43">
        <f>'EST1'!J9+'EST2'!J9+'EST3'!J9+JHAHN!J9</f>
        <v>121000000</v>
      </c>
      <c r="K9" s="43">
        <f>'EST1'!K9+'EST2'!K9+'EST3'!K9+JHAHN!K9</f>
        <v>121000000</v>
      </c>
      <c r="L9" s="43">
        <f>'EST1'!L9+'EST2'!L9+'EST3'!L9+JHAHN!L9</f>
        <v>121000000</v>
      </c>
      <c r="M9" s="34">
        <f t="shared" si="1"/>
        <v>363000000</v>
      </c>
      <c r="N9" s="43">
        <f>'EST1'!N9+'EST2'!N9+'EST3'!N9+JHAHN!N9</f>
        <v>121000000</v>
      </c>
      <c r="O9" s="43">
        <f>'EST1'!O9+'EST2'!O9+'EST3'!O9+JHAHN!O9</f>
        <v>121000000</v>
      </c>
      <c r="P9" s="43">
        <f>'EST1'!P9+'EST2'!P9+'EST3'!P9+JHAHN!P9</f>
        <v>121000000</v>
      </c>
      <c r="Q9" s="34">
        <f t="shared" si="2"/>
        <v>363000000</v>
      </c>
      <c r="R9" s="43">
        <f>'EST1'!R9+'EST2'!R9+'EST3'!R9+JHAHN!R9</f>
        <v>121000000</v>
      </c>
      <c r="S9" s="43">
        <f>'EST1'!S9+'EST2'!S9+'EST3'!S9+JHAHN!S9</f>
        <v>121000000</v>
      </c>
      <c r="T9" s="43">
        <f>'EST1'!T9+'EST2'!T9+'EST3'!T9+JHAHN!T9</f>
        <v>121000000</v>
      </c>
      <c r="U9" s="34">
        <f t="shared" si="3"/>
        <v>363000000</v>
      </c>
      <c r="V9" s="34">
        <f t="shared" si="4"/>
        <v>1331000000</v>
      </c>
    </row>
    <row r="10" spans="1:47" s="111" customFormat="1" ht="12.75" customHeight="1" outlineLevel="1">
      <c r="A10" s="450"/>
      <c r="B10" s="451"/>
      <c r="C10" s="116"/>
      <c r="D10" s="117" t="s">
        <v>165</v>
      </c>
      <c r="E10" s="7"/>
      <c r="F10" s="43">
        <f>'EST1'!F10+'EST2'!F10+'EST3'!F10+JHAHN!F10</f>
        <v>0</v>
      </c>
      <c r="G10" s="43">
        <f>'EST1'!G10+'EST2'!G10+'EST3'!G10+JHAHN!G10</f>
        <v>5000000</v>
      </c>
      <c r="H10" s="43">
        <f>'EST1'!H10+'EST2'!H10+'EST3'!H10+JHAHN!H10</f>
        <v>5000000</v>
      </c>
      <c r="I10" s="34">
        <f t="shared" si="0"/>
        <v>10000000</v>
      </c>
      <c r="J10" s="43">
        <f>'EST1'!J10+'EST2'!J10+'EST3'!J10+JHAHN!J10</f>
        <v>5000000</v>
      </c>
      <c r="K10" s="43">
        <f>'EST1'!K10+'EST2'!K10+'EST3'!K10+JHAHN!K10</f>
        <v>5000000</v>
      </c>
      <c r="L10" s="43">
        <f>'EST1'!L10+'EST2'!L10+'EST3'!L10+JHAHN!L10</f>
        <v>5000000</v>
      </c>
      <c r="M10" s="34">
        <f t="shared" si="1"/>
        <v>15000000</v>
      </c>
      <c r="N10" s="43">
        <f>'EST1'!N10+'EST2'!N10+'EST3'!N10+JHAHN!N10</f>
        <v>5000000</v>
      </c>
      <c r="O10" s="43">
        <f>'EST1'!O10+'EST2'!O10+'EST3'!O10+JHAHN!O10</f>
        <v>5000000</v>
      </c>
      <c r="P10" s="43">
        <f>'EST1'!P10+'EST2'!P10+'EST3'!P10+JHAHN!P10</f>
        <v>5000000</v>
      </c>
      <c r="Q10" s="34">
        <f t="shared" si="2"/>
        <v>15000000</v>
      </c>
      <c r="R10" s="43">
        <f>'EST1'!R10+'EST2'!R10+'EST3'!R10+JHAHN!R10</f>
        <v>5000000</v>
      </c>
      <c r="S10" s="43">
        <f>'EST1'!S10+'EST2'!S10+'EST3'!S10+JHAHN!S10</f>
        <v>5000000</v>
      </c>
      <c r="T10" s="43">
        <f>'EST1'!T10+'EST2'!T10+'EST3'!T10+JHAHN!T10</f>
        <v>5000000</v>
      </c>
      <c r="U10" s="34">
        <f t="shared" si="3"/>
        <v>15000000</v>
      </c>
      <c r="V10" s="34">
        <f t="shared" si="4"/>
        <v>55000000</v>
      </c>
    </row>
    <row r="11" spans="1:47" s="111" customFormat="1" ht="6.75" customHeight="1">
      <c r="A11" s="450"/>
      <c r="B11" s="4"/>
      <c r="C11" s="4"/>
      <c r="D11" s="119"/>
      <c r="E11" s="120"/>
      <c r="F11" s="43"/>
      <c r="G11" s="43"/>
      <c r="H11" s="43"/>
      <c r="I11" s="34"/>
      <c r="J11" s="43"/>
      <c r="K11" s="43"/>
      <c r="L11" s="43"/>
      <c r="M11" s="34"/>
      <c r="N11" s="43"/>
      <c r="O11" s="43"/>
      <c r="P11" s="43"/>
      <c r="Q11" s="34"/>
      <c r="R11" s="43"/>
      <c r="S11" s="43"/>
      <c r="T11" s="43"/>
      <c r="U11" s="34"/>
      <c r="V11" s="34"/>
    </row>
    <row r="12" spans="1:47" s="111" customFormat="1" ht="12.75" customHeight="1">
      <c r="A12" s="447" t="s">
        <v>167</v>
      </c>
      <c r="B12" s="448"/>
      <c r="C12" s="448"/>
      <c r="D12" s="449"/>
      <c r="E12" s="8"/>
      <c r="F12" s="44">
        <f t="shared" ref="F12:V12" si="5">SUM(F5:F10)</f>
        <v>0</v>
      </c>
      <c r="G12" s="44">
        <f t="shared" ref="G12:H12" si="6">SUM(G5:G10)</f>
        <v>126000000</v>
      </c>
      <c r="H12" s="44">
        <f t="shared" si="6"/>
        <v>126000000</v>
      </c>
      <c r="I12" s="35">
        <f t="shared" si="5"/>
        <v>252000000</v>
      </c>
      <c r="J12" s="44">
        <f t="shared" ref="J12:L12" si="7">SUM(J5:J10)</f>
        <v>126000000</v>
      </c>
      <c r="K12" s="44">
        <f t="shared" si="7"/>
        <v>126000000</v>
      </c>
      <c r="L12" s="44">
        <f t="shared" si="7"/>
        <v>126000000</v>
      </c>
      <c r="M12" s="35">
        <f t="shared" si="5"/>
        <v>378000000</v>
      </c>
      <c r="N12" s="44">
        <f t="shared" ref="N12:P12" si="8">SUM(N5:N10)</f>
        <v>126000000</v>
      </c>
      <c r="O12" s="44">
        <f t="shared" si="8"/>
        <v>126000000</v>
      </c>
      <c r="P12" s="44">
        <f t="shared" si="8"/>
        <v>126000000</v>
      </c>
      <c r="Q12" s="35">
        <f t="shared" si="5"/>
        <v>378000000</v>
      </c>
      <c r="R12" s="44">
        <f t="shared" ref="R12:T12" si="9">SUM(R5:R10)</f>
        <v>126000000</v>
      </c>
      <c r="S12" s="44">
        <f t="shared" si="9"/>
        <v>126000000</v>
      </c>
      <c r="T12" s="44">
        <f t="shared" si="9"/>
        <v>126000000</v>
      </c>
      <c r="U12" s="35">
        <f t="shared" si="5"/>
        <v>378000000</v>
      </c>
      <c r="V12" s="35">
        <f t="shared" si="5"/>
        <v>1386000000</v>
      </c>
    </row>
    <row r="13" spans="1:47" s="111" customFormat="1" ht="5.25" customHeight="1">
      <c r="A13" s="121"/>
      <c r="B13" s="3"/>
      <c r="C13" s="3"/>
      <c r="D13" s="119"/>
      <c r="E13" s="4"/>
      <c r="F13" s="43"/>
      <c r="G13" s="43"/>
      <c r="H13" s="43"/>
      <c r="I13" s="34"/>
      <c r="J13" s="43"/>
      <c r="K13" s="43"/>
      <c r="L13" s="43"/>
      <c r="M13" s="34"/>
      <c r="N13" s="43"/>
      <c r="O13" s="43"/>
      <c r="P13" s="43"/>
      <c r="Q13" s="34"/>
      <c r="R13" s="43"/>
      <c r="S13" s="43"/>
      <c r="T13" s="43"/>
      <c r="U13" s="34"/>
      <c r="V13" s="34"/>
    </row>
    <row r="14" spans="1:47" s="111" customFormat="1" ht="12.75" customHeight="1">
      <c r="A14" s="452" t="s">
        <v>168</v>
      </c>
      <c r="B14" s="453"/>
      <c r="C14" s="453"/>
      <c r="D14" s="454"/>
      <c r="E14" s="7"/>
      <c r="F14" s="43"/>
      <c r="G14" s="43"/>
      <c r="H14" s="43"/>
      <c r="I14" s="34"/>
      <c r="J14" s="43"/>
      <c r="K14" s="43"/>
      <c r="L14" s="43"/>
      <c r="M14" s="34"/>
      <c r="N14" s="43"/>
      <c r="O14" s="43"/>
      <c r="P14" s="43"/>
      <c r="Q14" s="34"/>
      <c r="R14" s="43"/>
      <c r="S14" s="43"/>
      <c r="T14" s="43"/>
      <c r="U14" s="34"/>
      <c r="V14" s="34"/>
    </row>
    <row r="15" spans="1:47" s="111" customFormat="1" ht="12.75" customHeight="1" outlineLevel="1">
      <c r="A15" s="465"/>
      <c r="B15" s="3"/>
      <c r="C15" s="466" t="s">
        <v>169</v>
      </c>
      <c r="D15" s="467"/>
      <c r="E15" s="7"/>
      <c r="F15" s="43"/>
      <c r="G15" s="43"/>
      <c r="H15" s="43"/>
      <c r="I15" s="34"/>
      <c r="J15" s="43"/>
      <c r="K15" s="43"/>
      <c r="L15" s="43"/>
      <c r="M15" s="34"/>
      <c r="N15" s="43"/>
      <c r="O15" s="43"/>
      <c r="P15" s="43"/>
      <c r="Q15" s="34"/>
      <c r="R15" s="43"/>
      <c r="S15" s="43"/>
      <c r="T15" s="43"/>
      <c r="U15" s="34"/>
      <c r="V15" s="34"/>
    </row>
    <row r="16" spans="1:47" s="111" customFormat="1" ht="12.75" customHeight="1" outlineLevel="1">
      <c r="A16" s="465"/>
      <c r="B16" s="3"/>
      <c r="C16" s="116"/>
      <c r="D16" s="117" t="s">
        <v>170</v>
      </c>
      <c r="E16" s="7">
        <v>0</v>
      </c>
      <c r="F16" s="43">
        <f>'EST1'!F16+'EST2'!F16+'EST3'!F16+JHAHN!F16</f>
        <v>0</v>
      </c>
      <c r="G16" s="43">
        <f>'EST1'!G16+'EST2'!G16+'EST3'!G16+JHAHN!G16</f>
        <v>0</v>
      </c>
      <c r="H16" s="43">
        <f>'EST1'!H16+'EST2'!H16+'EST3'!H16+JHAHN!H16</f>
        <v>0</v>
      </c>
      <c r="I16" s="34">
        <f t="shared" ref="I16:I23" si="10">H16+G16+F16</f>
        <v>0</v>
      </c>
      <c r="J16" s="43">
        <f>'EST1'!J16+'EST2'!J16+'EST3'!J16+JHAHN!J16</f>
        <v>0</v>
      </c>
      <c r="K16" s="43">
        <f>'EST1'!K16+'EST2'!K16+'EST3'!K16+JHAHN!K16</f>
        <v>0</v>
      </c>
      <c r="L16" s="43">
        <f>'EST1'!L16+'EST2'!L16+'EST3'!L16+JHAHN!L16</f>
        <v>0</v>
      </c>
      <c r="M16" s="34">
        <f t="shared" ref="M16:M23" si="11">L16+K16+J16</f>
        <v>0</v>
      </c>
      <c r="N16" s="43">
        <f>'EST1'!N16+'EST2'!N16+'EST3'!N16+JHAHN!N16</f>
        <v>0</v>
      </c>
      <c r="O16" s="43">
        <f>'EST1'!O16+'EST2'!O16+'EST3'!O16+JHAHN!O16</f>
        <v>0</v>
      </c>
      <c r="P16" s="43">
        <f>'EST1'!P16+'EST2'!P16+'EST3'!P16+JHAHN!P16</f>
        <v>0</v>
      </c>
      <c r="Q16" s="34">
        <f t="shared" ref="Q16:Q23" si="12">P16+O16+N16</f>
        <v>0</v>
      </c>
      <c r="R16" s="43">
        <f>'EST1'!R16+'EST2'!R16+'EST3'!R16+JHAHN!R16</f>
        <v>0</v>
      </c>
      <c r="S16" s="43">
        <f>'EST1'!S16+'EST2'!S16+'EST3'!S16+JHAHN!S16</f>
        <v>0</v>
      </c>
      <c r="T16" s="43">
        <f>'EST1'!T16+'EST2'!T16+'EST3'!T16+JHAHN!T16</f>
        <v>0</v>
      </c>
      <c r="U16" s="34">
        <f t="shared" ref="U16:U23" si="13">T16+S16+R16</f>
        <v>0</v>
      </c>
      <c r="V16" s="34">
        <f t="shared" ref="V16:V23" si="14">U16+Q16+M16+I16</f>
        <v>0</v>
      </c>
    </row>
    <row r="17" spans="1:22" s="111" customFormat="1" ht="12.75" customHeight="1" outlineLevel="1">
      <c r="A17" s="465"/>
      <c r="B17" s="3"/>
      <c r="C17" s="116"/>
      <c r="D17" s="117" t="s">
        <v>171</v>
      </c>
      <c r="E17" s="7"/>
      <c r="F17" s="43">
        <f>'EST1'!F17+'EST2'!F17+'EST3'!F17+JHAHN!F17</f>
        <v>0</v>
      </c>
      <c r="G17" s="43">
        <f>'EST1'!G17+'EST2'!G17+'EST3'!G17+JHAHN!G17</f>
        <v>0</v>
      </c>
      <c r="H17" s="43">
        <f>'EST1'!H17+'EST2'!H17+'EST3'!H17+JHAHN!H17</f>
        <v>0</v>
      </c>
      <c r="I17" s="34">
        <f t="shared" si="10"/>
        <v>0</v>
      </c>
      <c r="J17" s="43">
        <f>'EST1'!J17+'EST2'!J17+'EST3'!J17+JHAHN!J17</f>
        <v>0</v>
      </c>
      <c r="K17" s="43">
        <f>'EST1'!K17+'EST2'!K17+'EST3'!K17+JHAHN!K17</f>
        <v>0</v>
      </c>
      <c r="L17" s="43">
        <f>'EST1'!L17+'EST2'!L17+'EST3'!L17+JHAHN!L17</f>
        <v>0</v>
      </c>
      <c r="M17" s="34">
        <f t="shared" si="11"/>
        <v>0</v>
      </c>
      <c r="N17" s="43">
        <f>'EST1'!N17+'EST2'!N17+'EST3'!N17+JHAHN!N17</f>
        <v>0</v>
      </c>
      <c r="O17" s="43">
        <f>'EST1'!O17+'EST2'!O17+'EST3'!O17+JHAHN!O17</f>
        <v>0</v>
      </c>
      <c r="P17" s="43">
        <f>'EST1'!P17+'EST2'!P17+'EST3'!P17+JHAHN!P17</f>
        <v>0</v>
      </c>
      <c r="Q17" s="34">
        <f t="shared" si="12"/>
        <v>0</v>
      </c>
      <c r="R17" s="43">
        <f>'EST1'!R17+'EST2'!R17+'EST3'!R17+JHAHN!R17</f>
        <v>0</v>
      </c>
      <c r="S17" s="43">
        <f>'EST1'!S17+'EST2'!S17+'EST3'!S17+JHAHN!S17</f>
        <v>0</v>
      </c>
      <c r="T17" s="43">
        <f>'EST1'!T17+'EST2'!T17+'EST3'!T17+JHAHN!T17</f>
        <v>0</v>
      </c>
      <c r="U17" s="34">
        <f t="shared" si="13"/>
        <v>0</v>
      </c>
      <c r="V17" s="34">
        <f t="shared" si="14"/>
        <v>0</v>
      </c>
    </row>
    <row r="18" spans="1:22" s="111" customFormat="1" ht="12.75" customHeight="1" outlineLevel="1">
      <c r="A18" s="465"/>
      <c r="B18" s="3"/>
      <c r="C18" s="116"/>
      <c r="D18" s="117" t="s">
        <v>172</v>
      </c>
      <c r="E18" s="7"/>
      <c r="F18" s="43">
        <f>'EST1'!F18+'EST2'!F18+'EST3'!F18+JHAHN!F18</f>
        <v>0</v>
      </c>
      <c r="G18" s="43">
        <f>'EST1'!G18+'EST2'!G18+'EST3'!G18+JHAHN!G18</f>
        <v>0</v>
      </c>
      <c r="H18" s="43">
        <f>'EST1'!H18+'EST2'!H18+'EST3'!H18+JHAHN!H18</f>
        <v>0</v>
      </c>
      <c r="I18" s="34">
        <f t="shared" si="10"/>
        <v>0</v>
      </c>
      <c r="J18" s="43">
        <f>'EST1'!J18+'EST2'!J18+'EST3'!J18+JHAHN!J18</f>
        <v>0</v>
      </c>
      <c r="K18" s="43">
        <f>'EST1'!K18+'EST2'!K18+'EST3'!K18+JHAHN!K18</f>
        <v>0</v>
      </c>
      <c r="L18" s="43">
        <f>'EST1'!L18+'EST2'!L18+'EST3'!L18+JHAHN!L18</f>
        <v>0</v>
      </c>
      <c r="M18" s="34">
        <f t="shared" si="11"/>
        <v>0</v>
      </c>
      <c r="N18" s="43">
        <f>'EST1'!N18+'EST2'!N18+'EST3'!N18+JHAHN!N18</f>
        <v>0</v>
      </c>
      <c r="O18" s="43">
        <f>'EST1'!O18+'EST2'!O18+'EST3'!O18+JHAHN!O18</f>
        <v>0</v>
      </c>
      <c r="P18" s="43">
        <f>'EST1'!P18+'EST2'!P18+'EST3'!P18+JHAHN!P18</f>
        <v>0</v>
      </c>
      <c r="Q18" s="34">
        <f t="shared" si="12"/>
        <v>0</v>
      </c>
      <c r="R18" s="43">
        <f>'EST1'!R18+'EST2'!R18+'EST3'!R18+JHAHN!R18</f>
        <v>0</v>
      </c>
      <c r="S18" s="43">
        <f>'EST1'!S18+'EST2'!S18+'EST3'!S18+JHAHN!S18</f>
        <v>0</v>
      </c>
      <c r="T18" s="43">
        <f>'EST1'!T18+'EST2'!T18+'EST3'!T18+JHAHN!T18</f>
        <v>0</v>
      </c>
      <c r="U18" s="34">
        <f t="shared" si="13"/>
        <v>0</v>
      </c>
      <c r="V18" s="34">
        <f t="shared" si="14"/>
        <v>0</v>
      </c>
    </row>
    <row r="19" spans="1:22" s="111" customFormat="1" ht="12.75" customHeight="1" outlineLevel="1">
      <c r="A19" s="465"/>
      <c r="B19" s="3"/>
      <c r="C19" s="116"/>
      <c r="D19" s="117" t="s">
        <v>173</v>
      </c>
      <c r="E19" s="7"/>
      <c r="F19" s="43">
        <f>'EST1'!F19+'EST2'!F19+'EST3'!F19+JHAHN!F19</f>
        <v>0</v>
      </c>
      <c r="G19" s="43">
        <f>'EST1'!G19+'EST2'!G19+'EST3'!G19+JHAHN!G19</f>
        <v>0</v>
      </c>
      <c r="H19" s="43">
        <f>'EST1'!H19+'EST2'!H19+'EST3'!H19+JHAHN!H19</f>
        <v>0</v>
      </c>
      <c r="I19" s="34">
        <f t="shared" si="10"/>
        <v>0</v>
      </c>
      <c r="J19" s="43">
        <f>'EST1'!J19+'EST2'!J19+'EST3'!J19+JHAHN!J19</f>
        <v>0</v>
      </c>
      <c r="K19" s="43">
        <f>'EST1'!K19+'EST2'!K19+'EST3'!K19+JHAHN!K19</f>
        <v>0</v>
      </c>
      <c r="L19" s="43">
        <f>'EST1'!L19+'EST2'!L19+'EST3'!L19+JHAHN!L19</f>
        <v>0</v>
      </c>
      <c r="M19" s="34">
        <f t="shared" si="11"/>
        <v>0</v>
      </c>
      <c r="N19" s="43">
        <f>'EST1'!N19+'EST2'!N19+'EST3'!N19+JHAHN!N19</f>
        <v>0</v>
      </c>
      <c r="O19" s="43">
        <f>'EST1'!O19+'EST2'!O19+'EST3'!O19+JHAHN!O19</f>
        <v>0</v>
      </c>
      <c r="P19" s="43">
        <f>'EST1'!P19+'EST2'!P19+'EST3'!P19+JHAHN!P19</f>
        <v>0</v>
      </c>
      <c r="Q19" s="34">
        <f t="shared" si="12"/>
        <v>0</v>
      </c>
      <c r="R19" s="43">
        <f>'EST1'!R19+'EST2'!R19+'EST3'!R19+JHAHN!R19</f>
        <v>0</v>
      </c>
      <c r="S19" s="43">
        <f>'EST1'!S19+'EST2'!S19+'EST3'!S19+JHAHN!S19</f>
        <v>0</v>
      </c>
      <c r="T19" s="43">
        <f>'EST1'!T19+'EST2'!T19+'EST3'!T19+JHAHN!T19</f>
        <v>0</v>
      </c>
      <c r="U19" s="34">
        <f t="shared" si="13"/>
        <v>0</v>
      </c>
      <c r="V19" s="34">
        <f t="shared" si="14"/>
        <v>0</v>
      </c>
    </row>
    <row r="20" spans="1:22" s="111" customFormat="1" ht="12.75" customHeight="1" outlineLevel="1">
      <c r="A20" s="465"/>
      <c r="B20" s="3"/>
      <c r="C20" s="116"/>
      <c r="D20" s="118" t="s">
        <v>174</v>
      </c>
      <c r="E20" s="7">
        <v>0</v>
      </c>
      <c r="F20" s="43">
        <f>'EST1'!F20+'EST2'!F20+'EST3'!F20+JHAHN!F20</f>
        <v>0</v>
      </c>
      <c r="G20" s="43">
        <f>'EST1'!G20+'EST2'!G20+'EST3'!G20+JHAHN!G20</f>
        <v>0</v>
      </c>
      <c r="H20" s="43">
        <f>'EST1'!H20+'EST2'!H20+'EST3'!H20+JHAHN!H20</f>
        <v>0</v>
      </c>
      <c r="I20" s="34">
        <f t="shared" si="10"/>
        <v>0</v>
      </c>
      <c r="J20" s="43">
        <f>'EST1'!J20+'EST2'!J20+'EST3'!J20+JHAHN!J20</f>
        <v>0</v>
      </c>
      <c r="K20" s="43">
        <f>'EST1'!K20+'EST2'!K20+'EST3'!K20+JHAHN!K20</f>
        <v>0</v>
      </c>
      <c r="L20" s="43">
        <f>'EST1'!L20+'EST2'!L20+'EST3'!L20+JHAHN!L20</f>
        <v>0</v>
      </c>
      <c r="M20" s="34">
        <f t="shared" si="11"/>
        <v>0</v>
      </c>
      <c r="N20" s="43">
        <f>'EST1'!N20+'EST2'!N20+'EST3'!N20+JHAHN!N20</f>
        <v>0</v>
      </c>
      <c r="O20" s="43">
        <f>'EST1'!O20+'EST2'!O20+'EST3'!O20+JHAHN!O20</f>
        <v>0</v>
      </c>
      <c r="P20" s="43">
        <f>'EST1'!P20+'EST2'!P20+'EST3'!P20+JHAHN!P20</f>
        <v>0</v>
      </c>
      <c r="Q20" s="34">
        <f t="shared" si="12"/>
        <v>0</v>
      </c>
      <c r="R20" s="43">
        <f>'EST1'!R20+'EST2'!R20+'EST3'!R20+JHAHN!R20</f>
        <v>0</v>
      </c>
      <c r="S20" s="43">
        <f>'EST1'!S20+'EST2'!S20+'EST3'!S20+JHAHN!S20</f>
        <v>0</v>
      </c>
      <c r="T20" s="43">
        <f>'EST1'!T20+'EST2'!T20+'EST3'!T20+JHAHN!T20</f>
        <v>0</v>
      </c>
      <c r="U20" s="34">
        <f t="shared" si="13"/>
        <v>0</v>
      </c>
      <c r="V20" s="34">
        <f t="shared" si="14"/>
        <v>0</v>
      </c>
    </row>
    <row r="21" spans="1:22" s="111" customFormat="1" ht="12.75" customHeight="1" outlineLevel="1">
      <c r="A21" s="465"/>
      <c r="B21" s="3"/>
      <c r="C21" s="468" t="s">
        <v>175</v>
      </c>
      <c r="D21" s="469"/>
      <c r="E21" s="7"/>
      <c r="F21" s="43">
        <f>'EST1'!F21+'EST2'!F21+'EST3'!F21+JHAHN!F21</f>
        <v>0</v>
      </c>
      <c r="G21" s="43">
        <f>'EST1'!G21+'EST2'!G21+'EST3'!G21+JHAHN!G21</f>
        <v>1000000</v>
      </c>
      <c r="H21" s="43">
        <f>'EST1'!H21+'EST2'!H21+'EST3'!H21+JHAHN!H21</f>
        <v>1000000</v>
      </c>
      <c r="I21" s="34">
        <f t="shared" si="10"/>
        <v>2000000</v>
      </c>
      <c r="J21" s="43">
        <f>'EST1'!J21+'EST2'!J21+'EST3'!J21+JHAHN!J21</f>
        <v>1000000</v>
      </c>
      <c r="K21" s="43">
        <f>'EST1'!K21+'EST2'!K21+'EST3'!K21+JHAHN!K21</f>
        <v>1000000</v>
      </c>
      <c r="L21" s="43">
        <f>'EST1'!L21+'EST2'!L21+'EST3'!L21+JHAHN!L21</f>
        <v>1000000</v>
      </c>
      <c r="M21" s="34">
        <f t="shared" si="11"/>
        <v>3000000</v>
      </c>
      <c r="N21" s="43">
        <f>'EST1'!N21+'EST2'!N21+'EST3'!N21+JHAHN!N21</f>
        <v>1000000</v>
      </c>
      <c r="O21" s="43">
        <f>'EST1'!O21+'EST2'!O21+'EST3'!O21+JHAHN!O21</f>
        <v>1000000</v>
      </c>
      <c r="P21" s="43">
        <f>'EST1'!P21+'EST2'!P21+'EST3'!P21+JHAHN!P21</f>
        <v>1000000</v>
      </c>
      <c r="Q21" s="34">
        <f t="shared" si="12"/>
        <v>3000000</v>
      </c>
      <c r="R21" s="43">
        <f>'EST1'!R21+'EST2'!R21+'EST3'!R21+JHAHN!R21</f>
        <v>1000000</v>
      </c>
      <c r="S21" s="43">
        <f>'EST1'!S21+'EST2'!S21+'EST3'!S21+JHAHN!S21</f>
        <v>1000000</v>
      </c>
      <c r="T21" s="43">
        <f>'EST1'!T21+'EST2'!T21+'EST3'!T21+JHAHN!T21</f>
        <v>1000000</v>
      </c>
      <c r="U21" s="34">
        <f t="shared" si="13"/>
        <v>3000000</v>
      </c>
      <c r="V21" s="34">
        <f t="shared" si="14"/>
        <v>11000000</v>
      </c>
    </row>
    <row r="22" spans="1:22" s="111" customFormat="1" ht="12.75" customHeight="1" outlineLevel="1">
      <c r="A22" s="465"/>
      <c r="B22" s="3"/>
      <c r="C22" s="468" t="s">
        <v>176</v>
      </c>
      <c r="D22" s="469"/>
      <c r="E22" s="7"/>
      <c r="F22" s="43">
        <f>'EST1'!F22+'EST2'!F22+'EST3'!F22+JHAHN!F22</f>
        <v>0</v>
      </c>
      <c r="G22" s="43">
        <f>'EST1'!G22+'EST2'!G22+'EST3'!G22+JHAHN!G22</f>
        <v>0</v>
      </c>
      <c r="H22" s="43">
        <f>'EST1'!H22+'EST2'!H22+'EST3'!H22+JHAHN!H22</f>
        <v>0</v>
      </c>
      <c r="I22" s="34">
        <f t="shared" si="10"/>
        <v>0</v>
      </c>
      <c r="J22" s="43">
        <f>'EST1'!J22+'EST2'!J22+'EST3'!J22+JHAHN!J22</f>
        <v>0</v>
      </c>
      <c r="K22" s="43">
        <f>'EST1'!K22+'EST2'!K22+'EST3'!K22+JHAHN!K22</f>
        <v>0</v>
      </c>
      <c r="L22" s="43">
        <f>'EST1'!L22+'EST2'!L22+'EST3'!L22+JHAHN!L22</f>
        <v>0</v>
      </c>
      <c r="M22" s="34">
        <f t="shared" si="11"/>
        <v>0</v>
      </c>
      <c r="N22" s="43">
        <f>'EST1'!N22+'EST2'!N22+'EST3'!N22+JHAHN!N22</f>
        <v>0</v>
      </c>
      <c r="O22" s="43">
        <f>'EST1'!O22+'EST2'!O22+'EST3'!O22+JHAHN!O22</f>
        <v>0</v>
      </c>
      <c r="P22" s="43">
        <f>'EST1'!P22+'EST2'!P22+'EST3'!P22+JHAHN!P22</f>
        <v>0</v>
      </c>
      <c r="Q22" s="34">
        <f t="shared" si="12"/>
        <v>0</v>
      </c>
      <c r="R22" s="43">
        <f>'EST1'!R22+'EST2'!R22+'EST3'!R22+JHAHN!R22</f>
        <v>0</v>
      </c>
      <c r="S22" s="43">
        <f>'EST1'!S22+'EST2'!S22+'EST3'!S22+JHAHN!S22</f>
        <v>0</v>
      </c>
      <c r="T22" s="43">
        <f>'EST1'!T22+'EST2'!T22+'EST3'!T22+JHAHN!T22</f>
        <v>0</v>
      </c>
      <c r="U22" s="34">
        <f t="shared" si="13"/>
        <v>0</v>
      </c>
      <c r="V22" s="34">
        <f t="shared" si="14"/>
        <v>0</v>
      </c>
    </row>
    <row r="23" spans="1:22" s="111" customFormat="1" ht="12.75" customHeight="1" outlineLevel="1">
      <c r="A23" s="465"/>
      <c r="B23" s="3"/>
      <c r="C23" s="457" t="s">
        <v>203</v>
      </c>
      <c r="D23" s="470"/>
      <c r="E23" s="7"/>
      <c r="F23" s="43">
        <f>'EST1'!F23+'EST2'!F23+'EST3'!F23+JHAHN!F23</f>
        <v>1085000</v>
      </c>
      <c r="G23" s="43">
        <f>'EST1'!G23+'EST2'!G23+'EST3'!G23+JHAHN!G23</f>
        <v>1085000</v>
      </c>
      <c r="H23" s="43">
        <f>'EST1'!H23+'EST2'!H23+'EST3'!H23+JHAHN!H23</f>
        <v>1085000</v>
      </c>
      <c r="I23" s="34">
        <f t="shared" si="10"/>
        <v>3255000</v>
      </c>
      <c r="J23" s="43">
        <f>'EST1'!J23+'EST2'!J23+'EST3'!J23+JHAHN!J23</f>
        <v>1085000</v>
      </c>
      <c r="K23" s="43">
        <f>'EST1'!K23+'EST2'!K23+'EST3'!K23+JHAHN!K23</f>
        <v>1085000</v>
      </c>
      <c r="L23" s="43">
        <f>'EST1'!L23+'EST2'!L23+'EST3'!L23+JHAHN!L23</f>
        <v>1085000</v>
      </c>
      <c r="M23" s="34">
        <f t="shared" si="11"/>
        <v>3255000</v>
      </c>
      <c r="N23" s="43">
        <f>'EST1'!N23+'EST2'!N23+'EST3'!N23+JHAHN!N23</f>
        <v>1085000</v>
      </c>
      <c r="O23" s="43">
        <f>'EST1'!O23+'EST2'!O23+'EST3'!O23+JHAHN!O23</f>
        <v>1085000</v>
      </c>
      <c r="P23" s="43">
        <f>'EST1'!P23+'EST2'!P23+'EST3'!P23+JHAHN!P23</f>
        <v>1085000</v>
      </c>
      <c r="Q23" s="34">
        <f t="shared" si="12"/>
        <v>3255000</v>
      </c>
      <c r="R23" s="43">
        <f>'EST1'!R23+'EST2'!R23+'EST3'!R23+JHAHN!R23</f>
        <v>1085000</v>
      </c>
      <c r="S23" s="43">
        <f>'EST1'!S23+'EST2'!S23+'EST3'!S23+JHAHN!S23</f>
        <v>1085000</v>
      </c>
      <c r="T23" s="43">
        <f>'EST1'!T23+'EST2'!T23+'EST3'!T23+JHAHN!T23</f>
        <v>1085000</v>
      </c>
      <c r="U23" s="34">
        <f t="shared" si="13"/>
        <v>3255000</v>
      </c>
      <c r="V23" s="34">
        <f t="shared" si="14"/>
        <v>13020000</v>
      </c>
    </row>
    <row r="24" spans="1:22" s="111" customFormat="1" ht="12.75" customHeight="1" outlineLevel="1">
      <c r="A24" s="465"/>
      <c r="B24" s="3"/>
      <c r="C24" s="457" t="s">
        <v>184</v>
      </c>
      <c r="D24" s="458"/>
      <c r="E24" s="7"/>
      <c r="F24" s="43">
        <f>'EST1'!F24+'EST2'!F24+'EST3'!F24+JHAHN!F24</f>
        <v>2081000</v>
      </c>
      <c r="G24" s="43">
        <f>'EST1'!G24+'EST2'!G24+'EST3'!G24+JHAHN!G24</f>
        <v>0</v>
      </c>
      <c r="H24" s="43">
        <f>'EST1'!H24+'EST2'!H24+'EST3'!H24+JHAHN!H24</f>
        <v>0</v>
      </c>
      <c r="I24" s="34">
        <f t="shared" ref="I24:I25" si="15">H24+G24+F24</f>
        <v>2081000</v>
      </c>
      <c r="J24" s="43">
        <f>'EST1'!J24+'EST2'!J24+'EST3'!J24+JHAHN!J24</f>
        <v>0</v>
      </c>
      <c r="K24" s="43">
        <f>'EST1'!K24+'EST2'!K24+'EST3'!K24+JHAHN!K24</f>
        <v>0</v>
      </c>
      <c r="L24" s="43">
        <f>'EST1'!L24+'EST2'!L24+'EST3'!L24+JHAHN!L24</f>
        <v>0</v>
      </c>
      <c r="M24" s="34">
        <f t="shared" ref="M24:M25" si="16">L24+K24+J24</f>
        <v>0</v>
      </c>
      <c r="N24" s="43">
        <f>'EST1'!N24+'EST2'!N24+'EST3'!N24+JHAHN!N24</f>
        <v>0</v>
      </c>
      <c r="O24" s="43">
        <f>'EST1'!O24+'EST2'!O24+'EST3'!O24+JHAHN!O24</f>
        <v>0</v>
      </c>
      <c r="P24" s="43">
        <f>'EST1'!P24+'EST2'!P24+'EST3'!P24+JHAHN!P24</f>
        <v>0</v>
      </c>
      <c r="Q24" s="34">
        <f t="shared" ref="Q24:Q25" si="17">P24+O24+N24</f>
        <v>0</v>
      </c>
      <c r="R24" s="43">
        <f>'EST1'!R24+'EST2'!R24+'EST3'!R24+JHAHN!R24</f>
        <v>0</v>
      </c>
      <c r="S24" s="43">
        <f>'EST1'!S24+'EST2'!S24+'EST3'!S24+JHAHN!S24</f>
        <v>0</v>
      </c>
      <c r="T24" s="43">
        <f>'EST1'!T24+'EST2'!T24+'EST3'!T24+JHAHN!T24</f>
        <v>0</v>
      </c>
      <c r="U24" s="34">
        <f t="shared" ref="U24:U25" si="18">T24+S24+R24</f>
        <v>0</v>
      </c>
      <c r="V24" s="34">
        <f t="shared" ref="V24:V25" si="19">U24+Q24+M24+I24</f>
        <v>2081000</v>
      </c>
    </row>
    <row r="25" spans="1:22" s="111" customFormat="1" ht="12.75" customHeight="1" outlineLevel="1">
      <c r="A25" s="465"/>
      <c r="B25" s="3"/>
      <c r="C25" s="457" t="s">
        <v>183</v>
      </c>
      <c r="D25" s="458"/>
      <c r="E25" s="7">
        <v>0</v>
      </c>
      <c r="F25" s="43">
        <f>'EST1'!F25+'EST2'!F25+'EST3'!F25+JHAHN!F25</f>
        <v>15000</v>
      </c>
      <c r="G25" s="43">
        <f>'EST1'!G25+'EST2'!G25+'EST3'!G25+JHAHN!G25</f>
        <v>15000</v>
      </c>
      <c r="H25" s="43">
        <f>'EST1'!H25+'EST2'!H25+'EST3'!H25+JHAHN!H25</f>
        <v>15000</v>
      </c>
      <c r="I25" s="34">
        <f t="shared" si="15"/>
        <v>45000</v>
      </c>
      <c r="J25" s="43">
        <f>'EST1'!J25+'EST2'!J25+'EST3'!J25+JHAHN!J25</f>
        <v>15000</v>
      </c>
      <c r="K25" s="43">
        <f>'EST1'!K25+'EST2'!K25+'EST3'!K25+JHAHN!K25</f>
        <v>15000</v>
      </c>
      <c r="L25" s="43">
        <f>'EST1'!L25+'EST2'!L25+'EST3'!L25+JHAHN!L25</f>
        <v>15000</v>
      </c>
      <c r="M25" s="34">
        <f t="shared" si="16"/>
        <v>45000</v>
      </c>
      <c r="N25" s="43">
        <f>'EST1'!N25+'EST2'!N25+'EST3'!N25+JHAHN!N25</f>
        <v>15000</v>
      </c>
      <c r="O25" s="43">
        <f>'EST1'!O25+'EST2'!O25+'EST3'!O25+JHAHN!O25</f>
        <v>15000</v>
      </c>
      <c r="P25" s="43">
        <f>'EST1'!P25+'EST2'!P25+'EST3'!P25+JHAHN!P25</f>
        <v>15000</v>
      </c>
      <c r="Q25" s="34">
        <f t="shared" si="17"/>
        <v>45000</v>
      </c>
      <c r="R25" s="43">
        <f>'EST1'!R25+'EST2'!R25+'EST3'!R25+JHAHN!R25</f>
        <v>15000</v>
      </c>
      <c r="S25" s="43">
        <f>'EST1'!S25+'EST2'!S25+'EST3'!S25+JHAHN!S25</f>
        <v>15000</v>
      </c>
      <c r="T25" s="43">
        <f>'EST1'!T25+'EST2'!T25+'EST3'!T25+JHAHN!T25</f>
        <v>15000</v>
      </c>
      <c r="U25" s="34">
        <f t="shared" si="18"/>
        <v>45000</v>
      </c>
      <c r="V25" s="34">
        <f t="shared" si="19"/>
        <v>180000</v>
      </c>
    </row>
    <row r="26" spans="1:22" s="111" customFormat="1" ht="12.75" customHeight="1">
      <c r="A26" s="459" t="s">
        <v>177</v>
      </c>
      <c r="B26" s="460"/>
      <c r="C26" s="460"/>
      <c r="D26" s="461"/>
      <c r="E26" s="8"/>
      <c r="F26" s="44">
        <f t="shared" ref="F26:V26" si="20">SUM(F16:F25)</f>
        <v>3181000</v>
      </c>
      <c r="G26" s="44">
        <f t="shared" ref="G26:H26" si="21">SUM(G16:G25)</f>
        <v>2100000</v>
      </c>
      <c r="H26" s="44">
        <f t="shared" si="21"/>
        <v>2100000</v>
      </c>
      <c r="I26" s="35">
        <f t="shared" si="20"/>
        <v>7381000</v>
      </c>
      <c r="J26" s="44">
        <f t="shared" ref="J26:L26" si="22">SUM(J16:J25)</f>
        <v>2100000</v>
      </c>
      <c r="K26" s="44">
        <f t="shared" si="22"/>
        <v>2100000</v>
      </c>
      <c r="L26" s="44">
        <f t="shared" si="22"/>
        <v>2100000</v>
      </c>
      <c r="M26" s="35">
        <f t="shared" si="20"/>
        <v>6300000</v>
      </c>
      <c r="N26" s="44">
        <f t="shared" ref="N26:P26" si="23">SUM(N16:N25)</f>
        <v>2100000</v>
      </c>
      <c r="O26" s="44">
        <f t="shared" si="23"/>
        <v>2100000</v>
      </c>
      <c r="P26" s="44">
        <f t="shared" si="23"/>
        <v>2100000</v>
      </c>
      <c r="Q26" s="35">
        <f t="shared" si="20"/>
        <v>6300000</v>
      </c>
      <c r="R26" s="44">
        <f t="shared" ref="R26:T26" si="24">SUM(R16:R25)</f>
        <v>2100000</v>
      </c>
      <c r="S26" s="44">
        <f t="shared" si="24"/>
        <v>2100000</v>
      </c>
      <c r="T26" s="44">
        <f t="shared" si="24"/>
        <v>2100000</v>
      </c>
      <c r="U26" s="35">
        <f t="shared" si="20"/>
        <v>6300000</v>
      </c>
      <c r="V26" s="35">
        <f t="shared" si="20"/>
        <v>26281000</v>
      </c>
    </row>
    <row r="27" spans="1:22" s="111" customFormat="1" ht="8.25" customHeight="1">
      <c r="A27" s="122"/>
      <c r="B27" s="123"/>
      <c r="C27" s="123"/>
      <c r="D27" s="124"/>
      <c r="E27" s="8"/>
      <c r="F27" s="43"/>
      <c r="G27" s="43"/>
      <c r="H27" s="43"/>
      <c r="I27" s="34"/>
      <c r="J27" s="43"/>
      <c r="K27" s="43"/>
      <c r="L27" s="43"/>
      <c r="M27" s="34"/>
      <c r="N27" s="43"/>
      <c r="O27" s="43"/>
      <c r="P27" s="43"/>
      <c r="Q27" s="34"/>
      <c r="R27" s="43"/>
      <c r="S27" s="43"/>
      <c r="T27" s="43"/>
      <c r="U27" s="34"/>
      <c r="V27" s="34"/>
    </row>
    <row r="28" spans="1:22" s="111" customFormat="1" ht="12.75" customHeight="1">
      <c r="A28" s="462" t="s">
        <v>178</v>
      </c>
      <c r="B28" s="463"/>
      <c r="C28" s="463"/>
      <c r="D28" s="464"/>
      <c r="E28" s="8"/>
      <c r="F28" s="43"/>
      <c r="G28" s="43"/>
      <c r="H28" s="43"/>
      <c r="I28" s="34"/>
      <c r="J28" s="43"/>
      <c r="K28" s="43"/>
      <c r="L28" s="43"/>
      <c r="M28" s="34"/>
      <c r="N28" s="43"/>
      <c r="O28" s="43"/>
      <c r="P28" s="43"/>
      <c r="Q28" s="34"/>
      <c r="R28" s="43"/>
      <c r="S28" s="43"/>
      <c r="T28" s="43"/>
      <c r="U28" s="34"/>
      <c r="V28" s="34"/>
    </row>
    <row r="29" spans="1:22" s="111" customFormat="1" ht="12.75" customHeight="1">
      <c r="A29" s="125"/>
      <c r="B29" s="4"/>
      <c r="C29" s="455" t="s">
        <v>179</v>
      </c>
      <c r="D29" s="456"/>
      <c r="E29" s="8"/>
      <c r="F29" s="44">
        <f t="shared" ref="F29:V29" si="25">F12-F26</f>
        <v>-3181000</v>
      </c>
      <c r="G29" s="44">
        <f t="shared" ref="G29:H29" si="26">G12-G26</f>
        <v>123900000</v>
      </c>
      <c r="H29" s="44">
        <f t="shared" si="26"/>
        <v>123900000</v>
      </c>
      <c r="I29" s="35">
        <f t="shared" si="25"/>
        <v>244619000</v>
      </c>
      <c r="J29" s="44">
        <f t="shared" ref="J29:L29" si="27">J12-J26</f>
        <v>123900000</v>
      </c>
      <c r="K29" s="44">
        <f t="shared" si="27"/>
        <v>123900000</v>
      </c>
      <c r="L29" s="44">
        <f t="shared" si="27"/>
        <v>123900000</v>
      </c>
      <c r="M29" s="35">
        <f t="shared" si="25"/>
        <v>371700000</v>
      </c>
      <c r="N29" s="44">
        <f t="shared" ref="N29:P29" si="28">N12-N26</f>
        <v>123900000</v>
      </c>
      <c r="O29" s="44">
        <f t="shared" si="28"/>
        <v>123900000</v>
      </c>
      <c r="P29" s="44">
        <f t="shared" si="28"/>
        <v>123900000</v>
      </c>
      <c r="Q29" s="35">
        <f t="shared" si="25"/>
        <v>371700000</v>
      </c>
      <c r="R29" s="44">
        <f t="shared" ref="R29:T29" si="29">R12-R26</f>
        <v>123900000</v>
      </c>
      <c r="S29" s="44">
        <f t="shared" si="29"/>
        <v>123900000</v>
      </c>
      <c r="T29" s="44">
        <f t="shared" si="29"/>
        <v>123900000</v>
      </c>
      <c r="U29" s="35">
        <f t="shared" si="25"/>
        <v>371700000</v>
      </c>
      <c r="V29" s="35">
        <f t="shared" si="25"/>
        <v>1359719000</v>
      </c>
    </row>
    <row r="30" spans="1:22" s="111" customFormat="1" ht="12.75" customHeight="1">
      <c r="A30" s="121"/>
      <c r="B30" s="3"/>
      <c r="C30" s="3"/>
      <c r="D30" s="118" t="s">
        <v>180</v>
      </c>
      <c r="E30" s="7"/>
      <c r="F30" s="126">
        <f t="shared" ref="F30:V30" si="30">IF(F12=0,0,F29/F12)</f>
        <v>0</v>
      </c>
      <c r="G30" s="126">
        <f t="shared" ref="G30:H30" si="31">IF(G12=0,0,G29/G12)</f>
        <v>0.98333333333333328</v>
      </c>
      <c r="H30" s="126">
        <f t="shared" si="31"/>
        <v>0.98333333333333328</v>
      </c>
      <c r="I30" s="127">
        <f t="shared" si="30"/>
        <v>0.97071031746031744</v>
      </c>
      <c r="J30" s="126">
        <f t="shared" ref="J30:L30" si="32">IF(J12=0,0,J29/J12)</f>
        <v>0.98333333333333328</v>
      </c>
      <c r="K30" s="126">
        <f t="shared" si="32"/>
        <v>0.98333333333333328</v>
      </c>
      <c r="L30" s="126">
        <f t="shared" si="32"/>
        <v>0.98333333333333328</v>
      </c>
      <c r="M30" s="127">
        <f t="shared" si="30"/>
        <v>0.98333333333333328</v>
      </c>
      <c r="N30" s="126">
        <f t="shared" ref="N30:P30" si="33">IF(N12=0,0,N29/N12)</f>
        <v>0.98333333333333328</v>
      </c>
      <c r="O30" s="126">
        <f t="shared" si="33"/>
        <v>0.98333333333333328</v>
      </c>
      <c r="P30" s="126">
        <f t="shared" si="33"/>
        <v>0.98333333333333328</v>
      </c>
      <c r="Q30" s="127">
        <f t="shared" si="30"/>
        <v>0.98333333333333328</v>
      </c>
      <c r="R30" s="126">
        <f t="shared" ref="R30:T30" si="34">IF(R12=0,0,R29/R12)</f>
        <v>0.98333333333333328</v>
      </c>
      <c r="S30" s="126">
        <f t="shared" si="34"/>
        <v>0.98333333333333328</v>
      </c>
      <c r="T30" s="126">
        <f t="shared" si="34"/>
        <v>0.98333333333333328</v>
      </c>
      <c r="U30" s="127">
        <f t="shared" si="30"/>
        <v>0.98333333333333328</v>
      </c>
      <c r="V30" s="127">
        <f t="shared" si="30"/>
        <v>0.98103823953823954</v>
      </c>
    </row>
    <row r="31" spans="1:22" ht="13.15" outlineLevel="1">
      <c r="A31" s="21" t="s">
        <v>49</v>
      </c>
      <c r="B31" s="22"/>
      <c r="C31" s="22"/>
      <c r="D31" s="22"/>
      <c r="F31" s="43"/>
      <c r="G31" s="43"/>
      <c r="H31" s="43"/>
      <c r="I31" s="34"/>
      <c r="J31" s="43"/>
      <c r="K31" s="43"/>
      <c r="L31" s="43"/>
      <c r="M31" s="34"/>
      <c r="N31" s="43"/>
      <c r="O31" s="43"/>
      <c r="P31" s="43"/>
      <c r="Q31" s="34"/>
      <c r="R31" s="43"/>
      <c r="S31" s="43"/>
      <c r="T31" s="43"/>
      <c r="U31" s="34"/>
      <c r="V31" s="34"/>
    </row>
    <row r="32" spans="1:22" ht="13.5" outlineLevel="2">
      <c r="A32" s="22"/>
      <c r="B32" s="22"/>
      <c r="C32" s="23" t="s">
        <v>37</v>
      </c>
      <c r="D32" s="24"/>
      <c r="E32" s="8"/>
      <c r="F32" s="43"/>
      <c r="G32" s="43"/>
      <c r="H32" s="43"/>
      <c r="I32" s="34"/>
      <c r="J32" s="43"/>
      <c r="K32" s="43"/>
      <c r="L32" s="43"/>
      <c r="M32" s="34"/>
      <c r="N32" s="43"/>
      <c r="O32" s="43"/>
      <c r="P32" s="43"/>
      <c r="Q32" s="34"/>
      <c r="R32" s="43"/>
      <c r="S32" s="43"/>
      <c r="T32" s="43"/>
      <c r="U32" s="34"/>
      <c r="V32" s="34"/>
    </row>
    <row r="33" spans="1:22" ht="13.15" outlineLevel="2">
      <c r="A33" s="22"/>
      <c r="B33" s="22"/>
      <c r="C33" s="22"/>
      <c r="D33" s="25" t="s">
        <v>27</v>
      </c>
      <c r="E33" s="7">
        <v>0</v>
      </c>
      <c r="F33" s="43">
        <f>'EST1'!F33+'EST2'!F33+'EST3'!F33+JHAHN!F33</f>
        <v>70000000</v>
      </c>
      <c r="G33" s="43">
        <f>'EST1'!G33+'EST2'!G33+'EST3'!G33+JHAHN!G33</f>
        <v>70000000</v>
      </c>
      <c r="H33" s="43">
        <f>'EST1'!H33+'EST2'!H33+'EST3'!H33+JHAHN!H33</f>
        <v>70000000</v>
      </c>
      <c r="I33" s="34">
        <f>SUM(F33:H33)</f>
        <v>210000000</v>
      </c>
      <c r="J33" s="43">
        <f>'EST1'!J33+'EST2'!J33+'EST3'!J33+JHAHN!J33</f>
        <v>70000000</v>
      </c>
      <c r="K33" s="43">
        <f>'EST1'!K33+'EST2'!K33+'EST3'!K33+JHAHN!K33</f>
        <v>70000000</v>
      </c>
      <c r="L33" s="43">
        <f>'EST1'!L33+'EST2'!L33+'EST3'!L33+JHAHN!L33</f>
        <v>70000000</v>
      </c>
      <c r="M33" s="34">
        <f>SUM(J33:L33)</f>
        <v>210000000</v>
      </c>
      <c r="N33" s="43">
        <f>'EST1'!N33+'EST2'!N33+'EST3'!N33+JHAHN!N33</f>
        <v>70000000</v>
      </c>
      <c r="O33" s="43">
        <f>'EST1'!O33+'EST2'!O33+'EST3'!O33+JHAHN!O33</f>
        <v>70000000</v>
      </c>
      <c r="P33" s="43">
        <f>'EST1'!P33+'EST2'!P33+'EST3'!P33+JHAHN!P33</f>
        <v>70000000</v>
      </c>
      <c r="Q33" s="34">
        <f>SUM(N33:P33)</f>
        <v>210000000</v>
      </c>
      <c r="R33" s="43">
        <f>'EST1'!R33+'EST2'!R33+'EST3'!R33+JHAHN!R33</f>
        <v>70000000</v>
      </c>
      <c r="S33" s="43">
        <f>'EST1'!S33+'EST2'!S33+'EST3'!S33+JHAHN!S33</f>
        <v>70000000</v>
      </c>
      <c r="T33" s="43">
        <f>'EST1'!T33+'EST2'!T33+'EST3'!T33+JHAHN!T33</f>
        <v>70000000</v>
      </c>
      <c r="U33" s="34">
        <f>SUM(R33:T33)</f>
        <v>210000000</v>
      </c>
      <c r="V33" s="34">
        <f t="shared" ref="V33:V37" si="35">I33+M33+Q33+U33</f>
        <v>840000000</v>
      </c>
    </row>
    <row r="34" spans="1:22" ht="13.15" outlineLevel="2">
      <c r="A34" s="22"/>
      <c r="B34" s="22"/>
      <c r="C34" s="22"/>
      <c r="D34" s="25" t="s">
        <v>73</v>
      </c>
      <c r="F34" s="43">
        <f>'EST1'!F34+'EST2'!F34+'EST3'!F34+JHAHN!F34</f>
        <v>0</v>
      </c>
      <c r="G34" s="43">
        <f>'EST1'!G34+'EST2'!G34+'EST3'!G34+JHAHN!G34</f>
        <v>0</v>
      </c>
      <c r="H34" s="43">
        <f>'EST1'!H34+'EST2'!H34+'EST3'!H34+JHAHN!H34</f>
        <v>0</v>
      </c>
      <c r="I34" s="34">
        <f>SUM(F34:H34)</f>
        <v>0</v>
      </c>
      <c r="J34" s="43">
        <f>'EST1'!J34+'EST2'!J34+'EST3'!J34+JHAHN!J34</f>
        <v>0</v>
      </c>
      <c r="K34" s="43">
        <f>'EST1'!K34+'EST2'!K34+'EST3'!K34+JHAHN!K34</f>
        <v>0</v>
      </c>
      <c r="L34" s="43">
        <f>'EST1'!L34+'EST2'!L34+'EST3'!L34+JHAHN!L34</f>
        <v>0</v>
      </c>
      <c r="M34" s="34">
        <f>SUM(J34:L34)</f>
        <v>0</v>
      </c>
      <c r="N34" s="43">
        <f>'EST1'!N34+'EST2'!N34+'EST3'!N34+JHAHN!N34</f>
        <v>0</v>
      </c>
      <c r="O34" s="43">
        <f>'EST1'!O34+'EST2'!O34+'EST3'!O34+JHAHN!O34</f>
        <v>0</v>
      </c>
      <c r="P34" s="43">
        <f>'EST1'!P34+'EST2'!P34+'EST3'!P34+JHAHN!P34</f>
        <v>0</v>
      </c>
      <c r="Q34" s="34">
        <f>SUM(N34:P34)</f>
        <v>0</v>
      </c>
      <c r="R34" s="43">
        <f>'EST1'!R34+'EST2'!R34+'EST3'!R34+JHAHN!R34</f>
        <v>0</v>
      </c>
      <c r="S34" s="43">
        <f>'EST1'!S34+'EST2'!S34+'EST3'!S34+JHAHN!S34</f>
        <v>0</v>
      </c>
      <c r="T34" s="43">
        <f>'EST1'!T34+'EST2'!T34+'EST3'!T34+JHAHN!T34</f>
        <v>0</v>
      </c>
      <c r="U34" s="34">
        <f>SUM(R34:T34)</f>
        <v>0</v>
      </c>
      <c r="V34" s="34">
        <f t="shared" si="35"/>
        <v>0</v>
      </c>
    </row>
    <row r="35" spans="1:22" ht="13.15" outlineLevel="2">
      <c r="A35" s="22"/>
      <c r="B35" s="22"/>
      <c r="C35" s="22"/>
      <c r="D35" s="25" t="s">
        <v>55</v>
      </c>
      <c r="E35" s="7">
        <v>0</v>
      </c>
      <c r="F35" s="43">
        <f>'EST1'!F35+'EST2'!F35+'EST3'!F35+JHAHN!F35</f>
        <v>0</v>
      </c>
      <c r="G35" s="43">
        <f>'EST1'!G35+'EST2'!G35+'EST3'!G35+JHAHN!G35</f>
        <v>0</v>
      </c>
      <c r="H35" s="43">
        <f>'EST1'!H35+'EST2'!H35+'EST3'!H35+JHAHN!H35</f>
        <v>0</v>
      </c>
      <c r="I35" s="34">
        <f>SUM(F35:H35)</f>
        <v>0</v>
      </c>
      <c r="J35" s="43">
        <f>'EST1'!J35+'EST2'!J35+'EST3'!J35+JHAHN!J35</f>
        <v>0</v>
      </c>
      <c r="K35" s="43">
        <f>'EST1'!K35+'EST2'!K35+'EST3'!K35+JHAHN!K35</f>
        <v>0</v>
      </c>
      <c r="L35" s="43">
        <f>'EST1'!L35+'EST2'!L35+'EST3'!L35+JHAHN!L35</f>
        <v>0</v>
      </c>
      <c r="M35" s="34">
        <f>SUM(J35:L35)</f>
        <v>0</v>
      </c>
      <c r="N35" s="43">
        <f>'EST1'!N35+'EST2'!N35+'EST3'!N35+JHAHN!N35</f>
        <v>0</v>
      </c>
      <c r="O35" s="43">
        <f>'EST1'!O35+'EST2'!O35+'EST3'!O35+JHAHN!O35</f>
        <v>0</v>
      </c>
      <c r="P35" s="43">
        <f>'EST1'!P35+'EST2'!P35+'EST3'!P35+JHAHN!P35</f>
        <v>0</v>
      </c>
      <c r="Q35" s="34">
        <f>SUM(N35:P35)</f>
        <v>0</v>
      </c>
      <c r="R35" s="43">
        <f>'EST1'!R35+'EST2'!R35+'EST3'!R35+JHAHN!R35</f>
        <v>0</v>
      </c>
      <c r="S35" s="43">
        <f>'EST1'!S35+'EST2'!S35+'EST3'!S35+JHAHN!S35</f>
        <v>0</v>
      </c>
      <c r="T35" s="43">
        <f>'EST1'!T35+'EST2'!T35+'EST3'!T35+JHAHN!T35</f>
        <v>0</v>
      </c>
      <c r="U35" s="34">
        <f>SUM(R35:T35)</f>
        <v>0</v>
      </c>
      <c r="V35" s="34">
        <f t="shared" si="35"/>
        <v>0</v>
      </c>
    </row>
    <row r="36" spans="1:22" ht="13.15" outlineLevel="2">
      <c r="A36" s="22"/>
      <c r="B36" s="22"/>
      <c r="C36" s="22"/>
      <c r="D36" s="25" t="s">
        <v>96</v>
      </c>
      <c r="E36" s="7">
        <v>0</v>
      </c>
      <c r="F36" s="43">
        <f>'EST1'!F36+'EST2'!F36+'EST3'!F36+JHAHN!F36</f>
        <v>7000000</v>
      </c>
      <c r="G36" s="43">
        <f>'EST1'!G36+'EST2'!G36+'EST3'!G36+JHAHN!G36</f>
        <v>7000000</v>
      </c>
      <c r="H36" s="43">
        <f>'EST1'!H36+'EST2'!H36+'EST3'!H36+JHAHN!H36</f>
        <v>7000000</v>
      </c>
      <c r="I36" s="34">
        <f>SUM(F36:H36)</f>
        <v>21000000</v>
      </c>
      <c r="J36" s="43">
        <f>'EST1'!J36+'EST2'!J36+'EST3'!J36+JHAHN!J36</f>
        <v>7000000</v>
      </c>
      <c r="K36" s="43">
        <f>'EST1'!K36+'EST2'!K36+'EST3'!K36+JHAHN!K36</f>
        <v>7000000</v>
      </c>
      <c r="L36" s="43">
        <f>'EST1'!L36+'EST2'!L36+'EST3'!L36+JHAHN!L36</f>
        <v>7000000</v>
      </c>
      <c r="M36" s="34">
        <f>SUM(J36:L36)</f>
        <v>21000000</v>
      </c>
      <c r="N36" s="43">
        <f>'EST1'!N36+'EST2'!N36+'EST3'!N36+JHAHN!N36</f>
        <v>7000000</v>
      </c>
      <c r="O36" s="43">
        <f>'EST1'!O36+'EST2'!O36+'EST3'!O36+JHAHN!O36</f>
        <v>7000000</v>
      </c>
      <c r="P36" s="43">
        <f>'EST1'!P36+'EST2'!P36+'EST3'!P36+JHAHN!P36</f>
        <v>7000000</v>
      </c>
      <c r="Q36" s="34">
        <f>SUM(N36:P36)</f>
        <v>21000000</v>
      </c>
      <c r="R36" s="43">
        <f>'EST1'!R36+'EST2'!R36+'EST3'!R36+JHAHN!R36</f>
        <v>7000000</v>
      </c>
      <c r="S36" s="43">
        <f>'EST1'!S36+'EST2'!S36+'EST3'!S36+JHAHN!S36</f>
        <v>7000000</v>
      </c>
      <c r="T36" s="43">
        <f>'EST1'!T36+'EST2'!T36+'EST3'!T36+JHAHN!T36</f>
        <v>7000000</v>
      </c>
      <c r="U36" s="34">
        <f>SUM(R36:T36)</f>
        <v>21000000</v>
      </c>
      <c r="V36" s="34">
        <f t="shared" si="35"/>
        <v>84000000</v>
      </c>
    </row>
    <row r="37" spans="1:22" ht="13.15" outlineLevel="1">
      <c r="A37" s="24"/>
      <c r="B37" s="24" t="s">
        <v>0</v>
      </c>
      <c r="C37" s="24"/>
      <c r="D37" s="24"/>
      <c r="E37" s="8"/>
      <c r="F37" s="44">
        <f t="shared" ref="F37" si="36">SUM(F33:F36)</f>
        <v>77000000</v>
      </c>
      <c r="G37" s="44">
        <f t="shared" ref="G37:H37" si="37">SUM(G33:G36)</f>
        <v>77000000</v>
      </c>
      <c r="H37" s="44">
        <f t="shared" si="37"/>
        <v>77000000</v>
      </c>
      <c r="I37" s="35">
        <f>SUM(I33:I36)</f>
        <v>231000000</v>
      </c>
      <c r="J37" s="44">
        <f t="shared" ref="J37:L37" si="38">SUM(J33:J36)</f>
        <v>77000000</v>
      </c>
      <c r="K37" s="44">
        <f t="shared" si="38"/>
        <v>77000000</v>
      </c>
      <c r="L37" s="44">
        <f t="shared" si="38"/>
        <v>77000000</v>
      </c>
      <c r="M37" s="35">
        <f>SUM(M33:M36)</f>
        <v>231000000</v>
      </c>
      <c r="N37" s="44">
        <f t="shared" ref="N37:P37" si="39">SUM(N33:N36)</f>
        <v>77000000</v>
      </c>
      <c r="O37" s="44">
        <f t="shared" si="39"/>
        <v>77000000</v>
      </c>
      <c r="P37" s="44">
        <f t="shared" si="39"/>
        <v>77000000</v>
      </c>
      <c r="Q37" s="35">
        <f>SUM(Q33:Q36)</f>
        <v>231000000</v>
      </c>
      <c r="R37" s="44">
        <f t="shared" ref="R37:T37" si="40">SUM(R33:R36)</f>
        <v>77000000</v>
      </c>
      <c r="S37" s="44">
        <f t="shared" si="40"/>
        <v>77000000</v>
      </c>
      <c r="T37" s="44">
        <f t="shared" si="40"/>
        <v>77000000</v>
      </c>
      <c r="U37" s="35">
        <f>SUM(U33:U36)</f>
        <v>231000000</v>
      </c>
      <c r="V37" s="35">
        <f t="shared" si="35"/>
        <v>924000000</v>
      </c>
    </row>
    <row r="38" spans="1:22" ht="13.15" outlineLevel="2">
      <c r="A38" s="22"/>
      <c r="B38" s="22"/>
      <c r="C38" s="23" t="s">
        <v>38</v>
      </c>
      <c r="D38" s="22"/>
      <c r="F38" s="43"/>
      <c r="G38" s="43"/>
      <c r="H38" s="43"/>
      <c r="I38" s="34"/>
      <c r="J38" s="43"/>
      <c r="K38" s="43"/>
      <c r="L38" s="43"/>
      <c r="M38" s="34"/>
      <c r="N38" s="43"/>
      <c r="O38" s="43"/>
      <c r="P38" s="43"/>
      <c r="Q38" s="34"/>
      <c r="R38" s="43"/>
      <c r="S38" s="43"/>
      <c r="T38" s="43"/>
      <c r="U38" s="34"/>
      <c r="V38" s="34"/>
    </row>
    <row r="39" spans="1:22" ht="13.15" outlineLevel="2">
      <c r="A39" s="22"/>
      <c r="B39" s="22"/>
      <c r="C39" s="22"/>
      <c r="D39" s="25" t="s">
        <v>30</v>
      </c>
      <c r="E39" s="7">
        <v>0</v>
      </c>
      <c r="F39" s="43">
        <f>'EST1'!F39+'EST2'!F39+'EST3'!F39+JHAHN!F39</f>
        <v>3800000</v>
      </c>
      <c r="G39" s="43">
        <f>'EST1'!G39+'EST2'!G39+'EST3'!G39+JHAHN!G39</f>
        <v>3800000</v>
      </c>
      <c r="H39" s="43">
        <f>'EST1'!H39+'EST2'!H39+'EST3'!H39+JHAHN!H39</f>
        <v>3800000</v>
      </c>
      <c r="I39" s="34">
        <f t="shared" ref="I39:I50" si="41">SUM(F39:H39)</f>
        <v>11400000</v>
      </c>
      <c r="J39" s="43">
        <f>'EST1'!J39+'EST2'!J39+'EST3'!J39+JHAHN!J39</f>
        <v>3800000</v>
      </c>
      <c r="K39" s="43">
        <f>'EST1'!K39+'EST2'!K39+'EST3'!K39+JHAHN!K39</f>
        <v>3800000</v>
      </c>
      <c r="L39" s="43">
        <f>'EST1'!L39+'EST2'!L39+'EST3'!L39+JHAHN!L39</f>
        <v>3800000</v>
      </c>
      <c r="M39" s="34">
        <f t="shared" ref="M39:M50" si="42">SUM(J39:L39)</f>
        <v>11400000</v>
      </c>
      <c r="N39" s="43">
        <f>'EST1'!N39+'EST2'!N39+'EST3'!N39+JHAHN!N39</f>
        <v>3800000</v>
      </c>
      <c r="O39" s="43">
        <f>'EST1'!O39+'EST2'!O39+'EST3'!O39+JHAHN!O39</f>
        <v>3800000</v>
      </c>
      <c r="P39" s="43">
        <f>'EST1'!P39+'EST2'!P39+'EST3'!P39+JHAHN!P39</f>
        <v>3800000</v>
      </c>
      <c r="Q39" s="34">
        <f t="shared" ref="Q39:Q50" si="43">SUM(N39:P39)</f>
        <v>11400000</v>
      </c>
      <c r="R39" s="43">
        <f>'EST1'!R39+'EST2'!R39+'EST3'!R39+JHAHN!R39</f>
        <v>3800000</v>
      </c>
      <c r="S39" s="43">
        <f>'EST1'!S39+'EST2'!S39+'EST3'!S39+JHAHN!S39</f>
        <v>3800000</v>
      </c>
      <c r="T39" s="43">
        <f>'EST1'!T39+'EST2'!T39+'EST3'!T39+JHAHN!T39</f>
        <v>3800000</v>
      </c>
      <c r="U39" s="34">
        <f t="shared" ref="U39:U50" si="44">SUM(R39:T39)</f>
        <v>11400000</v>
      </c>
      <c r="V39" s="34">
        <f t="shared" ref="V39:V53" si="45">I39+M39+Q39+U39</f>
        <v>45600000</v>
      </c>
    </row>
    <row r="40" spans="1:22" ht="13.15" outlineLevel="2">
      <c r="A40" s="22"/>
      <c r="B40" s="22"/>
      <c r="C40" s="22"/>
      <c r="D40" s="25" t="s">
        <v>31</v>
      </c>
      <c r="E40" s="7">
        <v>0</v>
      </c>
      <c r="F40" s="43">
        <f>'EST1'!F40+'EST2'!F40+'EST3'!F40+JHAHN!F40</f>
        <v>3800000</v>
      </c>
      <c r="G40" s="43">
        <f>'EST1'!G40+'EST2'!G40+'EST3'!G40+JHAHN!G40</f>
        <v>3800000</v>
      </c>
      <c r="H40" s="43">
        <f>'EST1'!H40+'EST2'!H40+'EST3'!H40+JHAHN!H40</f>
        <v>3800000</v>
      </c>
      <c r="I40" s="34">
        <f t="shared" si="41"/>
        <v>11400000</v>
      </c>
      <c r="J40" s="43">
        <f>'EST1'!J40+'EST2'!J40+'EST3'!J40+JHAHN!J40</f>
        <v>3800000</v>
      </c>
      <c r="K40" s="43">
        <f>'EST1'!K40+'EST2'!K40+'EST3'!K40+JHAHN!K40</f>
        <v>3800000</v>
      </c>
      <c r="L40" s="43">
        <f>'EST1'!L40+'EST2'!L40+'EST3'!L40+JHAHN!L40</f>
        <v>3800000</v>
      </c>
      <c r="M40" s="34">
        <f t="shared" si="42"/>
        <v>11400000</v>
      </c>
      <c r="N40" s="43">
        <f>'EST1'!N40+'EST2'!N40+'EST3'!N40+JHAHN!N40</f>
        <v>3800000</v>
      </c>
      <c r="O40" s="43">
        <f>'EST1'!O40+'EST2'!O40+'EST3'!O40+JHAHN!O40</f>
        <v>3800000</v>
      </c>
      <c r="P40" s="43">
        <f>'EST1'!P40+'EST2'!P40+'EST3'!P40+JHAHN!P40</f>
        <v>3800000</v>
      </c>
      <c r="Q40" s="34">
        <f t="shared" si="43"/>
        <v>11400000</v>
      </c>
      <c r="R40" s="43">
        <f>'EST1'!R40+'EST2'!R40+'EST3'!R40+JHAHN!R40</f>
        <v>3800000</v>
      </c>
      <c r="S40" s="43">
        <f>'EST1'!S40+'EST2'!S40+'EST3'!S40+JHAHN!S40</f>
        <v>3800000</v>
      </c>
      <c r="T40" s="43">
        <f>'EST1'!T40+'EST2'!T40+'EST3'!T40+JHAHN!T40</f>
        <v>3800000</v>
      </c>
      <c r="U40" s="34">
        <f t="shared" si="44"/>
        <v>11400000</v>
      </c>
      <c r="V40" s="34">
        <f t="shared" si="45"/>
        <v>45600000</v>
      </c>
    </row>
    <row r="41" spans="1:22" ht="13.15" outlineLevel="2">
      <c r="A41" s="22"/>
      <c r="B41" s="22"/>
      <c r="C41" s="22"/>
      <c r="D41" s="25" t="s">
        <v>32</v>
      </c>
      <c r="E41" s="7">
        <v>0</v>
      </c>
      <c r="F41" s="43">
        <f>'EST1'!F41+'EST2'!F41+'EST3'!F41+JHAHN!F41</f>
        <v>1000000</v>
      </c>
      <c r="G41" s="43">
        <f>'EST1'!G41+'EST2'!G41+'EST3'!G41+JHAHN!G41</f>
        <v>1000000</v>
      </c>
      <c r="H41" s="43">
        <f>'EST1'!H41+'EST2'!H41+'EST3'!H41+JHAHN!H41</f>
        <v>1000000</v>
      </c>
      <c r="I41" s="34">
        <f t="shared" si="41"/>
        <v>3000000</v>
      </c>
      <c r="J41" s="43">
        <f>'EST1'!J41+'EST2'!J41+'EST3'!J41+JHAHN!J41</f>
        <v>1000000</v>
      </c>
      <c r="K41" s="43">
        <f>'EST1'!K41+'EST2'!K41+'EST3'!K41+JHAHN!K41</f>
        <v>1000000</v>
      </c>
      <c r="L41" s="43">
        <f>'EST1'!L41+'EST2'!L41+'EST3'!L41+JHAHN!L41</f>
        <v>1000000</v>
      </c>
      <c r="M41" s="34">
        <f t="shared" si="42"/>
        <v>3000000</v>
      </c>
      <c r="N41" s="43">
        <f>'EST1'!N41+'EST2'!N41+'EST3'!N41+JHAHN!N41</f>
        <v>1000000</v>
      </c>
      <c r="O41" s="43">
        <f>'EST1'!O41+'EST2'!O41+'EST3'!O41+JHAHN!O41</f>
        <v>1000000</v>
      </c>
      <c r="P41" s="43">
        <f>'EST1'!P41+'EST2'!P41+'EST3'!P41+JHAHN!P41</f>
        <v>1000000</v>
      </c>
      <c r="Q41" s="34">
        <f t="shared" si="43"/>
        <v>3000000</v>
      </c>
      <c r="R41" s="43">
        <f>'EST1'!R41+'EST2'!R41+'EST3'!R41+JHAHN!R41</f>
        <v>1000000</v>
      </c>
      <c r="S41" s="43">
        <f>'EST1'!S41+'EST2'!S41+'EST3'!S41+JHAHN!S41</f>
        <v>1000000</v>
      </c>
      <c r="T41" s="43">
        <f>'EST1'!T41+'EST2'!T41+'EST3'!T41+JHAHN!T41</f>
        <v>1000000</v>
      </c>
      <c r="U41" s="34">
        <f t="shared" si="44"/>
        <v>3000000</v>
      </c>
      <c r="V41" s="34">
        <f t="shared" si="45"/>
        <v>12000000</v>
      </c>
    </row>
    <row r="42" spans="1:22" ht="13.15" outlineLevel="2">
      <c r="A42" s="22"/>
      <c r="B42" s="22"/>
      <c r="C42" s="22"/>
      <c r="D42" s="25" t="s">
        <v>98</v>
      </c>
      <c r="E42" s="7">
        <v>0</v>
      </c>
      <c r="F42" s="43">
        <f>'EST1'!F42+'EST2'!F42+'EST3'!F42+JHAHN!F42</f>
        <v>474000</v>
      </c>
      <c r="G42" s="43">
        <f>'EST1'!G42+'EST2'!G42+'EST3'!G42+JHAHN!G42</f>
        <v>474000</v>
      </c>
      <c r="H42" s="43">
        <f>'EST1'!H42+'EST2'!H42+'EST3'!H42+JHAHN!H42</f>
        <v>474000</v>
      </c>
      <c r="I42" s="34">
        <f t="shared" ref="I42" si="46">SUM(F42:H42)</f>
        <v>1422000</v>
      </c>
      <c r="J42" s="43">
        <f>'EST1'!J42+'EST2'!J42+'EST3'!J42+JHAHN!J42</f>
        <v>474000</v>
      </c>
      <c r="K42" s="43">
        <f>'EST1'!K42+'EST2'!K42+'EST3'!K42+JHAHN!K42</f>
        <v>474000</v>
      </c>
      <c r="L42" s="43">
        <f>'EST1'!L42+'EST2'!L42+'EST3'!L42+JHAHN!L42</f>
        <v>474000</v>
      </c>
      <c r="M42" s="34">
        <f t="shared" ref="M42" si="47">SUM(J42:L42)</f>
        <v>1422000</v>
      </c>
      <c r="N42" s="43">
        <f>'EST1'!N42+'EST2'!N42+'EST3'!N42+JHAHN!N42</f>
        <v>474000</v>
      </c>
      <c r="O42" s="43">
        <f>'EST1'!O42+'EST2'!O42+'EST3'!O42+JHAHN!O42</f>
        <v>474000</v>
      </c>
      <c r="P42" s="43">
        <f>'EST1'!P42+'EST2'!P42+'EST3'!P42+JHAHN!P42</f>
        <v>474000</v>
      </c>
      <c r="Q42" s="34">
        <f t="shared" ref="Q42" si="48">SUM(N42:P42)</f>
        <v>1422000</v>
      </c>
      <c r="R42" s="43">
        <f>'EST1'!R42+'EST2'!R42+'EST3'!R42+JHAHN!R42</f>
        <v>474000</v>
      </c>
      <c r="S42" s="43">
        <f>'EST1'!S42+'EST2'!S42+'EST3'!S42+JHAHN!S42</f>
        <v>474000</v>
      </c>
      <c r="T42" s="43">
        <f>'EST1'!T42+'EST2'!T42+'EST3'!T42+JHAHN!T42</f>
        <v>474000</v>
      </c>
      <c r="U42" s="34">
        <f t="shared" ref="U42" si="49">SUM(R42:T42)</f>
        <v>1422000</v>
      </c>
      <c r="V42" s="34">
        <f t="shared" si="45"/>
        <v>5688000</v>
      </c>
    </row>
    <row r="43" spans="1:22" ht="13.15" outlineLevel="2">
      <c r="A43" s="22"/>
      <c r="B43" s="22"/>
      <c r="C43" s="22"/>
      <c r="D43" s="25" t="s">
        <v>56</v>
      </c>
      <c r="E43" s="7">
        <v>0</v>
      </c>
      <c r="F43" s="43">
        <f>'EST1'!F43+'EST2'!F43+'EST3'!F43+JHAHN!F43</f>
        <v>85000</v>
      </c>
      <c r="G43" s="43">
        <f>'EST1'!G43+'EST2'!G43+'EST3'!G43+JHAHN!G43</f>
        <v>85000</v>
      </c>
      <c r="H43" s="43">
        <f>'EST1'!H43+'EST2'!H43+'EST3'!H43+JHAHN!H43</f>
        <v>85000</v>
      </c>
      <c r="I43" s="34">
        <f t="shared" si="41"/>
        <v>255000</v>
      </c>
      <c r="J43" s="43">
        <f>'EST1'!J43+'EST2'!J43+'EST3'!J43+JHAHN!J43</f>
        <v>85000</v>
      </c>
      <c r="K43" s="43">
        <f>'EST1'!K43+'EST2'!K43+'EST3'!K43+JHAHN!K43</f>
        <v>85000</v>
      </c>
      <c r="L43" s="43">
        <f>'EST1'!L43+'EST2'!L43+'EST3'!L43+JHAHN!L43</f>
        <v>85000</v>
      </c>
      <c r="M43" s="34">
        <f t="shared" si="42"/>
        <v>255000</v>
      </c>
      <c r="N43" s="43">
        <f>'EST1'!N43+'EST2'!N43+'EST3'!N43+JHAHN!N43</f>
        <v>85000</v>
      </c>
      <c r="O43" s="43">
        <f>'EST1'!O43+'EST2'!O43+'EST3'!O43+JHAHN!O43</f>
        <v>85000</v>
      </c>
      <c r="P43" s="43">
        <f>'EST1'!P43+'EST2'!P43+'EST3'!P43+JHAHN!P43</f>
        <v>85000</v>
      </c>
      <c r="Q43" s="34">
        <f t="shared" si="43"/>
        <v>255000</v>
      </c>
      <c r="R43" s="43">
        <f>'EST1'!R43+'EST2'!R43+'EST3'!R43+JHAHN!R43</f>
        <v>85000</v>
      </c>
      <c r="S43" s="43">
        <f>'EST1'!S43+'EST2'!S43+'EST3'!S43+JHAHN!S43</f>
        <v>85000</v>
      </c>
      <c r="T43" s="43">
        <f>'EST1'!T43+'EST2'!T43+'EST3'!T43+JHAHN!T43</f>
        <v>85000</v>
      </c>
      <c r="U43" s="34">
        <f t="shared" si="44"/>
        <v>255000</v>
      </c>
      <c r="V43" s="34">
        <f t="shared" si="45"/>
        <v>1020000</v>
      </c>
    </row>
    <row r="44" spans="1:22" ht="13.15" outlineLevel="2">
      <c r="A44" s="22"/>
      <c r="B44" s="22"/>
      <c r="C44" s="22"/>
      <c r="D44" s="25" t="s">
        <v>57</v>
      </c>
      <c r="F44" s="43">
        <f>'EST1'!F44+'EST2'!F44+'EST3'!F44+JHAHN!F44</f>
        <v>738000</v>
      </c>
      <c r="G44" s="43">
        <f>'EST1'!G44+'EST2'!G44+'EST3'!G44+JHAHN!G44</f>
        <v>738000</v>
      </c>
      <c r="H44" s="43">
        <f>'EST1'!H44+'EST2'!H44+'EST3'!H44+JHAHN!H44</f>
        <v>738000</v>
      </c>
      <c r="I44" s="34">
        <f t="shared" si="41"/>
        <v>2214000</v>
      </c>
      <c r="J44" s="43">
        <f>'EST1'!J44+'EST2'!J44+'EST3'!J44+JHAHN!J44</f>
        <v>738000</v>
      </c>
      <c r="K44" s="43">
        <f>'EST1'!K44+'EST2'!K44+'EST3'!K44+JHAHN!K44</f>
        <v>738000</v>
      </c>
      <c r="L44" s="43">
        <f>'EST1'!L44+'EST2'!L44+'EST3'!L44+JHAHN!L44</f>
        <v>738000</v>
      </c>
      <c r="M44" s="34">
        <f t="shared" si="42"/>
        <v>2214000</v>
      </c>
      <c r="N44" s="43">
        <f>'EST1'!N44+'EST2'!N44+'EST3'!N44+JHAHN!N44</f>
        <v>738000</v>
      </c>
      <c r="O44" s="43">
        <f>'EST1'!O44+'EST2'!O44+'EST3'!O44+JHAHN!O44</f>
        <v>738000</v>
      </c>
      <c r="P44" s="43">
        <f>'EST1'!P44+'EST2'!P44+'EST3'!P44+JHAHN!P44</f>
        <v>738000</v>
      </c>
      <c r="Q44" s="34">
        <f t="shared" si="43"/>
        <v>2214000</v>
      </c>
      <c r="R44" s="43">
        <f>'EST1'!R44+'EST2'!R44+'EST3'!R44+JHAHN!R44</f>
        <v>738000</v>
      </c>
      <c r="S44" s="43">
        <f>'EST1'!S44+'EST2'!S44+'EST3'!S44+JHAHN!S44</f>
        <v>738000</v>
      </c>
      <c r="T44" s="43">
        <f>'EST1'!T44+'EST2'!T44+'EST3'!T44+JHAHN!T44</f>
        <v>738000</v>
      </c>
      <c r="U44" s="34">
        <f t="shared" si="44"/>
        <v>2214000</v>
      </c>
      <c r="V44" s="34">
        <f t="shared" si="45"/>
        <v>8856000</v>
      </c>
    </row>
    <row r="45" spans="1:22" ht="13.15" outlineLevel="2">
      <c r="A45" s="22"/>
      <c r="B45" s="22"/>
      <c r="C45" s="22"/>
      <c r="D45" s="25" t="s">
        <v>54</v>
      </c>
      <c r="E45" s="7">
        <v>0</v>
      </c>
      <c r="F45" s="43">
        <f>'EST1'!F45+'EST2'!F45+'EST3'!F45+JHAHN!F45</f>
        <v>350000</v>
      </c>
      <c r="G45" s="43">
        <f>'EST1'!G45+'EST2'!G45+'EST3'!G45+JHAHN!G45</f>
        <v>350000</v>
      </c>
      <c r="H45" s="43">
        <f>'EST1'!H45+'EST2'!H45+'EST3'!H45+JHAHN!H45</f>
        <v>350000</v>
      </c>
      <c r="I45" s="34">
        <f t="shared" si="41"/>
        <v>1050000</v>
      </c>
      <c r="J45" s="43">
        <f>'EST1'!J45+'EST2'!J45+'EST3'!J45+JHAHN!J45</f>
        <v>350000</v>
      </c>
      <c r="K45" s="43">
        <f>'EST1'!K45+'EST2'!K45+'EST3'!K45+JHAHN!K45</f>
        <v>350000</v>
      </c>
      <c r="L45" s="43">
        <f>'EST1'!L45+'EST2'!L45+'EST3'!L45+JHAHN!L45</f>
        <v>350000</v>
      </c>
      <c r="M45" s="34">
        <f t="shared" si="42"/>
        <v>1050000</v>
      </c>
      <c r="N45" s="43">
        <f>'EST1'!N45+'EST2'!N45+'EST3'!N45+JHAHN!N45</f>
        <v>350000</v>
      </c>
      <c r="O45" s="43">
        <f>'EST1'!O45+'EST2'!O45+'EST3'!O45+JHAHN!O45</f>
        <v>350000</v>
      </c>
      <c r="P45" s="43">
        <f>'EST1'!P45+'EST2'!P45+'EST3'!P45+JHAHN!P45</f>
        <v>350000</v>
      </c>
      <c r="Q45" s="34">
        <f t="shared" si="43"/>
        <v>1050000</v>
      </c>
      <c r="R45" s="43">
        <f>'EST1'!R45+'EST2'!R45+'EST3'!R45+JHAHN!R45</f>
        <v>350000</v>
      </c>
      <c r="S45" s="43">
        <f>'EST1'!S45+'EST2'!S45+'EST3'!S45+JHAHN!S45</f>
        <v>350000</v>
      </c>
      <c r="T45" s="43">
        <f>'EST1'!T45+'EST2'!T45+'EST3'!T45+JHAHN!T45</f>
        <v>350000</v>
      </c>
      <c r="U45" s="34">
        <f t="shared" si="44"/>
        <v>1050000</v>
      </c>
      <c r="V45" s="34">
        <f t="shared" si="45"/>
        <v>4200000</v>
      </c>
    </row>
    <row r="46" spans="1:22" ht="13.15" outlineLevel="2">
      <c r="A46" s="22"/>
      <c r="B46" s="22"/>
      <c r="C46" s="22"/>
      <c r="D46" s="25" t="s">
        <v>34</v>
      </c>
      <c r="E46" s="7">
        <v>0</v>
      </c>
      <c r="F46" s="43">
        <f>'EST1'!F46+'EST2'!F46+'EST3'!F46+JHAHN!F46</f>
        <v>0</v>
      </c>
      <c r="G46" s="43">
        <f>'EST1'!G46+'EST2'!G46+'EST3'!G46+JHAHN!G46</f>
        <v>0</v>
      </c>
      <c r="H46" s="43">
        <f>'EST1'!H46+'EST2'!H46+'EST3'!H46+JHAHN!H46</f>
        <v>0</v>
      </c>
      <c r="I46" s="34">
        <f t="shared" si="41"/>
        <v>0</v>
      </c>
      <c r="J46" s="43">
        <f>'EST1'!J46+'EST2'!J46+'EST3'!J46+JHAHN!J46</f>
        <v>0</v>
      </c>
      <c r="K46" s="43">
        <f>'EST1'!K46+'EST2'!K46+'EST3'!K46+JHAHN!K46</f>
        <v>0</v>
      </c>
      <c r="L46" s="43">
        <f>'EST1'!L46+'EST2'!L46+'EST3'!L46+JHAHN!L46</f>
        <v>0</v>
      </c>
      <c r="M46" s="34">
        <f t="shared" si="42"/>
        <v>0</v>
      </c>
      <c r="N46" s="43">
        <f>'EST1'!N46+'EST2'!N46+'EST3'!N46+JHAHN!N46</f>
        <v>0</v>
      </c>
      <c r="O46" s="43">
        <f>'EST1'!O46+'EST2'!O46+'EST3'!O46+JHAHN!O46</f>
        <v>0</v>
      </c>
      <c r="P46" s="43">
        <f>'EST1'!P46+'EST2'!P46+'EST3'!P46+JHAHN!P46</f>
        <v>0</v>
      </c>
      <c r="Q46" s="34">
        <f t="shared" si="43"/>
        <v>0</v>
      </c>
      <c r="R46" s="43">
        <f>'EST1'!R46+'EST2'!R46+'EST3'!R46+JHAHN!R46</f>
        <v>0</v>
      </c>
      <c r="S46" s="43">
        <f>'EST1'!S46+'EST2'!S46+'EST3'!S46+JHAHN!S46</f>
        <v>0</v>
      </c>
      <c r="T46" s="43">
        <f>'EST1'!T46+'EST2'!T46+'EST3'!T46+JHAHN!T46</f>
        <v>0</v>
      </c>
      <c r="U46" s="34">
        <f t="shared" si="44"/>
        <v>0</v>
      </c>
      <c r="V46" s="34">
        <f t="shared" si="45"/>
        <v>0</v>
      </c>
    </row>
    <row r="47" spans="1:22" ht="13.15" outlineLevel="2">
      <c r="A47" s="22"/>
      <c r="B47" s="22"/>
      <c r="C47" s="22"/>
      <c r="D47" s="25" t="s">
        <v>65</v>
      </c>
      <c r="E47" s="7">
        <v>0</v>
      </c>
      <c r="F47" s="43">
        <f>'EST1'!F47+'EST2'!F47+'EST3'!F47+JHAHN!F47</f>
        <v>0</v>
      </c>
      <c r="G47" s="43">
        <f>'EST1'!G47+'EST2'!G47+'EST3'!G47+JHAHN!G47</f>
        <v>0</v>
      </c>
      <c r="H47" s="43">
        <f>'EST1'!H47+'EST2'!H47+'EST3'!H47+JHAHN!H47</f>
        <v>0</v>
      </c>
      <c r="I47" s="34">
        <f t="shared" si="41"/>
        <v>0</v>
      </c>
      <c r="J47" s="43">
        <f>'EST1'!J47+'EST2'!J47+'EST3'!J47+JHAHN!J47</f>
        <v>0</v>
      </c>
      <c r="K47" s="43">
        <f>'EST1'!K47+'EST2'!K47+'EST3'!K47+JHAHN!K47</f>
        <v>0</v>
      </c>
      <c r="L47" s="43">
        <f>'EST1'!L47+'EST2'!L47+'EST3'!L47+JHAHN!L47</f>
        <v>0</v>
      </c>
      <c r="M47" s="34">
        <f t="shared" si="42"/>
        <v>0</v>
      </c>
      <c r="N47" s="43">
        <f>'EST1'!N47+'EST2'!N47+'EST3'!N47+JHAHN!N47</f>
        <v>0</v>
      </c>
      <c r="O47" s="43">
        <f>'EST1'!O47+'EST2'!O47+'EST3'!O47+JHAHN!O47</f>
        <v>0</v>
      </c>
      <c r="P47" s="43">
        <f>'EST1'!P47+'EST2'!P47+'EST3'!P47+JHAHN!P47</f>
        <v>0</v>
      </c>
      <c r="Q47" s="34">
        <f t="shared" si="43"/>
        <v>0</v>
      </c>
      <c r="R47" s="43">
        <f>'EST1'!R47+'EST2'!R47+'EST3'!R47+JHAHN!R47</f>
        <v>0</v>
      </c>
      <c r="S47" s="43">
        <f>'EST1'!S47+'EST2'!S47+'EST3'!S47+JHAHN!S47</f>
        <v>0</v>
      </c>
      <c r="T47" s="43">
        <f>'EST1'!T47+'EST2'!T47+'EST3'!T47+JHAHN!T47</f>
        <v>0</v>
      </c>
      <c r="U47" s="34">
        <f t="shared" si="44"/>
        <v>0</v>
      </c>
      <c r="V47" s="34">
        <f t="shared" si="45"/>
        <v>0</v>
      </c>
    </row>
    <row r="48" spans="1:22" ht="13.15" outlineLevel="2">
      <c r="A48" s="22"/>
      <c r="B48" s="22"/>
      <c r="C48" s="22"/>
      <c r="D48" s="25" t="s">
        <v>64</v>
      </c>
      <c r="E48" s="7">
        <v>0</v>
      </c>
      <c r="F48" s="43">
        <f>'EST1'!F48+'EST2'!F48+'EST3'!F48+JHAHN!F48</f>
        <v>0</v>
      </c>
      <c r="G48" s="43">
        <f>'EST1'!G48+'EST2'!G48+'EST3'!G48+JHAHN!G48</f>
        <v>0</v>
      </c>
      <c r="H48" s="43">
        <f>'EST1'!H48+'EST2'!H48+'EST3'!H48+JHAHN!H48</f>
        <v>0</v>
      </c>
      <c r="I48" s="34">
        <f t="shared" si="41"/>
        <v>0</v>
      </c>
      <c r="J48" s="43">
        <f>'EST1'!J48+'EST2'!J48+'EST3'!J48+JHAHN!J48</f>
        <v>0</v>
      </c>
      <c r="K48" s="43">
        <f>'EST1'!K48+'EST2'!K48+'EST3'!K48+JHAHN!K48</f>
        <v>0</v>
      </c>
      <c r="L48" s="43">
        <f>'EST1'!L48+'EST2'!L48+'EST3'!L48+JHAHN!L48</f>
        <v>0</v>
      </c>
      <c r="M48" s="34">
        <f t="shared" si="42"/>
        <v>0</v>
      </c>
      <c r="N48" s="43">
        <f>'EST1'!N48+'EST2'!N48+'EST3'!N48+JHAHN!N48</f>
        <v>0</v>
      </c>
      <c r="O48" s="43">
        <f>'EST1'!O48+'EST2'!O48+'EST3'!O48+JHAHN!O48</f>
        <v>0</v>
      </c>
      <c r="P48" s="43">
        <f>'EST1'!P48+'EST2'!P48+'EST3'!P48+JHAHN!P48</f>
        <v>0</v>
      </c>
      <c r="Q48" s="34">
        <f t="shared" si="43"/>
        <v>0</v>
      </c>
      <c r="R48" s="43">
        <f>'EST1'!R48+'EST2'!R48+'EST3'!R48+JHAHN!R48</f>
        <v>0</v>
      </c>
      <c r="S48" s="43">
        <f>'EST1'!S48+'EST2'!S48+'EST3'!S48+JHAHN!S48</f>
        <v>0</v>
      </c>
      <c r="T48" s="43">
        <f>'EST1'!T48+'EST2'!T48+'EST3'!T48+JHAHN!T48</f>
        <v>0</v>
      </c>
      <c r="U48" s="34">
        <f t="shared" si="44"/>
        <v>0</v>
      </c>
      <c r="V48" s="34">
        <f t="shared" si="45"/>
        <v>0</v>
      </c>
    </row>
    <row r="49" spans="1:22" ht="13.15" outlineLevel="2">
      <c r="A49" s="22"/>
      <c r="B49" s="22"/>
      <c r="C49" s="22"/>
      <c r="D49" s="25" t="s">
        <v>112</v>
      </c>
      <c r="F49" s="43">
        <f>'EST1'!F49+'EST2'!F49+'EST3'!F49+JHAHN!F49</f>
        <v>545000</v>
      </c>
      <c r="G49" s="43">
        <f>'EST1'!G49+'EST2'!G49+'EST3'!G49+JHAHN!G49</f>
        <v>545000</v>
      </c>
      <c r="H49" s="43">
        <f>'EST1'!H49+'EST2'!H49+'EST3'!H49+JHAHN!H49</f>
        <v>545000</v>
      </c>
      <c r="I49" s="34">
        <f t="shared" si="41"/>
        <v>1635000</v>
      </c>
      <c r="J49" s="43">
        <f>'EST1'!J49+'EST2'!J49+'EST3'!J49+JHAHN!J49</f>
        <v>545000</v>
      </c>
      <c r="K49" s="43">
        <f>'EST1'!K49+'EST2'!K49+'EST3'!K49+JHAHN!K49</f>
        <v>545000</v>
      </c>
      <c r="L49" s="43">
        <f>'EST1'!L49+'EST2'!L49+'EST3'!L49+JHAHN!L49</f>
        <v>545000</v>
      </c>
      <c r="M49" s="34">
        <f t="shared" si="42"/>
        <v>1635000</v>
      </c>
      <c r="N49" s="43">
        <f>'EST1'!N49+'EST2'!N49+'EST3'!N49+JHAHN!N49</f>
        <v>545000</v>
      </c>
      <c r="O49" s="43">
        <f>'EST1'!O49+'EST2'!O49+'EST3'!O49+JHAHN!O49</f>
        <v>545000</v>
      </c>
      <c r="P49" s="43">
        <f>'EST1'!P49+'EST2'!P49+'EST3'!P49+JHAHN!P49</f>
        <v>545000</v>
      </c>
      <c r="Q49" s="34">
        <f t="shared" si="43"/>
        <v>1635000</v>
      </c>
      <c r="R49" s="43">
        <f>'EST1'!R49+'EST2'!R49+'EST3'!R49+JHAHN!R49</f>
        <v>545000</v>
      </c>
      <c r="S49" s="43">
        <f>'EST1'!S49+'EST2'!S49+'EST3'!S49+JHAHN!S49</f>
        <v>545000</v>
      </c>
      <c r="T49" s="43">
        <f>'EST1'!T49+'EST2'!T49+'EST3'!T49+JHAHN!T49</f>
        <v>545000</v>
      </c>
      <c r="U49" s="34">
        <f t="shared" si="44"/>
        <v>1635000</v>
      </c>
      <c r="V49" s="34">
        <f t="shared" si="45"/>
        <v>6540000</v>
      </c>
    </row>
    <row r="50" spans="1:22" ht="13.15" outlineLevel="2">
      <c r="A50" s="22"/>
      <c r="B50" s="22"/>
      <c r="C50" s="22"/>
      <c r="D50" s="25" t="s">
        <v>119</v>
      </c>
      <c r="F50" s="43">
        <f>'EST1'!F50+'EST2'!F50+'EST3'!F50+JHAHN!F50</f>
        <v>336000</v>
      </c>
      <c r="G50" s="43">
        <f>'EST1'!G50+'EST2'!G50+'EST3'!G50+JHAHN!G50</f>
        <v>336000</v>
      </c>
      <c r="H50" s="43">
        <f>'EST1'!H50+'EST2'!H50+'EST3'!H50+JHAHN!H50</f>
        <v>336000</v>
      </c>
      <c r="I50" s="34">
        <f t="shared" si="41"/>
        <v>1008000</v>
      </c>
      <c r="J50" s="43">
        <f>'EST1'!J50+'EST2'!J50+'EST3'!J50+JHAHN!J50</f>
        <v>336000</v>
      </c>
      <c r="K50" s="43">
        <f>'EST1'!K50+'EST2'!K50+'EST3'!K50+JHAHN!K50</f>
        <v>336000</v>
      </c>
      <c r="L50" s="43">
        <f>'EST1'!L50+'EST2'!L50+'EST3'!L50+JHAHN!L50</f>
        <v>336000</v>
      </c>
      <c r="M50" s="34">
        <f t="shared" si="42"/>
        <v>1008000</v>
      </c>
      <c r="N50" s="43">
        <f>'EST1'!N50+'EST2'!N50+'EST3'!N50+JHAHN!N50</f>
        <v>336000</v>
      </c>
      <c r="O50" s="43">
        <f>'EST1'!O50+'EST2'!O50+'EST3'!O50+JHAHN!O50</f>
        <v>336000</v>
      </c>
      <c r="P50" s="43">
        <f>'EST1'!P50+'EST2'!P50+'EST3'!P50+JHAHN!P50</f>
        <v>336000</v>
      </c>
      <c r="Q50" s="34">
        <f t="shared" si="43"/>
        <v>1008000</v>
      </c>
      <c r="R50" s="43">
        <f>'EST1'!R50+'EST2'!R50+'EST3'!R50+JHAHN!R50</f>
        <v>336000</v>
      </c>
      <c r="S50" s="43">
        <f>'EST1'!S50+'EST2'!S50+'EST3'!S50+JHAHN!S50</f>
        <v>336000</v>
      </c>
      <c r="T50" s="43">
        <f>'EST1'!T50+'EST2'!T50+'EST3'!T50+JHAHN!T50</f>
        <v>336000</v>
      </c>
      <c r="U50" s="34">
        <f t="shared" si="44"/>
        <v>1008000</v>
      </c>
      <c r="V50" s="34">
        <f t="shared" si="45"/>
        <v>4032000</v>
      </c>
    </row>
    <row r="51" spans="1:22" ht="13.15" outlineLevel="1">
      <c r="A51" s="24"/>
      <c r="B51" s="24" t="s">
        <v>1</v>
      </c>
      <c r="C51" s="24"/>
      <c r="D51" s="24"/>
      <c r="E51" s="8"/>
      <c r="F51" s="44">
        <f t="shared" ref="F51:U51" si="50">SUM(F39:F50)</f>
        <v>11128000</v>
      </c>
      <c r="G51" s="44">
        <f t="shared" si="50"/>
        <v>11128000</v>
      </c>
      <c r="H51" s="44">
        <f t="shared" si="50"/>
        <v>11128000</v>
      </c>
      <c r="I51" s="35">
        <f t="shared" si="50"/>
        <v>33384000</v>
      </c>
      <c r="J51" s="44">
        <f t="shared" si="50"/>
        <v>11128000</v>
      </c>
      <c r="K51" s="44">
        <f t="shared" si="50"/>
        <v>11128000</v>
      </c>
      <c r="L51" s="44">
        <f t="shared" si="50"/>
        <v>11128000</v>
      </c>
      <c r="M51" s="35">
        <f t="shared" si="50"/>
        <v>33384000</v>
      </c>
      <c r="N51" s="44">
        <f t="shared" si="50"/>
        <v>11128000</v>
      </c>
      <c r="O51" s="44">
        <f t="shared" si="50"/>
        <v>11128000</v>
      </c>
      <c r="P51" s="44">
        <f t="shared" si="50"/>
        <v>11128000</v>
      </c>
      <c r="Q51" s="35">
        <f t="shared" si="50"/>
        <v>33384000</v>
      </c>
      <c r="R51" s="44">
        <f t="shared" si="50"/>
        <v>11128000</v>
      </c>
      <c r="S51" s="44">
        <f t="shared" si="50"/>
        <v>11128000</v>
      </c>
      <c r="T51" s="44">
        <f t="shared" si="50"/>
        <v>11128000</v>
      </c>
      <c r="U51" s="35">
        <f t="shared" si="50"/>
        <v>33384000</v>
      </c>
      <c r="V51" s="35">
        <f t="shared" si="45"/>
        <v>133536000</v>
      </c>
    </row>
    <row r="52" spans="1:22" ht="13.15" outlineLevel="1">
      <c r="A52" s="24"/>
      <c r="B52" s="24" t="s">
        <v>2</v>
      </c>
      <c r="C52" s="24"/>
      <c r="D52" s="24"/>
      <c r="E52" s="8"/>
      <c r="F52" s="44">
        <f>F37+F51</f>
        <v>88128000</v>
      </c>
      <c r="G52" s="44">
        <f>G37+G51</f>
        <v>88128000</v>
      </c>
      <c r="H52" s="44">
        <f>H37+H51</f>
        <v>88128000</v>
      </c>
      <c r="I52" s="35">
        <f>I51+I37</f>
        <v>264384000</v>
      </c>
      <c r="J52" s="44">
        <f>J37+J51</f>
        <v>88128000</v>
      </c>
      <c r="K52" s="44">
        <f>K37+K51</f>
        <v>88128000</v>
      </c>
      <c r="L52" s="44">
        <f>L37+L51</f>
        <v>88128000</v>
      </c>
      <c r="M52" s="35">
        <f>M51+M37</f>
        <v>264384000</v>
      </c>
      <c r="N52" s="44">
        <f>N37+N51</f>
        <v>88128000</v>
      </c>
      <c r="O52" s="44">
        <f>O37+O51</f>
        <v>88128000</v>
      </c>
      <c r="P52" s="44">
        <f>P37+P51</f>
        <v>88128000</v>
      </c>
      <c r="Q52" s="35">
        <f>Q51+Q37</f>
        <v>264384000</v>
      </c>
      <c r="R52" s="44">
        <f>R37+R51</f>
        <v>88128000</v>
      </c>
      <c r="S52" s="44">
        <f>S37+S51</f>
        <v>88128000</v>
      </c>
      <c r="T52" s="44">
        <f>T37+T51</f>
        <v>88128000</v>
      </c>
      <c r="U52" s="35">
        <f>U51+U37</f>
        <v>264384000</v>
      </c>
      <c r="V52" s="35">
        <f t="shared" si="45"/>
        <v>1057536000</v>
      </c>
    </row>
    <row r="53" spans="1:22" s="4" customFormat="1" ht="13.15" outlineLevel="1">
      <c r="A53" s="24"/>
      <c r="B53" s="24" t="s">
        <v>3</v>
      </c>
      <c r="C53" s="24"/>
      <c r="D53" s="24"/>
      <c r="E53" s="8">
        <v>0</v>
      </c>
      <c r="F53" s="44">
        <v>0</v>
      </c>
      <c r="G53" s="44">
        <v>0</v>
      </c>
      <c r="H53" s="44">
        <v>0</v>
      </c>
      <c r="I53" s="35">
        <v>0</v>
      </c>
      <c r="J53" s="44">
        <v>0</v>
      </c>
      <c r="K53" s="44">
        <v>0</v>
      </c>
      <c r="L53" s="44">
        <v>0</v>
      </c>
      <c r="M53" s="35">
        <v>0</v>
      </c>
      <c r="N53" s="44">
        <v>0</v>
      </c>
      <c r="O53" s="44">
        <v>0</v>
      </c>
      <c r="P53" s="44">
        <v>0</v>
      </c>
      <c r="Q53" s="35">
        <v>0</v>
      </c>
      <c r="R53" s="44">
        <v>0</v>
      </c>
      <c r="S53" s="44">
        <v>0</v>
      </c>
      <c r="T53" s="44">
        <v>0</v>
      </c>
      <c r="U53" s="35">
        <v>0</v>
      </c>
      <c r="V53" s="35">
        <f t="shared" si="45"/>
        <v>0</v>
      </c>
    </row>
    <row r="54" spans="1:22" ht="13.15" outlineLevel="2">
      <c r="A54" s="22"/>
      <c r="B54" s="23" t="s">
        <v>39</v>
      </c>
      <c r="C54" s="22"/>
      <c r="D54" s="22"/>
      <c r="F54" s="43"/>
      <c r="G54" s="43"/>
      <c r="H54" s="43"/>
      <c r="I54" s="34"/>
      <c r="J54" s="43"/>
      <c r="K54" s="43"/>
      <c r="L54" s="43"/>
      <c r="M54" s="34"/>
      <c r="N54" s="43"/>
      <c r="O54" s="43"/>
      <c r="P54" s="43"/>
      <c r="Q54" s="34"/>
      <c r="R54" s="43"/>
      <c r="S54" s="43"/>
      <c r="T54" s="43"/>
      <c r="U54" s="34"/>
      <c r="V54" s="34"/>
    </row>
    <row r="55" spans="1:22" ht="13.15" outlineLevel="2">
      <c r="A55" s="22"/>
      <c r="B55" s="22"/>
      <c r="C55" s="25" t="s">
        <v>58</v>
      </c>
      <c r="D55" s="22"/>
      <c r="E55" s="7">
        <v>0</v>
      </c>
      <c r="F55" s="43">
        <f>'EST1'!F55+'EST2'!F55+'EST3'!F55+JHAHN!F55</f>
        <v>0</v>
      </c>
      <c r="G55" s="43">
        <f>'EST1'!G55+'EST2'!G55+'EST3'!G55+JHAHN!G55</f>
        <v>0</v>
      </c>
      <c r="H55" s="43">
        <f>'EST1'!H55+'EST2'!H55+'EST3'!H55+JHAHN!H55</f>
        <v>0</v>
      </c>
      <c r="I55" s="34">
        <f t="shared" ref="I55:I65" si="51">SUM(F55:H55)</f>
        <v>0</v>
      </c>
      <c r="J55" s="43">
        <f>'EST1'!J55+'EST2'!J55+'EST3'!J55+JHAHN!J55</f>
        <v>0</v>
      </c>
      <c r="K55" s="43">
        <f>'EST1'!K55+'EST2'!K55+'EST3'!K55+JHAHN!K55</f>
        <v>0</v>
      </c>
      <c r="L55" s="43">
        <f>'EST1'!L55+'EST2'!L55+'EST3'!L55+JHAHN!L55</f>
        <v>0</v>
      </c>
      <c r="M55" s="34">
        <f t="shared" ref="M55:M65" si="52">SUM(J55:L55)</f>
        <v>0</v>
      </c>
      <c r="N55" s="43">
        <f>'EST1'!N55+'EST2'!N55+'EST3'!N55+JHAHN!N55</f>
        <v>0</v>
      </c>
      <c r="O55" s="43">
        <f>'EST1'!O55+'EST2'!O55+'EST3'!O55+JHAHN!O55</f>
        <v>0</v>
      </c>
      <c r="P55" s="43">
        <f>'EST1'!P55+'EST2'!P55+'EST3'!P55+JHAHN!P55</f>
        <v>0</v>
      </c>
      <c r="Q55" s="34">
        <f t="shared" ref="Q55:Q65" si="53">SUM(N55:P55)</f>
        <v>0</v>
      </c>
      <c r="R55" s="43">
        <f>'EST1'!R55+'EST2'!R55+'EST3'!R55+JHAHN!R55</f>
        <v>0</v>
      </c>
      <c r="S55" s="43">
        <f>'EST1'!S55+'EST2'!S55+'EST3'!S55+JHAHN!S55</f>
        <v>0</v>
      </c>
      <c r="T55" s="43">
        <f>'EST1'!T55+'EST2'!T55+'EST3'!T55+JHAHN!T55</f>
        <v>0</v>
      </c>
      <c r="U55" s="34">
        <f t="shared" ref="U55:U65" si="54">SUM(R55:T55)</f>
        <v>0</v>
      </c>
      <c r="V55" s="34">
        <f t="shared" ref="V55:V66" si="55">I55+M55+Q55+U55</f>
        <v>0</v>
      </c>
    </row>
    <row r="56" spans="1:22" ht="13.15" outlineLevel="2">
      <c r="A56" s="22"/>
      <c r="B56" s="22"/>
      <c r="C56" s="25" t="s">
        <v>59</v>
      </c>
      <c r="D56" s="22"/>
      <c r="F56" s="43">
        <f>'EST1'!F56+'EST2'!F56+'EST3'!F56+JHAHN!F56</f>
        <v>300000</v>
      </c>
      <c r="G56" s="43">
        <f>'EST1'!G56+'EST2'!G56+'EST3'!G56+JHAHN!G56</f>
        <v>300000</v>
      </c>
      <c r="H56" s="43">
        <f>'EST1'!H56+'EST2'!H56+'EST3'!H56+JHAHN!H56</f>
        <v>300000</v>
      </c>
      <c r="I56" s="34">
        <f t="shared" si="51"/>
        <v>900000</v>
      </c>
      <c r="J56" s="43">
        <f>'EST1'!J56+'EST2'!J56+'EST3'!J56+JHAHN!J56</f>
        <v>300000</v>
      </c>
      <c r="K56" s="43">
        <f>'EST1'!K56+'EST2'!K56+'EST3'!K56+JHAHN!K56</f>
        <v>300000</v>
      </c>
      <c r="L56" s="43">
        <f>'EST1'!L56+'EST2'!L56+'EST3'!L56+JHAHN!L56</f>
        <v>300000</v>
      </c>
      <c r="M56" s="34">
        <f t="shared" si="52"/>
        <v>900000</v>
      </c>
      <c r="N56" s="43">
        <f>'EST1'!N56+'EST2'!N56+'EST3'!N56+JHAHN!N56</f>
        <v>300000</v>
      </c>
      <c r="O56" s="43">
        <f>'EST1'!O56+'EST2'!O56+'EST3'!O56+JHAHN!O56</f>
        <v>300000</v>
      </c>
      <c r="P56" s="43">
        <f>'EST1'!P56+'EST2'!P56+'EST3'!P56+JHAHN!P56</f>
        <v>300000</v>
      </c>
      <c r="Q56" s="34">
        <f t="shared" si="53"/>
        <v>900000</v>
      </c>
      <c r="R56" s="43">
        <f>'EST1'!R56+'EST2'!R56+'EST3'!R56+JHAHN!R56</f>
        <v>300000</v>
      </c>
      <c r="S56" s="43">
        <f>'EST1'!S56+'EST2'!S56+'EST3'!S56+JHAHN!S56</f>
        <v>300000</v>
      </c>
      <c r="T56" s="43">
        <f>'EST1'!T56+'EST2'!T56+'EST3'!T56+JHAHN!T56</f>
        <v>300000</v>
      </c>
      <c r="U56" s="34">
        <f t="shared" si="54"/>
        <v>900000</v>
      </c>
      <c r="V56" s="34">
        <f t="shared" si="55"/>
        <v>3600000</v>
      </c>
    </row>
    <row r="57" spans="1:22" ht="13.15" outlineLevel="2">
      <c r="A57" s="22"/>
      <c r="B57" s="22"/>
      <c r="C57" s="25" t="s">
        <v>60</v>
      </c>
      <c r="D57" s="22"/>
      <c r="F57" s="43">
        <f>'EST1'!F57+'EST2'!F57+'EST3'!F57+JHAHN!F57</f>
        <v>71000</v>
      </c>
      <c r="G57" s="43">
        <f>'EST1'!G57+'EST2'!G57+'EST3'!G57+JHAHN!G57</f>
        <v>71000</v>
      </c>
      <c r="H57" s="43">
        <f>'EST1'!H57+'EST2'!H57+'EST3'!H57+JHAHN!H57</f>
        <v>71000</v>
      </c>
      <c r="I57" s="34">
        <f t="shared" si="51"/>
        <v>213000</v>
      </c>
      <c r="J57" s="43">
        <f>'EST1'!J57+'EST2'!J57+'EST3'!J57+JHAHN!J57</f>
        <v>71000</v>
      </c>
      <c r="K57" s="43">
        <f>'EST1'!K57+'EST2'!K57+'EST3'!K57+JHAHN!K57</f>
        <v>71000</v>
      </c>
      <c r="L57" s="43">
        <f>'EST1'!L57+'EST2'!L57+'EST3'!L57+JHAHN!L57</f>
        <v>71000</v>
      </c>
      <c r="M57" s="34">
        <f t="shared" si="52"/>
        <v>213000</v>
      </c>
      <c r="N57" s="43">
        <f>'EST1'!N57+'EST2'!N57+'EST3'!N57+JHAHN!N57</f>
        <v>71000</v>
      </c>
      <c r="O57" s="43">
        <f>'EST1'!O57+'EST2'!O57+'EST3'!O57+JHAHN!O57</f>
        <v>71000</v>
      </c>
      <c r="P57" s="43">
        <f>'EST1'!P57+'EST2'!P57+'EST3'!P57+JHAHN!P57</f>
        <v>71000</v>
      </c>
      <c r="Q57" s="34">
        <f t="shared" si="53"/>
        <v>213000</v>
      </c>
      <c r="R57" s="43">
        <f>'EST1'!R57+'EST2'!R57+'EST3'!R57+JHAHN!R57</f>
        <v>71000</v>
      </c>
      <c r="S57" s="43">
        <f>'EST1'!S57+'EST2'!S57+'EST3'!S57+JHAHN!S57</f>
        <v>71000</v>
      </c>
      <c r="T57" s="43">
        <f>'EST1'!T57+'EST2'!T57+'EST3'!T57+JHAHN!T57</f>
        <v>71000</v>
      </c>
      <c r="U57" s="34">
        <f t="shared" si="54"/>
        <v>213000</v>
      </c>
      <c r="V57" s="34">
        <f t="shared" si="55"/>
        <v>852000</v>
      </c>
    </row>
    <row r="58" spans="1:22" ht="13.15" outlineLevel="2">
      <c r="A58" s="22"/>
      <c r="B58" s="22"/>
      <c r="C58" s="25" t="s">
        <v>61</v>
      </c>
      <c r="D58" s="22"/>
      <c r="F58" s="43">
        <f>'EST1'!F58+'EST2'!F58+'EST3'!F58+JHAHN!F58</f>
        <v>680000</v>
      </c>
      <c r="G58" s="43">
        <f>'EST1'!G58+'EST2'!G58+'EST3'!G58+JHAHN!G58</f>
        <v>680000</v>
      </c>
      <c r="H58" s="43">
        <f>'EST1'!H58+'EST2'!H58+'EST3'!H58+JHAHN!H58</f>
        <v>680000</v>
      </c>
      <c r="I58" s="34">
        <f t="shared" si="51"/>
        <v>2040000</v>
      </c>
      <c r="J58" s="43">
        <f>'EST1'!J58+'EST2'!J58+'EST3'!J58+JHAHN!J58</f>
        <v>680000</v>
      </c>
      <c r="K58" s="43">
        <f>'EST1'!K58+'EST2'!K58+'EST3'!K58+JHAHN!K58</f>
        <v>680000</v>
      </c>
      <c r="L58" s="43">
        <f>'EST1'!L58+'EST2'!L58+'EST3'!L58+JHAHN!L58</f>
        <v>680000</v>
      </c>
      <c r="M58" s="34">
        <f t="shared" si="52"/>
        <v>2040000</v>
      </c>
      <c r="N58" s="43">
        <f>'EST1'!N58+'EST2'!N58+'EST3'!N58+JHAHN!N58</f>
        <v>680000</v>
      </c>
      <c r="O58" s="43">
        <f>'EST1'!O58+'EST2'!O58+'EST3'!O58+JHAHN!O58</f>
        <v>680000</v>
      </c>
      <c r="P58" s="43">
        <f>'EST1'!P58+'EST2'!P58+'EST3'!P58+JHAHN!P58</f>
        <v>680000</v>
      </c>
      <c r="Q58" s="34">
        <f t="shared" si="53"/>
        <v>2040000</v>
      </c>
      <c r="R58" s="43">
        <f>'EST1'!R58+'EST2'!R58+'EST3'!R58+JHAHN!R58</f>
        <v>680000</v>
      </c>
      <c r="S58" s="43">
        <f>'EST1'!S58+'EST2'!S58+'EST3'!S58+JHAHN!S58</f>
        <v>680000</v>
      </c>
      <c r="T58" s="43">
        <f>'EST1'!T58+'EST2'!T58+'EST3'!T58+JHAHN!T58</f>
        <v>680000</v>
      </c>
      <c r="U58" s="34">
        <f t="shared" si="54"/>
        <v>2040000</v>
      </c>
      <c r="V58" s="34">
        <f t="shared" si="55"/>
        <v>8160000</v>
      </c>
    </row>
    <row r="59" spans="1:22" ht="13.15" outlineLevel="2">
      <c r="A59" s="22"/>
      <c r="B59" s="22"/>
      <c r="C59" s="25" t="s">
        <v>62</v>
      </c>
      <c r="D59" s="22"/>
      <c r="F59" s="43">
        <f>'EST1'!F59+'EST2'!F59+'EST3'!F59+JHAHN!F59</f>
        <v>286000</v>
      </c>
      <c r="G59" s="43">
        <f>'EST1'!G59+'EST2'!G59+'EST3'!G59+JHAHN!G59</f>
        <v>286000</v>
      </c>
      <c r="H59" s="43">
        <f>'EST1'!H59+'EST2'!H59+'EST3'!H59+JHAHN!H59</f>
        <v>286000</v>
      </c>
      <c r="I59" s="34">
        <f t="shared" si="51"/>
        <v>858000</v>
      </c>
      <c r="J59" s="43">
        <f>'EST1'!J59+'EST2'!J59+'EST3'!J59+JHAHN!J59</f>
        <v>286000</v>
      </c>
      <c r="K59" s="43">
        <f>'EST1'!K59+'EST2'!K59+'EST3'!K59+JHAHN!K59</f>
        <v>286000</v>
      </c>
      <c r="L59" s="43">
        <f>'EST1'!L59+'EST2'!L59+'EST3'!L59+JHAHN!L59</f>
        <v>286000</v>
      </c>
      <c r="M59" s="34">
        <f t="shared" si="52"/>
        <v>858000</v>
      </c>
      <c r="N59" s="43">
        <f>'EST1'!N59+'EST2'!N59+'EST3'!N59+JHAHN!N59</f>
        <v>286000</v>
      </c>
      <c r="O59" s="43">
        <f>'EST1'!O59+'EST2'!O59+'EST3'!O59+JHAHN!O59</f>
        <v>286000</v>
      </c>
      <c r="P59" s="43">
        <f>'EST1'!P59+'EST2'!P59+'EST3'!P59+JHAHN!P59</f>
        <v>286000</v>
      </c>
      <c r="Q59" s="34">
        <f t="shared" si="53"/>
        <v>858000</v>
      </c>
      <c r="R59" s="43">
        <f>'EST1'!R59+'EST2'!R59+'EST3'!R59+JHAHN!R59</f>
        <v>286000</v>
      </c>
      <c r="S59" s="43">
        <f>'EST1'!S59+'EST2'!S59+'EST3'!S59+JHAHN!S59</f>
        <v>286000</v>
      </c>
      <c r="T59" s="43">
        <f>'EST1'!T59+'EST2'!T59+'EST3'!T59+JHAHN!T59</f>
        <v>286000</v>
      </c>
      <c r="U59" s="34">
        <f t="shared" si="54"/>
        <v>858000</v>
      </c>
      <c r="V59" s="34">
        <f t="shared" si="55"/>
        <v>3432000</v>
      </c>
    </row>
    <row r="60" spans="1:22" ht="13.15" outlineLevel="2">
      <c r="A60" s="22"/>
      <c r="B60" s="22"/>
      <c r="C60" s="25" t="s">
        <v>118</v>
      </c>
      <c r="D60" s="22"/>
      <c r="F60" s="43">
        <f>'EST1'!F60+'EST2'!F60+'EST3'!F60+JHAHN!F60</f>
        <v>505000</v>
      </c>
      <c r="G60" s="43">
        <f>'EST1'!G60+'EST2'!G60+'EST3'!G60+JHAHN!G60</f>
        <v>505000</v>
      </c>
      <c r="H60" s="43">
        <f>'EST1'!H60+'EST2'!H60+'EST3'!H60+JHAHN!H60</f>
        <v>505000</v>
      </c>
      <c r="I60" s="34">
        <f t="shared" si="51"/>
        <v>1515000</v>
      </c>
      <c r="J60" s="43">
        <f>'EST1'!J60+'EST2'!J60+'EST3'!J60+JHAHN!J60</f>
        <v>505000</v>
      </c>
      <c r="K60" s="43">
        <f>'EST1'!K60+'EST2'!K60+'EST3'!K60+JHAHN!K60</f>
        <v>505000</v>
      </c>
      <c r="L60" s="43">
        <f>'EST1'!L60+'EST2'!L60+'EST3'!L60+JHAHN!L60</f>
        <v>505000</v>
      </c>
      <c r="M60" s="34">
        <f t="shared" si="52"/>
        <v>1515000</v>
      </c>
      <c r="N60" s="43">
        <f>'EST1'!N60+'EST2'!N60+'EST3'!N60+JHAHN!N60</f>
        <v>505000</v>
      </c>
      <c r="O60" s="43">
        <f>'EST1'!O60+'EST2'!O60+'EST3'!O60+JHAHN!O60</f>
        <v>505000</v>
      </c>
      <c r="P60" s="43">
        <f>'EST1'!P60+'EST2'!P60+'EST3'!P60+JHAHN!P60</f>
        <v>505000</v>
      </c>
      <c r="Q60" s="34">
        <f t="shared" si="53"/>
        <v>1515000</v>
      </c>
      <c r="R60" s="43">
        <f>'EST1'!R60+'EST2'!R60+'EST3'!R60+JHAHN!R60</f>
        <v>505000</v>
      </c>
      <c r="S60" s="43">
        <f>'EST1'!S60+'EST2'!S60+'EST3'!S60+JHAHN!S60</f>
        <v>505000</v>
      </c>
      <c r="T60" s="43">
        <f>'EST1'!T60+'EST2'!T60+'EST3'!T60+JHAHN!T60</f>
        <v>505000</v>
      </c>
      <c r="U60" s="34">
        <f t="shared" si="54"/>
        <v>1515000</v>
      </c>
      <c r="V60" s="34">
        <f t="shared" si="55"/>
        <v>6060000</v>
      </c>
    </row>
    <row r="61" spans="1:22" ht="13.15" outlineLevel="2">
      <c r="A61" s="22"/>
      <c r="B61" s="22"/>
      <c r="C61" s="25" t="s">
        <v>157</v>
      </c>
      <c r="D61" s="22"/>
      <c r="F61" s="43">
        <f>'EST1'!F61+'EST2'!F61+'EST3'!F61+JHAHN!F61</f>
        <v>0</v>
      </c>
      <c r="G61" s="43">
        <f>'EST1'!G61+'EST2'!G61+'EST3'!G61+JHAHN!G61</f>
        <v>0</v>
      </c>
      <c r="H61" s="43">
        <f>'EST1'!H61+'EST2'!H61+'EST3'!H61+JHAHN!H61</f>
        <v>0</v>
      </c>
      <c r="I61" s="34">
        <f t="shared" si="51"/>
        <v>0</v>
      </c>
      <c r="J61" s="43">
        <f>'EST1'!J61+'EST2'!J61+'EST3'!J61+JHAHN!J61</f>
        <v>0</v>
      </c>
      <c r="K61" s="43">
        <f>'EST1'!K61+'EST2'!K61+'EST3'!K61+JHAHN!K61</f>
        <v>0</v>
      </c>
      <c r="L61" s="43">
        <f>'EST1'!L61+'EST2'!L61+'EST3'!L61+JHAHN!L61</f>
        <v>0</v>
      </c>
      <c r="M61" s="34">
        <f t="shared" si="52"/>
        <v>0</v>
      </c>
      <c r="N61" s="43">
        <f>'EST1'!N61+'EST2'!N61+'EST3'!N61+JHAHN!N61</f>
        <v>0</v>
      </c>
      <c r="O61" s="43">
        <f>'EST1'!O61+'EST2'!O61+'EST3'!O61+JHAHN!O61</f>
        <v>0</v>
      </c>
      <c r="P61" s="43">
        <f>'EST1'!P61+'EST2'!P61+'EST3'!P61+JHAHN!P61</f>
        <v>0</v>
      </c>
      <c r="Q61" s="34">
        <f t="shared" si="53"/>
        <v>0</v>
      </c>
      <c r="R61" s="43">
        <f>'EST1'!R61+'EST2'!R61+'EST3'!R61+JHAHN!R61</f>
        <v>0</v>
      </c>
      <c r="S61" s="43">
        <f>'EST1'!S61+'EST2'!S61+'EST3'!S61+JHAHN!S61</f>
        <v>0</v>
      </c>
      <c r="T61" s="43">
        <f>'EST1'!T61+'EST2'!T61+'EST3'!T61+JHAHN!T61</f>
        <v>0</v>
      </c>
      <c r="U61" s="34">
        <f t="shared" si="54"/>
        <v>0</v>
      </c>
      <c r="V61" s="34">
        <f t="shared" si="55"/>
        <v>0</v>
      </c>
    </row>
    <row r="62" spans="1:22" ht="13.15" outlineLevel="2">
      <c r="A62" s="22"/>
      <c r="B62" s="22"/>
      <c r="C62" s="25" t="s">
        <v>28</v>
      </c>
      <c r="D62" s="22"/>
      <c r="E62" s="7">
        <v>0</v>
      </c>
      <c r="F62" s="43">
        <f>'EST1'!F62+'EST2'!F62+'EST3'!F62+JHAHN!F62</f>
        <v>0</v>
      </c>
      <c r="G62" s="43">
        <f>'EST1'!G62+'EST2'!G62+'EST3'!G62+JHAHN!G62</f>
        <v>0</v>
      </c>
      <c r="H62" s="43">
        <f>'EST1'!H62+'EST2'!H62+'EST3'!H62+JHAHN!H62</f>
        <v>0</v>
      </c>
      <c r="I62" s="34">
        <f t="shared" si="51"/>
        <v>0</v>
      </c>
      <c r="J62" s="43">
        <f>'EST1'!J62+'EST2'!J62+'EST3'!J62+JHAHN!J62</f>
        <v>0</v>
      </c>
      <c r="K62" s="43">
        <f>'EST1'!K62+'EST2'!K62+'EST3'!K62+JHAHN!K62</f>
        <v>0</v>
      </c>
      <c r="L62" s="43">
        <f>'EST1'!L62+'EST2'!L62+'EST3'!L62+JHAHN!L62</f>
        <v>0</v>
      </c>
      <c r="M62" s="34">
        <f t="shared" si="52"/>
        <v>0</v>
      </c>
      <c r="N62" s="43">
        <f>'EST1'!N62+'EST2'!N62+'EST3'!N62+JHAHN!N62</f>
        <v>0</v>
      </c>
      <c r="O62" s="43">
        <f>'EST1'!O62+'EST2'!O62+'EST3'!O62+JHAHN!O62</f>
        <v>0</v>
      </c>
      <c r="P62" s="43">
        <f>'EST1'!P62+'EST2'!P62+'EST3'!P62+JHAHN!P62</f>
        <v>0</v>
      </c>
      <c r="Q62" s="34">
        <f t="shared" si="53"/>
        <v>0</v>
      </c>
      <c r="R62" s="43">
        <f>'EST1'!R62+'EST2'!R62+'EST3'!R62+JHAHN!R62</f>
        <v>0</v>
      </c>
      <c r="S62" s="43">
        <f>'EST1'!S62+'EST2'!S62+'EST3'!S62+JHAHN!S62</f>
        <v>0</v>
      </c>
      <c r="T62" s="43">
        <f>'EST1'!T62+'EST2'!T62+'EST3'!T62+JHAHN!T62</f>
        <v>0</v>
      </c>
      <c r="U62" s="34">
        <f t="shared" si="54"/>
        <v>0</v>
      </c>
      <c r="V62" s="34">
        <f t="shared" si="55"/>
        <v>0</v>
      </c>
    </row>
    <row r="63" spans="1:22" ht="13.15" outlineLevel="2">
      <c r="A63" s="22"/>
      <c r="B63" s="22"/>
      <c r="C63" s="25" t="s">
        <v>35</v>
      </c>
      <c r="D63" s="22"/>
      <c r="E63" s="7">
        <v>0</v>
      </c>
      <c r="F63" s="43">
        <f>'EST1'!F63+'EST2'!F63+'EST3'!F63+JHAHN!F63</f>
        <v>724000</v>
      </c>
      <c r="G63" s="43">
        <f>'EST1'!G63+'EST2'!G63+'EST3'!G63+JHAHN!G63</f>
        <v>724000</v>
      </c>
      <c r="H63" s="43">
        <f>'EST1'!H63+'EST2'!H63+'EST3'!H63+JHAHN!H63</f>
        <v>724000</v>
      </c>
      <c r="I63" s="34">
        <f t="shared" si="51"/>
        <v>2172000</v>
      </c>
      <c r="J63" s="43">
        <f>'EST1'!J63+'EST2'!J63+'EST3'!J63+JHAHN!J63</f>
        <v>724000</v>
      </c>
      <c r="K63" s="43">
        <f>'EST1'!K63+'EST2'!K63+'EST3'!K63+JHAHN!K63</f>
        <v>724000</v>
      </c>
      <c r="L63" s="43">
        <f>'EST1'!L63+'EST2'!L63+'EST3'!L63+JHAHN!L63</f>
        <v>724000</v>
      </c>
      <c r="M63" s="34">
        <f t="shared" si="52"/>
        <v>2172000</v>
      </c>
      <c r="N63" s="43">
        <f>'EST1'!N63+'EST2'!N63+'EST3'!N63+JHAHN!N63</f>
        <v>724000</v>
      </c>
      <c r="O63" s="43">
        <f>'EST1'!O63+'EST2'!O63+'EST3'!O63+JHAHN!O63</f>
        <v>724000</v>
      </c>
      <c r="P63" s="43">
        <f>'EST1'!P63+'EST2'!P63+'EST3'!P63+JHAHN!P63</f>
        <v>724000</v>
      </c>
      <c r="Q63" s="34">
        <f t="shared" si="53"/>
        <v>2172000</v>
      </c>
      <c r="R63" s="43">
        <f>'EST1'!R63+'EST2'!R63+'EST3'!R63+JHAHN!R63</f>
        <v>724000</v>
      </c>
      <c r="S63" s="43">
        <f>'EST1'!S63+'EST2'!S63+'EST3'!S63+JHAHN!S63</f>
        <v>724000</v>
      </c>
      <c r="T63" s="43">
        <f>'EST1'!T63+'EST2'!T63+'EST3'!T63+JHAHN!T63</f>
        <v>724000</v>
      </c>
      <c r="U63" s="34">
        <f t="shared" si="54"/>
        <v>2172000</v>
      </c>
      <c r="V63" s="34">
        <f t="shared" si="55"/>
        <v>8688000</v>
      </c>
    </row>
    <row r="64" spans="1:22" ht="13.15" outlineLevel="2">
      <c r="A64" s="22"/>
      <c r="B64" s="22"/>
      <c r="C64" s="25" t="s">
        <v>52</v>
      </c>
      <c r="D64" s="22"/>
      <c r="E64" s="7">
        <v>0</v>
      </c>
      <c r="F64" s="43">
        <f>'EST1'!F64+'EST2'!F64+'EST3'!F64+JHAHN!F64</f>
        <v>135000</v>
      </c>
      <c r="G64" s="43">
        <f>'EST1'!G64+'EST2'!G64+'EST3'!G64+JHAHN!G64</f>
        <v>100000</v>
      </c>
      <c r="H64" s="43">
        <f>'EST1'!H64+'EST2'!H64+'EST3'!H64+JHAHN!H64</f>
        <v>100000</v>
      </c>
      <c r="I64" s="34">
        <f t="shared" si="51"/>
        <v>335000</v>
      </c>
      <c r="J64" s="43">
        <f>'EST1'!J64+'EST2'!J64+'EST3'!J64+JHAHN!J64</f>
        <v>100000</v>
      </c>
      <c r="K64" s="43">
        <f>'EST1'!K64+'EST2'!K64+'EST3'!K64+JHAHN!K64</f>
        <v>100000</v>
      </c>
      <c r="L64" s="43">
        <f>'EST1'!L64+'EST2'!L64+'EST3'!L64+JHAHN!L64</f>
        <v>100000</v>
      </c>
      <c r="M64" s="34">
        <f t="shared" si="52"/>
        <v>300000</v>
      </c>
      <c r="N64" s="43">
        <f>'EST1'!N64+'EST2'!N64+'EST3'!N64+JHAHN!N64</f>
        <v>100000</v>
      </c>
      <c r="O64" s="43">
        <f>'EST1'!O64+'EST2'!O64+'EST3'!O64+JHAHN!O64</f>
        <v>100000</v>
      </c>
      <c r="P64" s="43">
        <f>'EST1'!P64+'EST2'!P64+'EST3'!P64+JHAHN!P64</f>
        <v>100000</v>
      </c>
      <c r="Q64" s="34">
        <f t="shared" si="53"/>
        <v>300000</v>
      </c>
      <c r="R64" s="43">
        <f>'EST1'!R64+'EST2'!R64+'EST3'!R64+JHAHN!R64</f>
        <v>100000</v>
      </c>
      <c r="S64" s="43">
        <f>'EST1'!S64+'EST2'!S64+'EST3'!S64+JHAHN!S64</f>
        <v>100000</v>
      </c>
      <c r="T64" s="43">
        <f>'EST1'!T64+'EST2'!T64+'EST3'!T64+JHAHN!T64</f>
        <v>100000</v>
      </c>
      <c r="U64" s="34">
        <f t="shared" si="54"/>
        <v>300000</v>
      </c>
      <c r="V64" s="34">
        <f t="shared" si="55"/>
        <v>1235000</v>
      </c>
    </row>
    <row r="65" spans="1:22" ht="13.15" outlineLevel="2">
      <c r="A65" s="22"/>
      <c r="B65" s="22"/>
      <c r="C65" s="25" t="s">
        <v>36</v>
      </c>
      <c r="D65" s="22"/>
      <c r="E65" s="7">
        <v>0</v>
      </c>
      <c r="F65" s="43">
        <f>'EST1'!F65+'EST2'!F65+'EST3'!F65+JHAHN!F65</f>
        <v>409000</v>
      </c>
      <c r="G65" s="43">
        <f>'EST1'!G65+'EST2'!G65+'EST3'!G65+JHAHN!G65</f>
        <v>309000</v>
      </c>
      <c r="H65" s="43">
        <f>'EST1'!H65+'EST2'!H65+'EST3'!H65+JHAHN!H65</f>
        <v>309000</v>
      </c>
      <c r="I65" s="34">
        <f t="shared" si="51"/>
        <v>1027000</v>
      </c>
      <c r="J65" s="43">
        <f>'EST1'!J65+'EST2'!J65+'EST3'!J65+JHAHN!J65</f>
        <v>309000</v>
      </c>
      <c r="K65" s="43">
        <f>'EST1'!K65+'EST2'!K65+'EST3'!K65+JHAHN!K65</f>
        <v>309000</v>
      </c>
      <c r="L65" s="43">
        <f>'EST1'!L65+'EST2'!L65+'EST3'!L65+JHAHN!L65</f>
        <v>309000</v>
      </c>
      <c r="M65" s="34">
        <f t="shared" si="52"/>
        <v>927000</v>
      </c>
      <c r="N65" s="43">
        <f>'EST1'!N65+'EST2'!N65+'EST3'!N65+JHAHN!N65</f>
        <v>309000</v>
      </c>
      <c r="O65" s="43">
        <f>'EST1'!O65+'EST2'!O65+'EST3'!O65+JHAHN!O65</f>
        <v>309000</v>
      </c>
      <c r="P65" s="43">
        <f>'EST1'!P65+'EST2'!P65+'EST3'!P65+JHAHN!P65</f>
        <v>309000</v>
      </c>
      <c r="Q65" s="34">
        <f t="shared" si="53"/>
        <v>927000</v>
      </c>
      <c r="R65" s="43">
        <f>'EST1'!R65+'EST2'!R65+'EST3'!R65+JHAHN!R65</f>
        <v>309000</v>
      </c>
      <c r="S65" s="43">
        <f>'EST1'!S65+'EST2'!S65+'EST3'!S65+JHAHN!S65</f>
        <v>309000</v>
      </c>
      <c r="T65" s="43">
        <f>'EST1'!T65+'EST2'!T65+'EST3'!T65+JHAHN!T65</f>
        <v>309000</v>
      </c>
      <c r="U65" s="34">
        <f t="shared" si="54"/>
        <v>927000</v>
      </c>
      <c r="V65" s="34">
        <f t="shared" si="55"/>
        <v>3808000</v>
      </c>
    </row>
    <row r="66" spans="1:22" ht="13.15" outlineLevel="1">
      <c r="A66" s="24"/>
      <c r="B66" s="24" t="s">
        <v>4</v>
      </c>
      <c r="C66" s="24"/>
      <c r="D66" s="24"/>
      <c r="E66" s="8"/>
      <c r="F66" s="44">
        <f t="shared" ref="F66" si="56">SUM(F55:F65)</f>
        <v>3110000</v>
      </c>
      <c r="G66" s="44">
        <f t="shared" ref="G66:H66" si="57">SUM(G55:G65)</f>
        <v>2975000</v>
      </c>
      <c r="H66" s="44">
        <f t="shared" si="57"/>
        <v>2975000</v>
      </c>
      <c r="I66" s="35">
        <f>SUM(I55:I65)</f>
        <v>9060000</v>
      </c>
      <c r="J66" s="44">
        <f t="shared" ref="J66:L66" si="58">SUM(J55:J65)</f>
        <v>2975000</v>
      </c>
      <c r="K66" s="44">
        <f t="shared" si="58"/>
        <v>2975000</v>
      </c>
      <c r="L66" s="44">
        <f t="shared" si="58"/>
        <v>2975000</v>
      </c>
      <c r="M66" s="35">
        <f>SUM(M55:M65)</f>
        <v>8925000</v>
      </c>
      <c r="N66" s="44">
        <f t="shared" ref="N66:P66" si="59">SUM(N55:N65)</f>
        <v>2975000</v>
      </c>
      <c r="O66" s="44">
        <f t="shared" si="59"/>
        <v>2975000</v>
      </c>
      <c r="P66" s="44">
        <f t="shared" si="59"/>
        <v>2975000</v>
      </c>
      <c r="Q66" s="35">
        <f>SUM(Q55:Q65)</f>
        <v>8925000</v>
      </c>
      <c r="R66" s="44">
        <f t="shared" ref="R66:T66" si="60">SUM(R55:R65)</f>
        <v>2975000</v>
      </c>
      <c r="S66" s="44">
        <f t="shared" si="60"/>
        <v>2975000</v>
      </c>
      <c r="T66" s="44">
        <f t="shared" si="60"/>
        <v>2975000</v>
      </c>
      <c r="U66" s="35">
        <f>SUM(U55:U65)</f>
        <v>8925000</v>
      </c>
      <c r="V66" s="35">
        <f t="shared" si="55"/>
        <v>35835000</v>
      </c>
    </row>
    <row r="67" spans="1:22" ht="13.15" outlineLevel="2">
      <c r="A67" s="24"/>
      <c r="B67" s="26" t="s">
        <v>5</v>
      </c>
      <c r="C67" s="27"/>
      <c r="D67" s="27"/>
      <c r="E67" s="9"/>
      <c r="F67" s="129"/>
      <c r="G67" s="129"/>
      <c r="H67" s="129"/>
      <c r="I67" s="36"/>
      <c r="J67" s="129"/>
      <c r="K67" s="129"/>
      <c r="L67" s="129"/>
      <c r="M67" s="36"/>
      <c r="N67" s="129"/>
      <c r="O67" s="129"/>
      <c r="P67" s="129"/>
      <c r="Q67" s="36"/>
      <c r="R67" s="129"/>
      <c r="S67" s="129"/>
      <c r="T67" s="129"/>
      <c r="U67" s="36"/>
      <c r="V67" s="35" t="s">
        <v>86</v>
      </c>
    </row>
    <row r="68" spans="1:22" ht="13.15" outlineLevel="2">
      <c r="A68" s="24"/>
      <c r="B68" s="27"/>
      <c r="C68" s="28" t="s">
        <v>47</v>
      </c>
      <c r="D68" s="27"/>
      <c r="E68" s="9">
        <v>0</v>
      </c>
      <c r="F68" s="43">
        <f>'EST1'!F68+'EST2'!F68+'EST3'!F68+JHAHN!F68</f>
        <v>0</v>
      </c>
      <c r="G68" s="43">
        <f>'EST1'!G68+'EST2'!G68+'EST3'!G68+JHAHN!G68</f>
        <v>0</v>
      </c>
      <c r="H68" s="43">
        <f>'EST1'!H68+'EST2'!H68+'EST3'!H68+JHAHN!H68</f>
        <v>0</v>
      </c>
      <c r="I68" s="34">
        <f>SUM(F68:H68)</f>
        <v>0</v>
      </c>
      <c r="J68" s="43">
        <f>'EST1'!J68+'EST2'!J68+'EST3'!J68+JHAHN!J68</f>
        <v>0</v>
      </c>
      <c r="K68" s="43">
        <f>'EST1'!K68+'EST2'!K68+'EST3'!K68+JHAHN!K68</f>
        <v>0</v>
      </c>
      <c r="L68" s="43">
        <f>'EST1'!L68+'EST2'!L68+'EST3'!L68+JHAHN!L68</f>
        <v>0</v>
      </c>
      <c r="M68" s="34">
        <f>SUM(J68:L68)</f>
        <v>0</v>
      </c>
      <c r="N68" s="43">
        <f>'EST1'!N68+'EST2'!N68+'EST3'!N68+JHAHN!N68</f>
        <v>0</v>
      </c>
      <c r="O68" s="43">
        <f>'EST1'!O68+'EST2'!O68+'EST3'!O68+JHAHN!O68</f>
        <v>0</v>
      </c>
      <c r="P68" s="43">
        <f>'EST1'!P68+'EST2'!P68+'EST3'!P68+JHAHN!P68</f>
        <v>0</v>
      </c>
      <c r="Q68" s="34">
        <f>SUM(N68:P68)</f>
        <v>0</v>
      </c>
      <c r="R68" s="43">
        <f>'EST1'!R68+'EST2'!R68+'EST3'!R68+JHAHN!R68</f>
        <v>0</v>
      </c>
      <c r="S68" s="43">
        <f>'EST1'!S68+'EST2'!S68+'EST3'!S68+JHAHN!S68</f>
        <v>0</v>
      </c>
      <c r="T68" s="43">
        <f>'EST1'!T68+'EST2'!T68+'EST3'!T68+JHAHN!T68</f>
        <v>0</v>
      </c>
      <c r="U68" s="34">
        <f>SUM(R68:T68)</f>
        <v>0</v>
      </c>
      <c r="V68" s="34">
        <f>I68+M68+Q68+U68</f>
        <v>0</v>
      </c>
    </row>
    <row r="69" spans="1:22" ht="13.15" outlineLevel="2">
      <c r="A69" s="24"/>
      <c r="B69" s="27"/>
      <c r="C69" s="28" t="s">
        <v>48</v>
      </c>
      <c r="D69" s="27"/>
      <c r="E69" s="9">
        <v>0</v>
      </c>
      <c r="F69" s="43">
        <f>'EST1'!F69+'EST2'!F69+'EST3'!F69+JHAHN!F69</f>
        <v>0</v>
      </c>
      <c r="G69" s="43">
        <f>'EST1'!G69+'EST2'!G69+'EST3'!G69+JHAHN!G69</f>
        <v>0</v>
      </c>
      <c r="H69" s="43">
        <f>'EST1'!H69+'EST2'!H69+'EST3'!H69+JHAHN!H69</f>
        <v>0</v>
      </c>
      <c r="I69" s="34">
        <f>SUM(F69:H69)</f>
        <v>0</v>
      </c>
      <c r="J69" s="43">
        <f>'EST1'!J69+'EST2'!J69+'EST3'!J69+JHAHN!J69</f>
        <v>0</v>
      </c>
      <c r="K69" s="43">
        <f>'EST1'!K69+'EST2'!K69+'EST3'!K69+JHAHN!K69</f>
        <v>0</v>
      </c>
      <c r="L69" s="43">
        <f>'EST1'!L69+'EST2'!L69+'EST3'!L69+JHAHN!L69</f>
        <v>0</v>
      </c>
      <c r="M69" s="34">
        <f>SUM(J69:L69)</f>
        <v>0</v>
      </c>
      <c r="N69" s="43">
        <f>'EST1'!N69+'EST2'!N69+'EST3'!N69+JHAHN!N69</f>
        <v>0</v>
      </c>
      <c r="O69" s="43">
        <f>'EST1'!O69+'EST2'!O69+'EST3'!O69+JHAHN!O69</f>
        <v>0</v>
      </c>
      <c r="P69" s="43">
        <f>'EST1'!P69+'EST2'!P69+'EST3'!P69+JHAHN!P69</f>
        <v>0</v>
      </c>
      <c r="Q69" s="34">
        <f>SUM(N69:P69)</f>
        <v>0</v>
      </c>
      <c r="R69" s="43">
        <f>'EST1'!R69+'EST2'!R69+'EST3'!R69+JHAHN!R69</f>
        <v>0</v>
      </c>
      <c r="S69" s="43">
        <f>'EST1'!S69+'EST2'!S69+'EST3'!S69+JHAHN!S69</f>
        <v>0</v>
      </c>
      <c r="T69" s="43">
        <f>'EST1'!T69+'EST2'!T69+'EST3'!T69+JHAHN!T69</f>
        <v>0</v>
      </c>
      <c r="U69" s="34">
        <f>SUM(R69:T69)</f>
        <v>0</v>
      </c>
      <c r="V69" s="34">
        <f>I69+M69+Q69+U69</f>
        <v>0</v>
      </c>
    </row>
    <row r="70" spans="1:22" ht="13.15" outlineLevel="2">
      <c r="A70" s="24"/>
      <c r="B70" s="27"/>
      <c r="C70" s="28" t="s">
        <v>26</v>
      </c>
      <c r="D70" s="27"/>
      <c r="E70" s="9">
        <v>0</v>
      </c>
      <c r="F70" s="43">
        <f>'EST1'!F70+'EST2'!F70+'EST3'!F70+JHAHN!F70</f>
        <v>0</v>
      </c>
      <c r="G70" s="43">
        <f>'EST1'!G70+'EST2'!G70+'EST3'!G70+JHAHN!G70</f>
        <v>0</v>
      </c>
      <c r="H70" s="43">
        <f>'EST1'!H70+'EST2'!H70+'EST3'!H70+JHAHN!H70</f>
        <v>0</v>
      </c>
      <c r="I70" s="34">
        <f>SUM(F70:H70)</f>
        <v>0</v>
      </c>
      <c r="J70" s="43">
        <f>'EST1'!J70+'EST2'!J70+'EST3'!J70+JHAHN!J70</f>
        <v>0</v>
      </c>
      <c r="K70" s="43">
        <f>'EST1'!K70+'EST2'!K70+'EST3'!K70+JHAHN!K70</f>
        <v>0</v>
      </c>
      <c r="L70" s="43">
        <f>'EST1'!L70+'EST2'!L70+'EST3'!L70+JHAHN!L70</f>
        <v>0</v>
      </c>
      <c r="M70" s="34">
        <f>SUM(J70:L70)</f>
        <v>0</v>
      </c>
      <c r="N70" s="43">
        <f>'EST1'!N70+'EST2'!N70+'EST3'!N70+JHAHN!N70</f>
        <v>0</v>
      </c>
      <c r="O70" s="43">
        <f>'EST1'!O70+'EST2'!O70+'EST3'!O70+JHAHN!O70</f>
        <v>0</v>
      </c>
      <c r="P70" s="43">
        <f>'EST1'!P70+'EST2'!P70+'EST3'!P70+JHAHN!P70</f>
        <v>0</v>
      </c>
      <c r="Q70" s="34">
        <f>SUM(N70:P70)</f>
        <v>0</v>
      </c>
      <c r="R70" s="43">
        <f>'EST1'!R70+'EST2'!R70+'EST3'!R70+JHAHN!R70</f>
        <v>0</v>
      </c>
      <c r="S70" s="43">
        <f>'EST1'!S70+'EST2'!S70+'EST3'!S70+JHAHN!S70</f>
        <v>0</v>
      </c>
      <c r="T70" s="43">
        <f>'EST1'!T70+'EST2'!T70+'EST3'!T70+JHAHN!T70</f>
        <v>0</v>
      </c>
      <c r="U70" s="34">
        <f>SUM(R70:T70)</f>
        <v>0</v>
      </c>
      <c r="V70" s="34">
        <f>I70+M70+Q70+U70</f>
        <v>0</v>
      </c>
    </row>
    <row r="71" spans="1:22" ht="13.15" outlineLevel="1">
      <c r="A71" s="24"/>
      <c r="B71" s="29" t="s">
        <v>6</v>
      </c>
      <c r="C71" s="30"/>
      <c r="D71" s="30"/>
      <c r="E71" s="10"/>
      <c r="F71" s="45">
        <f t="shared" ref="F71:U71" si="61">SUM(F68:F70)</f>
        <v>0</v>
      </c>
      <c r="G71" s="45">
        <f t="shared" ref="G71:H71" si="62">SUM(G68:G70)</f>
        <v>0</v>
      </c>
      <c r="H71" s="45">
        <f t="shared" si="62"/>
        <v>0</v>
      </c>
      <c r="I71" s="35">
        <f t="shared" si="61"/>
        <v>0</v>
      </c>
      <c r="J71" s="45">
        <f t="shared" ref="J71:L71" si="63">SUM(J68:J70)</f>
        <v>0</v>
      </c>
      <c r="K71" s="45">
        <f t="shared" si="63"/>
        <v>0</v>
      </c>
      <c r="L71" s="45">
        <f t="shared" si="63"/>
        <v>0</v>
      </c>
      <c r="M71" s="35">
        <f t="shared" si="61"/>
        <v>0</v>
      </c>
      <c r="N71" s="45">
        <f t="shared" ref="N71:P71" si="64">SUM(N68:N70)</f>
        <v>0</v>
      </c>
      <c r="O71" s="45">
        <f t="shared" si="64"/>
        <v>0</v>
      </c>
      <c r="P71" s="45">
        <f t="shared" si="64"/>
        <v>0</v>
      </c>
      <c r="Q71" s="35">
        <f t="shared" si="61"/>
        <v>0</v>
      </c>
      <c r="R71" s="45">
        <f t="shared" ref="R71:T71" si="65">SUM(R68:R70)</f>
        <v>0</v>
      </c>
      <c r="S71" s="45">
        <f t="shared" si="65"/>
        <v>0</v>
      </c>
      <c r="T71" s="45">
        <f t="shared" si="65"/>
        <v>0</v>
      </c>
      <c r="U71" s="35">
        <f t="shared" si="61"/>
        <v>0</v>
      </c>
      <c r="V71" s="35">
        <f>I71+M71+Q71+U71</f>
        <v>0</v>
      </c>
    </row>
    <row r="72" spans="1:22" ht="13.15" outlineLevel="2">
      <c r="A72" s="24"/>
      <c r="B72" s="26" t="s">
        <v>7</v>
      </c>
      <c r="C72" s="27"/>
      <c r="D72" s="27"/>
      <c r="E72" s="9"/>
      <c r="F72" s="129"/>
      <c r="G72" s="129"/>
      <c r="H72" s="129"/>
      <c r="I72" s="36"/>
      <c r="J72" s="129"/>
      <c r="K72" s="129"/>
      <c r="L72" s="129"/>
      <c r="M72" s="36"/>
      <c r="N72" s="129"/>
      <c r="O72" s="129"/>
      <c r="P72" s="129"/>
      <c r="Q72" s="36"/>
      <c r="R72" s="129"/>
      <c r="S72" s="129"/>
      <c r="T72" s="129"/>
      <c r="U72" s="36"/>
      <c r="V72" s="36"/>
    </row>
    <row r="73" spans="1:22" ht="13.15" outlineLevel="2">
      <c r="A73" s="24"/>
      <c r="B73" s="27"/>
      <c r="C73" s="28" t="s">
        <v>40</v>
      </c>
      <c r="D73" s="27"/>
      <c r="E73" s="9">
        <v>0</v>
      </c>
      <c r="F73" s="43">
        <f>'EST1'!F73+'EST2'!F73+'EST3'!F73+JHAHN!F73</f>
        <v>0</v>
      </c>
      <c r="G73" s="43">
        <f>'EST1'!G73+'EST2'!G73+'EST3'!G73+JHAHN!G73</f>
        <v>0</v>
      </c>
      <c r="H73" s="43">
        <f>'EST1'!H73+'EST2'!H73+'EST3'!H73+JHAHN!H73</f>
        <v>0</v>
      </c>
      <c r="I73" s="34">
        <f>SUM(F73:H73)</f>
        <v>0</v>
      </c>
      <c r="J73" s="43">
        <f>'EST1'!J73+'EST2'!J73+'EST3'!J73+JHAHN!J73</f>
        <v>0</v>
      </c>
      <c r="K73" s="43">
        <f>'EST1'!K73+'EST2'!K73+'EST3'!K73+JHAHN!K73</f>
        <v>0</v>
      </c>
      <c r="L73" s="43">
        <f>'EST1'!L73+'EST2'!L73+'EST3'!L73+JHAHN!L73</f>
        <v>0</v>
      </c>
      <c r="M73" s="34">
        <f>SUM(J73:L73)</f>
        <v>0</v>
      </c>
      <c r="N73" s="43">
        <f>'EST1'!N73+'EST2'!N73+'EST3'!N73+JHAHN!N73</f>
        <v>0</v>
      </c>
      <c r="O73" s="43">
        <f>'EST1'!O73+'EST2'!O73+'EST3'!O73+JHAHN!O73</f>
        <v>0</v>
      </c>
      <c r="P73" s="43">
        <f>'EST1'!P73+'EST2'!P73+'EST3'!P73+JHAHN!P73</f>
        <v>0</v>
      </c>
      <c r="Q73" s="34">
        <f>SUM(N73:P73)</f>
        <v>0</v>
      </c>
      <c r="R73" s="43">
        <f>'EST1'!R73+'EST2'!R73+'EST3'!R73+JHAHN!R73</f>
        <v>0</v>
      </c>
      <c r="S73" s="43">
        <f>'EST1'!S73+'EST2'!S73+'EST3'!S73+JHAHN!S73</f>
        <v>0</v>
      </c>
      <c r="T73" s="43">
        <f>'EST1'!T73+'EST2'!T73+'EST3'!T73+JHAHN!T73</f>
        <v>0</v>
      </c>
      <c r="U73" s="34">
        <f>SUM(R73:T73)</f>
        <v>0</v>
      </c>
      <c r="V73" s="34">
        <f>I73+M73+Q73+U73</f>
        <v>0</v>
      </c>
    </row>
    <row r="74" spans="1:22" ht="13.15" outlineLevel="2">
      <c r="A74" s="24"/>
      <c r="B74" s="27"/>
      <c r="C74" s="27" t="s">
        <v>8</v>
      </c>
      <c r="D74" s="27"/>
      <c r="E74" s="9">
        <v>0</v>
      </c>
      <c r="F74" s="43">
        <f>'EST1'!F74+'EST2'!F74+'EST3'!F74+JHAHN!F74</f>
        <v>0</v>
      </c>
      <c r="G74" s="43">
        <f>'EST1'!G74+'EST2'!G74+'EST3'!G74+JHAHN!G74</f>
        <v>0</v>
      </c>
      <c r="H74" s="43">
        <f>'EST1'!H74+'EST2'!H74+'EST3'!H74+JHAHN!H74</f>
        <v>0</v>
      </c>
      <c r="I74" s="34">
        <f>SUM(F74:H74)</f>
        <v>0</v>
      </c>
      <c r="J74" s="43">
        <f>'EST1'!J74+'EST2'!J74+'EST3'!J74+JHAHN!J74</f>
        <v>0</v>
      </c>
      <c r="K74" s="43">
        <f>'EST1'!K74+'EST2'!K74+'EST3'!K74+JHAHN!K74</f>
        <v>0</v>
      </c>
      <c r="L74" s="43">
        <f>'EST1'!L74+'EST2'!L74+'EST3'!L74+JHAHN!L74</f>
        <v>0</v>
      </c>
      <c r="M74" s="34">
        <f>SUM(J74:L74)</f>
        <v>0</v>
      </c>
      <c r="N74" s="43">
        <f>'EST1'!N74+'EST2'!N74+'EST3'!N74+JHAHN!N74</f>
        <v>0</v>
      </c>
      <c r="O74" s="43">
        <f>'EST1'!O74+'EST2'!O74+'EST3'!O74+JHAHN!O74</f>
        <v>0</v>
      </c>
      <c r="P74" s="43">
        <f>'EST1'!P74+'EST2'!P74+'EST3'!P74+JHAHN!P74</f>
        <v>0</v>
      </c>
      <c r="Q74" s="34">
        <f>SUM(N74:P74)</f>
        <v>0</v>
      </c>
      <c r="R74" s="43">
        <f>'EST1'!R74+'EST2'!R74+'EST3'!R74+JHAHN!R74</f>
        <v>0</v>
      </c>
      <c r="S74" s="43">
        <f>'EST1'!S74+'EST2'!S74+'EST3'!S74+JHAHN!S74</f>
        <v>0</v>
      </c>
      <c r="T74" s="43">
        <f>'EST1'!T74+'EST2'!T74+'EST3'!T74+JHAHN!T74</f>
        <v>0</v>
      </c>
      <c r="U74" s="34">
        <f>SUM(R74:T74)</f>
        <v>0</v>
      </c>
      <c r="V74" s="34">
        <f>I74+M74+Q74+U74</f>
        <v>0</v>
      </c>
    </row>
    <row r="75" spans="1:22" ht="13.15" outlineLevel="2">
      <c r="A75" s="24"/>
      <c r="B75" s="27"/>
      <c r="C75" s="27" t="s">
        <v>9</v>
      </c>
      <c r="D75" s="27"/>
      <c r="E75" s="9">
        <v>0</v>
      </c>
      <c r="F75" s="43">
        <f>'EST1'!F75+'EST2'!F75+'EST3'!F75+JHAHN!F75</f>
        <v>0</v>
      </c>
      <c r="G75" s="43">
        <f>'EST1'!G75+'EST2'!G75+'EST3'!G75+JHAHN!G75</f>
        <v>0</v>
      </c>
      <c r="H75" s="43">
        <f>'EST1'!H75+'EST2'!H75+'EST3'!H75+JHAHN!H75</f>
        <v>0</v>
      </c>
      <c r="I75" s="34">
        <f>SUM(F75:H75)</f>
        <v>0</v>
      </c>
      <c r="J75" s="43">
        <f>'EST1'!J75+'EST2'!J75+'EST3'!J75+JHAHN!J75</f>
        <v>0</v>
      </c>
      <c r="K75" s="43">
        <f>'EST1'!K75+'EST2'!K75+'EST3'!K75+JHAHN!K75</f>
        <v>0</v>
      </c>
      <c r="L75" s="43">
        <f>'EST1'!L75+'EST2'!L75+'EST3'!L75+JHAHN!L75</f>
        <v>0</v>
      </c>
      <c r="M75" s="34">
        <f>SUM(J75:L75)</f>
        <v>0</v>
      </c>
      <c r="N75" s="43">
        <f>'EST1'!N75+'EST2'!N75+'EST3'!N75+JHAHN!N75</f>
        <v>0</v>
      </c>
      <c r="O75" s="43">
        <f>'EST1'!O75+'EST2'!O75+'EST3'!O75+JHAHN!O75</f>
        <v>0</v>
      </c>
      <c r="P75" s="43">
        <f>'EST1'!P75+'EST2'!P75+'EST3'!P75+JHAHN!P75</f>
        <v>0</v>
      </c>
      <c r="Q75" s="34">
        <f>SUM(N75:P75)</f>
        <v>0</v>
      </c>
      <c r="R75" s="43">
        <f>'EST1'!R75+'EST2'!R75+'EST3'!R75+JHAHN!R75</f>
        <v>0</v>
      </c>
      <c r="S75" s="43">
        <f>'EST1'!S75+'EST2'!S75+'EST3'!S75+JHAHN!S75</f>
        <v>0</v>
      </c>
      <c r="T75" s="43">
        <f>'EST1'!T75+'EST2'!T75+'EST3'!T75+JHAHN!T75</f>
        <v>0</v>
      </c>
      <c r="U75" s="34">
        <f>SUM(R75:T75)</f>
        <v>0</v>
      </c>
      <c r="V75" s="34">
        <f>I75+M75+Q75+U75</f>
        <v>0</v>
      </c>
    </row>
    <row r="76" spans="1:22" ht="13.15" outlineLevel="1">
      <c r="A76" s="24"/>
      <c r="B76" s="29" t="s">
        <v>10</v>
      </c>
      <c r="C76" s="30"/>
      <c r="D76" s="30"/>
      <c r="E76" s="10"/>
      <c r="F76" s="45">
        <f t="shared" ref="F76" si="66">SUM(F73:F75)</f>
        <v>0</v>
      </c>
      <c r="G76" s="45">
        <f t="shared" ref="G76:H76" si="67">SUM(G73:G75)</f>
        <v>0</v>
      </c>
      <c r="H76" s="45">
        <f t="shared" si="67"/>
        <v>0</v>
      </c>
      <c r="I76" s="35">
        <f>SUM(I73:I75)</f>
        <v>0</v>
      </c>
      <c r="J76" s="45">
        <f t="shared" ref="J76:L76" si="68">SUM(J73:J75)</f>
        <v>0</v>
      </c>
      <c r="K76" s="45">
        <f t="shared" si="68"/>
        <v>0</v>
      </c>
      <c r="L76" s="45">
        <f t="shared" si="68"/>
        <v>0</v>
      </c>
      <c r="M76" s="35">
        <f>SUM(M73:M75)</f>
        <v>0</v>
      </c>
      <c r="N76" s="45">
        <f t="shared" ref="N76:P76" si="69">SUM(N73:N75)</f>
        <v>0</v>
      </c>
      <c r="O76" s="45">
        <f t="shared" si="69"/>
        <v>0</v>
      </c>
      <c r="P76" s="45">
        <f t="shared" si="69"/>
        <v>0</v>
      </c>
      <c r="Q76" s="35">
        <f>SUM(Q73:Q75)</f>
        <v>0</v>
      </c>
      <c r="R76" s="45">
        <f t="shared" ref="R76:T76" si="70">SUM(R73:R75)</f>
        <v>0</v>
      </c>
      <c r="S76" s="45">
        <f t="shared" si="70"/>
        <v>0</v>
      </c>
      <c r="T76" s="45">
        <f t="shared" si="70"/>
        <v>0</v>
      </c>
      <c r="U76" s="35">
        <f>SUM(U73:U75)</f>
        <v>0</v>
      </c>
      <c r="V76" s="35">
        <f>I76+M76+Q76+U76</f>
        <v>0</v>
      </c>
    </row>
    <row r="77" spans="1:22" ht="13.15">
      <c r="A77" s="31"/>
      <c r="B77" s="32"/>
      <c r="C77" s="31"/>
      <c r="D77" s="32" t="s">
        <v>11</v>
      </c>
      <c r="E77" s="9"/>
      <c r="F77" s="139">
        <f>F52+F53+F66+F71+F76</f>
        <v>91238000</v>
      </c>
      <c r="G77" s="139">
        <f>G52+G53+G66+G71+G76</f>
        <v>91103000</v>
      </c>
      <c r="H77" s="139">
        <f>H52+H53+H66+H71+H76</f>
        <v>91103000</v>
      </c>
      <c r="I77" s="139">
        <f>I76+I71+I66+I53+I52</f>
        <v>273444000</v>
      </c>
      <c r="J77" s="139">
        <f>J52+J53+J66+J71+J76</f>
        <v>91103000</v>
      </c>
      <c r="K77" s="139">
        <f>K52+K53+K66+K71+K76</f>
        <v>91103000</v>
      </c>
      <c r="L77" s="139">
        <f>L52+L53+L66+L71+L76</f>
        <v>91103000</v>
      </c>
      <c r="M77" s="139">
        <f>M76+M71+M66+M53+M52</f>
        <v>273309000</v>
      </c>
      <c r="N77" s="139">
        <f>N52+N53+N66+N71+N76</f>
        <v>91103000</v>
      </c>
      <c r="O77" s="139">
        <f>O52+O53+O66+O71+O76</f>
        <v>91103000</v>
      </c>
      <c r="P77" s="139">
        <f>P52+P53+P66+P71+P76</f>
        <v>91103000</v>
      </c>
      <c r="Q77" s="139">
        <f>Q76+Q71+Q66+Q53+Q52</f>
        <v>273309000</v>
      </c>
      <c r="R77" s="139">
        <f>R52+R53+R66+R71+R76</f>
        <v>91103000</v>
      </c>
      <c r="S77" s="139">
        <f>S52+S53+S66+S71+S76</f>
        <v>91103000</v>
      </c>
      <c r="T77" s="139">
        <f>T52+T53+T66+T71+T76</f>
        <v>91103000</v>
      </c>
      <c r="U77" s="139">
        <f>U76+U71+U66+U53+U52</f>
        <v>273309000</v>
      </c>
      <c r="V77" s="139">
        <f>I77+M77+Q77+U77</f>
        <v>1093371000</v>
      </c>
    </row>
    <row r="78" spans="1:22" ht="13.15" outlineLevel="1">
      <c r="A78" s="32" t="s">
        <v>12</v>
      </c>
      <c r="B78" s="32"/>
      <c r="C78" s="33"/>
      <c r="D78" s="33"/>
      <c r="E78" s="9"/>
      <c r="F78" s="44"/>
      <c r="G78" s="44"/>
      <c r="H78" s="44"/>
      <c r="I78" s="35"/>
      <c r="J78" s="44"/>
      <c r="K78" s="44"/>
      <c r="L78" s="44"/>
      <c r="M78" s="35"/>
      <c r="N78" s="44"/>
      <c r="O78" s="44"/>
      <c r="P78" s="44"/>
      <c r="Q78" s="35"/>
      <c r="R78" s="44"/>
      <c r="S78" s="44"/>
      <c r="T78" s="44"/>
      <c r="U78" s="35"/>
      <c r="V78" s="35"/>
    </row>
    <row r="79" spans="1:22" ht="13.15" outlineLevel="2">
      <c r="A79" s="24"/>
      <c r="B79" s="26" t="s">
        <v>13</v>
      </c>
      <c r="C79" s="27"/>
      <c r="D79" s="27"/>
      <c r="E79" s="9"/>
      <c r="F79" s="129"/>
      <c r="G79" s="129"/>
      <c r="H79" s="129"/>
      <c r="I79" s="36"/>
      <c r="J79" s="129"/>
      <c r="K79" s="129"/>
      <c r="L79" s="129"/>
      <c r="M79" s="36"/>
      <c r="N79" s="129"/>
      <c r="O79" s="129"/>
      <c r="P79" s="129"/>
      <c r="Q79" s="36"/>
      <c r="R79" s="129"/>
      <c r="S79" s="129"/>
      <c r="T79" s="129"/>
      <c r="U79" s="36"/>
      <c r="V79" s="36"/>
    </row>
    <row r="80" spans="1:22" ht="13.15" outlineLevel="2">
      <c r="A80" s="24"/>
      <c r="B80" s="27"/>
      <c r="C80" s="28" t="s">
        <v>66</v>
      </c>
      <c r="D80" s="27"/>
      <c r="E80" s="9">
        <v>0</v>
      </c>
      <c r="F80" s="43">
        <f>'EST1'!F80+'EST2'!F80+'EST3'!F80+JHAHN!F80</f>
        <v>0</v>
      </c>
      <c r="G80" s="43">
        <f>'EST1'!G80+'EST2'!G80+'EST3'!G80+JHAHN!G80</f>
        <v>0</v>
      </c>
      <c r="H80" s="43">
        <f>'EST1'!H80+'EST2'!H80+'EST3'!H80+JHAHN!H80</f>
        <v>0</v>
      </c>
      <c r="I80" s="34">
        <f t="shared" ref="I80:I87" si="71">SUM(F80:H80)</f>
        <v>0</v>
      </c>
      <c r="J80" s="43">
        <f>'EST1'!J80+'EST2'!J80+'EST3'!J80+JHAHN!J80</f>
        <v>0</v>
      </c>
      <c r="K80" s="43">
        <f>'EST1'!K80+'EST2'!K80+'EST3'!K80+JHAHN!K80</f>
        <v>0</v>
      </c>
      <c r="L80" s="43">
        <f>'EST1'!L80+'EST2'!L80+'EST3'!L80+JHAHN!L80</f>
        <v>0</v>
      </c>
      <c r="M80" s="34">
        <f t="shared" ref="M80:M87" si="72">SUM(J80:L80)</f>
        <v>0</v>
      </c>
      <c r="N80" s="43">
        <f>'EST1'!N80+'EST2'!N80+'EST3'!N80+JHAHN!N80</f>
        <v>0</v>
      </c>
      <c r="O80" s="43">
        <f>'EST1'!O80+'EST2'!O80+'EST3'!O80+JHAHN!O80</f>
        <v>0</v>
      </c>
      <c r="P80" s="43">
        <f>'EST1'!P80+'EST2'!P80+'EST3'!P80+JHAHN!P80</f>
        <v>0</v>
      </c>
      <c r="Q80" s="34">
        <f t="shared" ref="Q80:Q87" si="73">SUM(N80:P80)</f>
        <v>0</v>
      </c>
      <c r="R80" s="43">
        <f>'EST1'!R80+'EST2'!R80+'EST3'!R80+JHAHN!R80</f>
        <v>0</v>
      </c>
      <c r="S80" s="43">
        <f>'EST1'!S80+'EST2'!S80+'EST3'!S80+JHAHN!S80</f>
        <v>0</v>
      </c>
      <c r="T80" s="43">
        <f>'EST1'!T80+'EST2'!T80+'EST3'!T80+JHAHN!T80</f>
        <v>0</v>
      </c>
      <c r="U80" s="34">
        <f t="shared" ref="U80:U87" si="74">SUM(R80:T80)</f>
        <v>0</v>
      </c>
      <c r="V80" s="34">
        <f t="shared" ref="V80:V97" si="75">I80+M80+Q80+U80</f>
        <v>0</v>
      </c>
    </row>
    <row r="81" spans="1:22" ht="13.15" outlineLevel="2">
      <c r="A81" s="24"/>
      <c r="B81" s="27"/>
      <c r="C81" s="28" t="s">
        <v>67</v>
      </c>
      <c r="D81" s="27"/>
      <c r="E81" s="9">
        <v>0</v>
      </c>
      <c r="F81" s="43">
        <f>'EST1'!F81+'EST2'!F81+'EST3'!F81+JHAHN!F81</f>
        <v>0</v>
      </c>
      <c r="G81" s="43">
        <f>'EST1'!G81+'EST2'!G81+'EST3'!G81+JHAHN!G81</f>
        <v>0</v>
      </c>
      <c r="H81" s="43">
        <f>'EST1'!H81+'EST2'!H81+'EST3'!H81+JHAHN!H81</f>
        <v>0</v>
      </c>
      <c r="I81" s="34">
        <f t="shared" si="71"/>
        <v>0</v>
      </c>
      <c r="J81" s="43">
        <f>'EST1'!J81+'EST2'!J81+'EST3'!J81+JHAHN!J81</f>
        <v>0</v>
      </c>
      <c r="K81" s="43">
        <f>'EST1'!K81+'EST2'!K81+'EST3'!K81+JHAHN!K81</f>
        <v>0</v>
      </c>
      <c r="L81" s="43">
        <f>'EST1'!L81+'EST2'!L81+'EST3'!L81+JHAHN!L81</f>
        <v>0</v>
      </c>
      <c r="M81" s="34">
        <f t="shared" si="72"/>
        <v>0</v>
      </c>
      <c r="N81" s="43">
        <f>'EST1'!N81+'EST2'!N81+'EST3'!N81+JHAHN!N81</f>
        <v>0</v>
      </c>
      <c r="O81" s="43">
        <f>'EST1'!O81+'EST2'!O81+'EST3'!O81+JHAHN!O81</f>
        <v>0</v>
      </c>
      <c r="P81" s="43">
        <f>'EST1'!P81+'EST2'!P81+'EST3'!P81+JHAHN!P81</f>
        <v>0</v>
      </c>
      <c r="Q81" s="34">
        <f t="shared" si="73"/>
        <v>0</v>
      </c>
      <c r="R81" s="43">
        <f>'EST1'!R81+'EST2'!R81+'EST3'!R81+JHAHN!R81</f>
        <v>0</v>
      </c>
      <c r="S81" s="43">
        <f>'EST1'!S81+'EST2'!S81+'EST3'!S81+JHAHN!S81</f>
        <v>0</v>
      </c>
      <c r="T81" s="43">
        <f>'EST1'!T81+'EST2'!T81+'EST3'!T81+JHAHN!T81</f>
        <v>0</v>
      </c>
      <c r="U81" s="34">
        <f t="shared" si="74"/>
        <v>0</v>
      </c>
      <c r="V81" s="34">
        <f t="shared" si="75"/>
        <v>0</v>
      </c>
    </row>
    <row r="82" spans="1:22" ht="13.15" outlineLevel="2">
      <c r="A82" s="24"/>
      <c r="B82" s="27"/>
      <c r="C82" s="28" t="s">
        <v>100</v>
      </c>
      <c r="D82" s="27"/>
      <c r="E82" s="9">
        <v>0</v>
      </c>
      <c r="F82" s="43">
        <f>'EST1'!F82+'EST2'!F82+'EST3'!F82+JHAHN!F82</f>
        <v>0</v>
      </c>
      <c r="G82" s="43">
        <f>'EST1'!G82+'EST2'!G82+'EST3'!G82+JHAHN!G82</f>
        <v>0</v>
      </c>
      <c r="H82" s="43">
        <f>'EST1'!H82+'EST2'!H82+'EST3'!H82+JHAHN!H82</f>
        <v>0</v>
      </c>
      <c r="I82" s="34">
        <f t="shared" si="71"/>
        <v>0</v>
      </c>
      <c r="J82" s="43">
        <f>'EST1'!J82+'EST2'!J82+'EST3'!J82+JHAHN!J82</f>
        <v>0</v>
      </c>
      <c r="K82" s="43">
        <f>'EST1'!K82+'EST2'!K82+'EST3'!K82+JHAHN!K82</f>
        <v>0</v>
      </c>
      <c r="L82" s="43">
        <f>'EST1'!L82+'EST2'!L82+'EST3'!L82+JHAHN!L82</f>
        <v>0</v>
      </c>
      <c r="M82" s="34">
        <f t="shared" si="72"/>
        <v>0</v>
      </c>
      <c r="N82" s="43">
        <f>'EST1'!N82+'EST2'!N82+'EST3'!N82+JHAHN!N82</f>
        <v>0</v>
      </c>
      <c r="O82" s="43">
        <f>'EST1'!O82+'EST2'!O82+'EST3'!O82+JHAHN!O82</f>
        <v>0</v>
      </c>
      <c r="P82" s="43">
        <f>'EST1'!P82+'EST2'!P82+'EST3'!P82+JHAHN!P82</f>
        <v>0</v>
      </c>
      <c r="Q82" s="34">
        <f t="shared" si="73"/>
        <v>0</v>
      </c>
      <c r="R82" s="43">
        <f>'EST1'!R82+'EST2'!R82+'EST3'!R82+JHAHN!R82</f>
        <v>0</v>
      </c>
      <c r="S82" s="43">
        <f>'EST1'!S82+'EST2'!S82+'EST3'!S82+JHAHN!S82</f>
        <v>0</v>
      </c>
      <c r="T82" s="43">
        <f>'EST1'!T82+'EST2'!T82+'EST3'!T82+JHAHN!T82</f>
        <v>0</v>
      </c>
      <c r="U82" s="34">
        <f t="shared" si="74"/>
        <v>0</v>
      </c>
      <c r="V82" s="34">
        <f t="shared" si="75"/>
        <v>0</v>
      </c>
    </row>
    <row r="83" spans="1:22" ht="13.15" outlineLevel="2">
      <c r="A83" s="24"/>
      <c r="B83" s="27"/>
      <c r="C83" s="28" t="s">
        <v>99</v>
      </c>
      <c r="D83" s="27"/>
      <c r="E83" s="9"/>
      <c r="F83" s="43">
        <f>'EST1'!F83+'EST2'!F83+'EST3'!F83+JHAHN!F83</f>
        <v>0</v>
      </c>
      <c r="G83" s="43">
        <f>'EST1'!G83+'EST2'!G83+'EST3'!G83+JHAHN!G83</f>
        <v>0</v>
      </c>
      <c r="H83" s="43">
        <f>'EST1'!H83+'EST2'!H83+'EST3'!H83+JHAHN!H83</f>
        <v>0</v>
      </c>
      <c r="I83" s="34">
        <f t="shared" si="71"/>
        <v>0</v>
      </c>
      <c r="J83" s="43">
        <f>'EST1'!J83+'EST2'!J83+'EST3'!J83+JHAHN!J83</f>
        <v>0</v>
      </c>
      <c r="K83" s="43">
        <f>'EST1'!K83+'EST2'!K83+'EST3'!K83+JHAHN!K83</f>
        <v>0</v>
      </c>
      <c r="L83" s="43">
        <f>'EST1'!L83+'EST2'!L83+'EST3'!L83+JHAHN!L83</f>
        <v>0</v>
      </c>
      <c r="M83" s="34">
        <f t="shared" si="72"/>
        <v>0</v>
      </c>
      <c r="N83" s="43">
        <f>'EST1'!N83+'EST2'!N83+'EST3'!N83+JHAHN!N83</f>
        <v>0</v>
      </c>
      <c r="O83" s="43">
        <f>'EST1'!O83+'EST2'!O83+'EST3'!O83+JHAHN!O83</f>
        <v>0</v>
      </c>
      <c r="P83" s="43">
        <f>'EST1'!P83+'EST2'!P83+'EST3'!P83+JHAHN!P83</f>
        <v>0</v>
      </c>
      <c r="Q83" s="34">
        <f t="shared" si="73"/>
        <v>0</v>
      </c>
      <c r="R83" s="43">
        <f>'EST1'!R83+'EST2'!R83+'EST3'!R83+JHAHN!R83</f>
        <v>0</v>
      </c>
      <c r="S83" s="43">
        <f>'EST1'!S83+'EST2'!S83+'EST3'!S83+JHAHN!S83</f>
        <v>0</v>
      </c>
      <c r="T83" s="43">
        <f>'EST1'!T83+'EST2'!T83+'EST3'!T83+JHAHN!T83</f>
        <v>0</v>
      </c>
      <c r="U83" s="34">
        <f t="shared" si="74"/>
        <v>0</v>
      </c>
      <c r="V83" s="34">
        <f t="shared" si="75"/>
        <v>0</v>
      </c>
    </row>
    <row r="84" spans="1:22" ht="13.15" outlineLevel="2">
      <c r="A84" s="24"/>
      <c r="B84" s="27"/>
      <c r="C84" s="28" t="s">
        <v>101</v>
      </c>
      <c r="D84" s="27"/>
      <c r="E84" s="9"/>
      <c r="F84" s="43">
        <f>'EST1'!F84+'EST2'!F84+'EST3'!F84+JHAHN!F84</f>
        <v>0</v>
      </c>
      <c r="G84" s="43">
        <f>'EST1'!G84+'EST2'!G84+'EST3'!G84+JHAHN!G84</f>
        <v>0</v>
      </c>
      <c r="H84" s="43">
        <f>'EST1'!H84+'EST2'!H84+'EST3'!H84+JHAHN!H84</f>
        <v>0</v>
      </c>
      <c r="I84" s="34">
        <f t="shared" si="71"/>
        <v>0</v>
      </c>
      <c r="J84" s="43">
        <f>'EST1'!J84+'EST2'!J84+'EST3'!J84+JHAHN!J84</f>
        <v>0</v>
      </c>
      <c r="K84" s="43">
        <f>'EST1'!K84+'EST2'!K84+'EST3'!K84+JHAHN!K84</f>
        <v>0</v>
      </c>
      <c r="L84" s="43">
        <f>'EST1'!L84+'EST2'!L84+'EST3'!L84+JHAHN!L84</f>
        <v>0</v>
      </c>
      <c r="M84" s="34">
        <f t="shared" si="72"/>
        <v>0</v>
      </c>
      <c r="N84" s="43">
        <f>'EST1'!N84+'EST2'!N84+'EST3'!N84+JHAHN!N84</f>
        <v>0</v>
      </c>
      <c r="O84" s="43">
        <f>'EST1'!O84+'EST2'!O84+'EST3'!O84+JHAHN!O84</f>
        <v>0</v>
      </c>
      <c r="P84" s="43">
        <f>'EST1'!P84+'EST2'!P84+'EST3'!P84+JHAHN!P84</f>
        <v>0</v>
      </c>
      <c r="Q84" s="34">
        <f t="shared" si="73"/>
        <v>0</v>
      </c>
      <c r="R84" s="43">
        <f>'EST1'!R84+'EST2'!R84+'EST3'!R84+JHAHN!R84</f>
        <v>0</v>
      </c>
      <c r="S84" s="43">
        <f>'EST1'!S84+'EST2'!S84+'EST3'!S84+JHAHN!S84</f>
        <v>0</v>
      </c>
      <c r="T84" s="43">
        <f>'EST1'!T84+'EST2'!T84+'EST3'!T84+JHAHN!T84</f>
        <v>0</v>
      </c>
      <c r="U84" s="34">
        <f t="shared" si="74"/>
        <v>0</v>
      </c>
      <c r="V84" s="34">
        <f t="shared" si="75"/>
        <v>0</v>
      </c>
    </row>
    <row r="85" spans="1:22" ht="13.15" outlineLevel="2">
      <c r="A85" s="24"/>
      <c r="B85" s="27"/>
      <c r="C85" s="28" t="s">
        <v>41</v>
      </c>
      <c r="D85" s="27"/>
      <c r="E85" s="9">
        <v>0</v>
      </c>
      <c r="F85" s="43">
        <f>'EST1'!F85+'EST2'!F85+'EST3'!F85+JHAHN!F85</f>
        <v>0</v>
      </c>
      <c r="G85" s="43">
        <f>'EST1'!G85+'EST2'!G85+'EST3'!G85+JHAHN!G85</f>
        <v>0</v>
      </c>
      <c r="H85" s="43">
        <f>'EST1'!H85+'EST2'!H85+'EST3'!H85+JHAHN!H85</f>
        <v>0</v>
      </c>
      <c r="I85" s="34">
        <f t="shared" si="71"/>
        <v>0</v>
      </c>
      <c r="J85" s="43">
        <f>'EST1'!J85+'EST2'!J85+'EST3'!J85+JHAHN!J85</f>
        <v>0</v>
      </c>
      <c r="K85" s="43">
        <f>'EST1'!K85+'EST2'!K85+'EST3'!K85+JHAHN!K85</f>
        <v>0</v>
      </c>
      <c r="L85" s="43">
        <f>'EST1'!L85+'EST2'!L85+'EST3'!L85+JHAHN!L85</f>
        <v>0</v>
      </c>
      <c r="M85" s="34">
        <f t="shared" si="72"/>
        <v>0</v>
      </c>
      <c r="N85" s="43">
        <f>'EST1'!N85+'EST2'!N85+'EST3'!N85+JHAHN!N85</f>
        <v>0</v>
      </c>
      <c r="O85" s="43">
        <f>'EST1'!O85+'EST2'!O85+'EST3'!O85+JHAHN!O85</f>
        <v>0</v>
      </c>
      <c r="P85" s="43">
        <f>'EST1'!P85+'EST2'!P85+'EST3'!P85+JHAHN!P85</f>
        <v>0</v>
      </c>
      <c r="Q85" s="34">
        <f t="shared" si="73"/>
        <v>0</v>
      </c>
      <c r="R85" s="43">
        <f>'EST1'!R85+'EST2'!R85+'EST3'!R85+JHAHN!R85</f>
        <v>0</v>
      </c>
      <c r="S85" s="43">
        <f>'EST1'!S85+'EST2'!S85+'EST3'!S85+JHAHN!S85</f>
        <v>0</v>
      </c>
      <c r="T85" s="43">
        <f>'EST1'!T85+'EST2'!T85+'EST3'!T85+JHAHN!T85</f>
        <v>0</v>
      </c>
      <c r="U85" s="34">
        <f t="shared" si="74"/>
        <v>0</v>
      </c>
      <c r="V85" s="34">
        <f t="shared" si="75"/>
        <v>0</v>
      </c>
    </row>
    <row r="86" spans="1:22" ht="13.15" outlineLevel="2">
      <c r="A86" s="24"/>
      <c r="B86" s="27"/>
      <c r="C86" s="28" t="s">
        <v>114</v>
      </c>
      <c r="D86" s="27"/>
      <c r="E86" s="9">
        <v>0</v>
      </c>
      <c r="F86" s="43">
        <f>'EST1'!F86+'EST2'!F86+'EST3'!F86+JHAHN!F86</f>
        <v>0</v>
      </c>
      <c r="G86" s="43">
        <f>'EST1'!G86+'EST2'!G86+'EST3'!G86+JHAHN!G86</f>
        <v>0</v>
      </c>
      <c r="H86" s="43">
        <f>'EST1'!H86+'EST2'!H86+'EST3'!H86+JHAHN!H86</f>
        <v>0</v>
      </c>
      <c r="I86" s="34">
        <f t="shared" si="71"/>
        <v>0</v>
      </c>
      <c r="J86" s="43">
        <f>'EST1'!J86+'EST2'!J86+'EST3'!J86+JHAHN!J86</f>
        <v>0</v>
      </c>
      <c r="K86" s="43">
        <f>'EST1'!K86+'EST2'!K86+'EST3'!K86+JHAHN!K86</f>
        <v>0</v>
      </c>
      <c r="L86" s="43">
        <f>'EST1'!L86+'EST2'!L86+'EST3'!L86+JHAHN!L86</f>
        <v>0</v>
      </c>
      <c r="M86" s="34">
        <f t="shared" si="72"/>
        <v>0</v>
      </c>
      <c r="N86" s="43">
        <f>'EST1'!N86+'EST2'!N86+'EST3'!N86+JHAHN!N86</f>
        <v>0</v>
      </c>
      <c r="O86" s="43">
        <f>'EST1'!O86+'EST2'!O86+'EST3'!O86+JHAHN!O86</f>
        <v>0</v>
      </c>
      <c r="P86" s="43">
        <f>'EST1'!P86+'EST2'!P86+'EST3'!P86+JHAHN!P86</f>
        <v>0</v>
      </c>
      <c r="Q86" s="34">
        <f t="shared" si="73"/>
        <v>0</v>
      </c>
      <c r="R86" s="43">
        <f>'EST1'!R86+'EST2'!R86+'EST3'!R86+JHAHN!R86</f>
        <v>0</v>
      </c>
      <c r="S86" s="43">
        <f>'EST1'!S86+'EST2'!S86+'EST3'!S86+JHAHN!S86</f>
        <v>0</v>
      </c>
      <c r="T86" s="43">
        <f>'EST1'!T86+'EST2'!T86+'EST3'!T86+JHAHN!T86</f>
        <v>0</v>
      </c>
      <c r="U86" s="34">
        <f t="shared" si="74"/>
        <v>0</v>
      </c>
      <c r="V86" s="34">
        <f t="shared" si="75"/>
        <v>0</v>
      </c>
    </row>
    <row r="87" spans="1:22" ht="13.15" outlineLevel="2">
      <c r="A87" s="24"/>
      <c r="B87" s="27"/>
      <c r="C87" s="28" t="s">
        <v>105</v>
      </c>
      <c r="D87" s="27"/>
      <c r="E87" s="9">
        <v>0</v>
      </c>
      <c r="F87" s="43">
        <f>'EST1'!F87+'EST2'!F87+'EST3'!F87+JHAHN!F87</f>
        <v>0</v>
      </c>
      <c r="G87" s="43">
        <f>'EST1'!G87+'EST2'!G87+'EST3'!G87+JHAHN!G87</f>
        <v>0</v>
      </c>
      <c r="H87" s="43">
        <f>'EST1'!H87+'EST2'!H87+'EST3'!H87+JHAHN!H87</f>
        <v>0</v>
      </c>
      <c r="I87" s="34">
        <f t="shared" si="71"/>
        <v>0</v>
      </c>
      <c r="J87" s="43">
        <f>'EST1'!J87+'EST2'!J87+'EST3'!J87+JHAHN!J87</f>
        <v>0</v>
      </c>
      <c r="K87" s="43">
        <f>'EST1'!K87+'EST2'!K87+'EST3'!K87+JHAHN!K87</f>
        <v>0</v>
      </c>
      <c r="L87" s="43">
        <f>'EST1'!L87+'EST2'!L87+'EST3'!L87+JHAHN!L87</f>
        <v>0</v>
      </c>
      <c r="M87" s="34">
        <f t="shared" si="72"/>
        <v>0</v>
      </c>
      <c r="N87" s="43">
        <f>'EST1'!N87+'EST2'!N87+'EST3'!N87+JHAHN!N87</f>
        <v>0</v>
      </c>
      <c r="O87" s="43">
        <f>'EST1'!O87+'EST2'!O87+'EST3'!O87+JHAHN!O87</f>
        <v>0</v>
      </c>
      <c r="P87" s="43">
        <f>'EST1'!P87+'EST2'!P87+'EST3'!P87+JHAHN!P87</f>
        <v>0</v>
      </c>
      <c r="Q87" s="34">
        <f t="shared" si="73"/>
        <v>0</v>
      </c>
      <c r="R87" s="43">
        <f>'EST1'!R87+'EST2'!R87+'EST3'!R87+JHAHN!R87</f>
        <v>0</v>
      </c>
      <c r="S87" s="43">
        <f>'EST1'!S87+'EST2'!S87+'EST3'!S87+JHAHN!S87</f>
        <v>0</v>
      </c>
      <c r="T87" s="43">
        <f>'EST1'!T87+'EST2'!T87+'EST3'!T87+JHAHN!T87</f>
        <v>0</v>
      </c>
      <c r="U87" s="34">
        <f t="shared" si="74"/>
        <v>0</v>
      </c>
      <c r="V87" s="34">
        <f t="shared" si="75"/>
        <v>0</v>
      </c>
    </row>
    <row r="88" spans="1:22" ht="13.15" outlineLevel="1">
      <c r="A88" s="24"/>
      <c r="B88" s="30" t="s">
        <v>14</v>
      </c>
      <c r="C88" s="30"/>
      <c r="D88" s="30"/>
      <c r="E88" s="10"/>
      <c r="F88" s="45">
        <f t="shared" ref="F88" si="76">SUM(F80:F87)</f>
        <v>0</v>
      </c>
      <c r="G88" s="45">
        <f t="shared" ref="G88:H88" si="77">SUM(G80:G87)</f>
        <v>0</v>
      </c>
      <c r="H88" s="45">
        <f t="shared" si="77"/>
        <v>0</v>
      </c>
      <c r="I88" s="35">
        <f t="shared" ref="I88:I89" si="78">SUM(I80:I87)</f>
        <v>0</v>
      </c>
      <c r="J88" s="45">
        <f t="shared" ref="J88:L88" si="79">SUM(J80:J87)</f>
        <v>0</v>
      </c>
      <c r="K88" s="45">
        <f t="shared" si="79"/>
        <v>0</v>
      </c>
      <c r="L88" s="45">
        <f t="shared" si="79"/>
        <v>0</v>
      </c>
      <c r="M88" s="35">
        <f t="shared" ref="M88:M89" si="80">SUM(M80:M87)</f>
        <v>0</v>
      </c>
      <c r="N88" s="45">
        <f t="shared" ref="N88:P88" si="81">SUM(N80:N87)</f>
        <v>0</v>
      </c>
      <c r="O88" s="45">
        <f t="shared" si="81"/>
        <v>0</v>
      </c>
      <c r="P88" s="45">
        <f t="shared" si="81"/>
        <v>0</v>
      </c>
      <c r="Q88" s="35">
        <f t="shared" ref="Q88:Q89" si="82">SUM(Q80:Q87)</f>
        <v>0</v>
      </c>
      <c r="R88" s="45">
        <f t="shared" ref="R88:T88" si="83">SUM(R80:R87)</f>
        <v>0</v>
      </c>
      <c r="S88" s="45">
        <f t="shared" si="83"/>
        <v>0</v>
      </c>
      <c r="T88" s="45">
        <f t="shared" si="83"/>
        <v>0</v>
      </c>
      <c r="U88" s="35">
        <f t="shared" ref="U88:U89" si="84">SUM(U80:U87)</f>
        <v>0</v>
      </c>
      <c r="V88" s="35">
        <f t="shared" si="75"/>
        <v>0</v>
      </c>
    </row>
    <row r="89" spans="1:22" s="4" customFormat="1" ht="13.15" outlineLevel="1">
      <c r="A89" s="24"/>
      <c r="B89" s="24" t="s">
        <v>15</v>
      </c>
      <c r="C89" s="24"/>
      <c r="D89" s="24"/>
      <c r="E89" s="8">
        <v>0</v>
      </c>
      <c r="F89" s="44">
        <v>0</v>
      </c>
      <c r="G89" s="44">
        <v>0</v>
      </c>
      <c r="H89" s="44">
        <v>0</v>
      </c>
      <c r="I89" s="35">
        <f t="shared" si="78"/>
        <v>0</v>
      </c>
      <c r="J89" s="44">
        <v>0</v>
      </c>
      <c r="K89" s="44">
        <v>0</v>
      </c>
      <c r="L89" s="44">
        <v>0</v>
      </c>
      <c r="M89" s="35">
        <f t="shared" si="80"/>
        <v>0</v>
      </c>
      <c r="N89" s="44">
        <v>0</v>
      </c>
      <c r="O89" s="44">
        <v>0</v>
      </c>
      <c r="P89" s="44">
        <v>0</v>
      </c>
      <c r="Q89" s="35">
        <f t="shared" si="82"/>
        <v>0</v>
      </c>
      <c r="R89" s="44">
        <v>0</v>
      </c>
      <c r="S89" s="44">
        <v>0</v>
      </c>
      <c r="T89" s="44">
        <v>0</v>
      </c>
      <c r="U89" s="35">
        <f t="shared" si="84"/>
        <v>0</v>
      </c>
      <c r="V89" s="35">
        <f t="shared" si="75"/>
        <v>0</v>
      </c>
    </row>
    <row r="90" spans="1:22" ht="13.15" outlineLevel="2">
      <c r="A90" s="24"/>
      <c r="B90" s="26" t="s">
        <v>16</v>
      </c>
      <c r="C90" s="27"/>
      <c r="D90" s="27"/>
      <c r="E90" s="9"/>
      <c r="F90" s="129"/>
      <c r="G90" s="129"/>
      <c r="H90" s="129"/>
      <c r="I90" s="34">
        <f t="shared" ref="I90" si="85">SUM(F90:H90)</f>
        <v>0</v>
      </c>
      <c r="J90" s="129"/>
      <c r="K90" s="129"/>
      <c r="L90" s="129"/>
      <c r="M90" s="34">
        <f t="shared" ref="M90" si="86">SUM(J90:L90)</f>
        <v>0</v>
      </c>
      <c r="N90" s="129"/>
      <c r="O90" s="129"/>
      <c r="P90" s="129"/>
      <c r="Q90" s="34">
        <f t="shared" ref="Q90" si="87">SUM(N90:P90)</f>
        <v>0</v>
      </c>
      <c r="R90" s="129"/>
      <c r="S90" s="129"/>
      <c r="T90" s="129"/>
      <c r="U90" s="34">
        <f t="shared" ref="U90" si="88">SUM(R90:T90)</f>
        <v>0</v>
      </c>
      <c r="V90" s="34">
        <f t="shared" si="75"/>
        <v>0</v>
      </c>
    </row>
    <row r="91" spans="1:22" ht="13.15" outlineLevel="2">
      <c r="A91" s="24"/>
      <c r="B91" s="27"/>
      <c r="C91" s="28" t="s">
        <v>42</v>
      </c>
      <c r="D91" s="27"/>
      <c r="E91" s="9">
        <v>0</v>
      </c>
      <c r="F91" s="43">
        <f>'EST1'!F91+'EST2'!F91+'EST3'!F91+JHAHN!F91</f>
        <v>0</v>
      </c>
      <c r="G91" s="43">
        <f>'EST1'!G91+'EST2'!G91+'EST3'!G91+JHAHN!G91</f>
        <v>0</v>
      </c>
      <c r="H91" s="43">
        <f>'EST1'!H91+'EST2'!H91+'EST3'!H91+JHAHN!H91</f>
        <v>0</v>
      </c>
      <c r="I91" s="34">
        <f t="shared" ref="I91:I96" si="89">SUM(F91:H91)</f>
        <v>0</v>
      </c>
      <c r="J91" s="43">
        <f>'EST1'!J91+'EST2'!J91+'EST3'!J91+JHAHN!J91</f>
        <v>0</v>
      </c>
      <c r="K91" s="43">
        <f>'EST1'!K91+'EST2'!K91+'EST3'!K91+JHAHN!K91</f>
        <v>0</v>
      </c>
      <c r="L91" s="43">
        <f>'EST1'!L91+'EST2'!L91+'EST3'!L91+JHAHN!L91</f>
        <v>0</v>
      </c>
      <c r="M91" s="34">
        <f t="shared" ref="M91:M96" si="90">SUM(J91:L91)</f>
        <v>0</v>
      </c>
      <c r="N91" s="43">
        <f>'EST1'!N91+'EST2'!N91+'EST3'!N91+JHAHN!N91</f>
        <v>0</v>
      </c>
      <c r="O91" s="43">
        <f>'EST1'!O91+'EST2'!O91+'EST3'!O91+JHAHN!O91</f>
        <v>0</v>
      </c>
      <c r="P91" s="43">
        <f>'EST1'!P91+'EST2'!P91+'EST3'!P91+JHAHN!P91</f>
        <v>0</v>
      </c>
      <c r="Q91" s="34">
        <f t="shared" ref="Q91:Q96" si="91">SUM(N91:P91)</f>
        <v>0</v>
      </c>
      <c r="R91" s="43">
        <f>'EST1'!R91+'EST2'!R91+'EST3'!R91+JHAHN!R91</f>
        <v>0</v>
      </c>
      <c r="S91" s="43">
        <f>'EST1'!S91+'EST2'!S91+'EST3'!S91+JHAHN!S91</f>
        <v>0</v>
      </c>
      <c r="T91" s="43">
        <f>'EST1'!T91+'EST2'!T91+'EST3'!T91+JHAHN!T91</f>
        <v>0</v>
      </c>
      <c r="U91" s="34">
        <f t="shared" ref="U91:U96" si="92">SUM(R91:T91)</f>
        <v>0</v>
      </c>
      <c r="V91" s="34">
        <f t="shared" si="75"/>
        <v>0</v>
      </c>
    </row>
    <row r="92" spans="1:22" ht="13.15" outlineLevel="2">
      <c r="A92" s="24"/>
      <c r="B92" s="27"/>
      <c r="C92" s="28" t="s">
        <v>43</v>
      </c>
      <c r="D92" s="27"/>
      <c r="E92" s="9">
        <v>0</v>
      </c>
      <c r="F92" s="43">
        <f>'EST1'!F92+'EST2'!F92+'EST3'!F92+JHAHN!F92</f>
        <v>30000</v>
      </c>
      <c r="G92" s="43">
        <f>'EST1'!G92+'EST2'!G92+'EST3'!G92+JHAHN!G92</f>
        <v>60000</v>
      </c>
      <c r="H92" s="43">
        <f>'EST1'!H92+'EST2'!H92+'EST3'!H92+JHAHN!H92</f>
        <v>60000</v>
      </c>
      <c r="I92" s="34">
        <f t="shared" si="89"/>
        <v>150000</v>
      </c>
      <c r="J92" s="43">
        <f>'EST1'!J92+'EST2'!J92+'EST3'!J92+JHAHN!J92</f>
        <v>60000</v>
      </c>
      <c r="K92" s="43">
        <f>'EST1'!K92+'EST2'!K92+'EST3'!K92+JHAHN!K92</f>
        <v>60000</v>
      </c>
      <c r="L92" s="43">
        <f>'EST1'!L92+'EST2'!L92+'EST3'!L92+JHAHN!L92</f>
        <v>60000</v>
      </c>
      <c r="M92" s="34">
        <f t="shared" si="90"/>
        <v>180000</v>
      </c>
      <c r="N92" s="43">
        <f>'EST1'!N92+'EST2'!N92+'EST3'!N92+JHAHN!N92</f>
        <v>60000</v>
      </c>
      <c r="O92" s="43">
        <f>'EST1'!O92+'EST2'!O92+'EST3'!O92+JHAHN!O92</f>
        <v>60000</v>
      </c>
      <c r="P92" s="43">
        <f>'EST1'!P92+'EST2'!P92+'EST3'!P92+JHAHN!P92</f>
        <v>60000</v>
      </c>
      <c r="Q92" s="34">
        <f t="shared" si="91"/>
        <v>180000</v>
      </c>
      <c r="R92" s="43">
        <f>'EST1'!R92+'EST2'!R92+'EST3'!R92+JHAHN!R92</f>
        <v>60000</v>
      </c>
      <c r="S92" s="43">
        <f>'EST1'!S92+'EST2'!S92+'EST3'!S92+JHAHN!S92</f>
        <v>60000</v>
      </c>
      <c r="T92" s="43">
        <f>'EST1'!T92+'EST2'!T92+'EST3'!T92+JHAHN!T92</f>
        <v>60000</v>
      </c>
      <c r="U92" s="34">
        <f t="shared" si="92"/>
        <v>180000</v>
      </c>
      <c r="V92" s="34">
        <f t="shared" si="75"/>
        <v>690000</v>
      </c>
    </row>
    <row r="93" spans="1:22" ht="13.15" outlineLevel="2">
      <c r="A93" s="24"/>
      <c r="B93" s="27"/>
      <c r="C93" s="28" t="s">
        <v>53</v>
      </c>
      <c r="D93" s="27"/>
      <c r="E93" s="9">
        <v>0</v>
      </c>
      <c r="F93" s="43">
        <f>'EST1'!F93+'EST2'!F93+'EST3'!F93+JHAHN!F93</f>
        <v>0</v>
      </c>
      <c r="G93" s="43">
        <f>'EST1'!G93+'EST2'!G93+'EST3'!G93+JHAHN!G93</f>
        <v>0</v>
      </c>
      <c r="H93" s="43">
        <f>'EST1'!H93+'EST2'!H93+'EST3'!H93+JHAHN!H93</f>
        <v>0</v>
      </c>
      <c r="I93" s="34">
        <f t="shared" si="89"/>
        <v>0</v>
      </c>
      <c r="J93" s="43">
        <f>'EST1'!J93+'EST2'!J93+'EST3'!J93+JHAHN!J93</f>
        <v>0</v>
      </c>
      <c r="K93" s="43">
        <f>'EST1'!K93+'EST2'!K93+'EST3'!K93+JHAHN!K93</f>
        <v>0</v>
      </c>
      <c r="L93" s="43">
        <f>'EST1'!L93+'EST2'!L93+'EST3'!L93+JHAHN!L93</f>
        <v>0</v>
      </c>
      <c r="M93" s="34">
        <f t="shared" si="90"/>
        <v>0</v>
      </c>
      <c r="N93" s="43">
        <f>'EST1'!N93+'EST2'!N93+'EST3'!N93+JHAHN!N93</f>
        <v>0</v>
      </c>
      <c r="O93" s="43">
        <f>'EST1'!O93+'EST2'!O93+'EST3'!O93+JHAHN!O93</f>
        <v>0</v>
      </c>
      <c r="P93" s="43">
        <f>'EST1'!P93+'EST2'!P93+'EST3'!P93+JHAHN!P93</f>
        <v>0</v>
      </c>
      <c r="Q93" s="34">
        <f t="shared" si="91"/>
        <v>0</v>
      </c>
      <c r="R93" s="43">
        <f>'EST1'!R93+'EST2'!R93+'EST3'!R93+JHAHN!R93</f>
        <v>0</v>
      </c>
      <c r="S93" s="43">
        <f>'EST1'!S93+'EST2'!S93+'EST3'!S93+JHAHN!S93</f>
        <v>0</v>
      </c>
      <c r="T93" s="43">
        <f>'EST1'!T93+'EST2'!T93+'EST3'!T93+JHAHN!T93</f>
        <v>0</v>
      </c>
      <c r="U93" s="34">
        <f t="shared" si="92"/>
        <v>0</v>
      </c>
      <c r="V93" s="34">
        <f t="shared" si="75"/>
        <v>0</v>
      </c>
    </row>
    <row r="94" spans="1:22" ht="13.15" outlineLevel="2">
      <c r="A94" s="24"/>
      <c r="B94" s="27"/>
      <c r="C94" s="28" t="s">
        <v>44</v>
      </c>
      <c r="D94" s="27"/>
      <c r="E94" s="9">
        <v>0</v>
      </c>
      <c r="F94" s="43">
        <f>'EST1'!F94+'EST2'!F94+'EST3'!F94+JHAHN!F94</f>
        <v>0</v>
      </c>
      <c r="G94" s="43">
        <f>'EST1'!G94+'EST2'!G94+'EST3'!G94+JHAHN!G94</f>
        <v>0</v>
      </c>
      <c r="H94" s="43">
        <f>'EST1'!H94+'EST2'!H94+'EST3'!H94+JHAHN!H94</f>
        <v>0</v>
      </c>
      <c r="I94" s="34">
        <f t="shared" si="89"/>
        <v>0</v>
      </c>
      <c r="J94" s="43">
        <f>'EST1'!J94+'EST2'!J94+'EST3'!J94+JHAHN!J94</f>
        <v>0</v>
      </c>
      <c r="K94" s="43">
        <f>'EST1'!K94+'EST2'!K94+'EST3'!K94+JHAHN!K94</f>
        <v>0</v>
      </c>
      <c r="L94" s="43">
        <f>'EST1'!L94+'EST2'!L94+'EST3'!L94+JHAHN!L94</f>
        <v>0</v>
      </c>
      <c r="M94" s="34">
        <f t="shared" si="90"/>
        <v>0</v>
      </c>
      <c r="N94" s="43">
        <f>'EST1'!N94+'EST2'!N94+'EST3'!N94+JHAHN!N94</f>
        <v>0</v>
      </c>
      <c r="O94" s="43">
        <f>'EST1'!O94+'EST2'!O94+'EST3'!O94+JHAHN!O94</f>
        <v>0</v>
      </c>
      <c r="P94" s="43">
        <f>'EST1'!P94+'EST2'!P94+'EST3'!P94+JHAHN!P94</f>
        <v>0</v>
      </c>
      <c r="Q94" s="34">
        <f t="shared" si="91"/>
        <v>0</v>
      </c>
      <c r="R94" s="43">
        <f>'EST1'!R94+'EST2'!R94+'EST3'!R94+JHAHN!R94</f>
        <v>0</v>
      </c>
      <c r="S94" s="43">
        <f>'EST1'!S94+'EST2'!S94+'EST3'!S94+JHAHN!S94</f>
        <v>0</v>
      </c>
      <c r="T94" s="43">
        <f>'EST1'!T94+'EST2'!T94+'EST3'!T94+JHAHN!T94</f>
        <v>0</v>
      </c>
      <c r="U94" s="34">
        <f t="shared" si="92"/>
        <v>0</v>
      </c>
      <c r="V94" s="34">
        <f t="shared" si="75"/>
        <v>0</v>
      </c>
    </row>
    <row r="95" spans="1:22" ht="13.15" outlineLevel="2">
      <c r="A95" s="24"/>
      <c r="B95" s="27"/>
      <c r="C95" s="28" t="s">
        <v>51</v>
      </c>
      <c r="D95" s="27"/>
      <c r="E95" s="9">
        <v>0</v>
      </c>
      <c r="F95" s="43">
        <f>'EST1'!F95+'EST2'!F95+'EST3'!F95+JHAHN!F95</f>
        <v>0</v>
      </c>
      <c r="G95" s="43">
        <f>'EST1'!G95+'EST2'!G95+'EST3'!G95+JHAHN!G95</f>
        <v>0</v>
      </c>
      <c r="H95" s="43">
        <f>'EST1'!H95+'EST2'!H95+'EST3'!H95+JHAHN!H95</f>
        <v>0</v>
      </c>
      <c r="I95" s="34">
        <f t="shared" si="89"/>
        <v>0</v>
      </c>
      <c r="J95" s="43">
        <f>'EST1'!J95+'EST2'!J95+'EST3'!J95+JHAHN!J95</f>
        <v>0</v>
      </c>
      <c r="K95" s="43">
        <f>'EST1'!K95+'EST2'!K95+'EST3'!K95+JHAHN!K95</f>
        <v>0</v>
      </c>
      <c r="L95" s="43">
        <f>'EST1'!L95+'EST2'!L95+'EST3'!L95+JHAHN!L95</f>
        <v>0</v>
      </c>
      <c r="M95" s="34">
        <f t="shared" si="90"/>
        <v>0</v>
      </c>
      <c r="N95" s="43">
        <f>'EST1'!N95+'EST2'!N95+'EST3'!N95+JHAHN!N95</f>
        <v>0</v>
      </c>
      <c r="O95" s="43">
        <f>'EST1'!O95+'EST2'!O95+'EST3'!O95+JHAHN!O95</f>
        <v>0</v>
      </c>
      <c r="P95" s="43">
        <f>'EST1'!P95+'EST2'!P95+'EST3'!P95+JHAHN!P95</f>
        <v>0</v>
      </c>
      <c r="Q95" s="34">
        <f t="shared" si="91"/>
        <v>0</v>
      </c>
      <c r="R95" s="43">
        <f>'EST1'!R95+'EST2'!R95+'EST3'!R95+JHAHN!R95</f>
        <v>0</v>
      </c>
      <c r="S95" s="43">
        <f>'EST1'!S95+'EST2'!S95+'EST3'!S95+JHAHN!S95</f>
        <v>0</v>
      </c>
      <c r="T95" s="43">
        <f>'EST1'!T95+'EST2'!T95+'EST3'!T95+JHAHN!T95</f>
        <v>0</v>
      </c>
      <c r="U95" s="34">
        <f t="shared" si="92"/>
        <v>0</v>
      </c>
      <c r="V95" s="34">
        <f t="shared" si="75"/>
        <v>0</v>
      </c>
    </row>
    <row r="96" spans="1:22" ht="13.15" outlineLevel="2">
      <c r="A96" s="24"/>
      <c r="B96" s="27"/>
      <c r="C96" s="28" t="s">
        <v>50</v>
      </c>
      <c r="D96" s="27"/>
      <c r="E96" s="9">
        <v>0</v>
      </c>
      <c r="F96" s="43">
        <f>'EST1'!F96+'EST2'!F96+'EST3'!F96+JHAHN!F96</f>
        <v>0</v>
      </c>
      <c r="G96" s="43">
        <f>'EST1'!G96+'EST2'!G96+'EST3'!G96+JHAHN!G96</f>
        <v>0</v>
      </c>
      <c r="H96" s="43">
        <f>'EST1'!H96+'EST2'!H96+'EST3'!H96+JHAHN!H96</f>
        <v>0</v>
      </c>
      <c r="I96" s="34">
        <f t="shared" si="89"/>
        <v>0</v>
      </c>
      <c r="J96" s="43">
        <f>'EST1'!J96+'EST2'!J96+'EST3'!J96+JHAHN!J96</f>
        <v>0</v>
      </c>
      <c r="K96" s="43">
        <f>'EST1'!K96+'EST2'!K96+'EST3'!K96+JHAHN!K96</f>
        <v>0</v>
      </c>
      <c r="L96" s="43">
        <f>'EST1'!L96+'EST2'!L96+'EST3'!L96+JHAHN!L96</f>
        <v>0</v>
      </c>
      <c r="M96" s="34">
        <f t="shared" si="90"/>
        <v>0</v>
      </c>
      <c r="N96" s="43">
        <f>'EST1'!N96+'EST2'!N96+'EST3'!N96+JHAHN!N96</f>
        <v>0</v>
      </c>
      <c r="O96" s="43">
        <f>'EST1'!O96+'EST2'!O96+'EST3'!O96+JHAHN!O96</f>
        <v>0</v>
      </c>
      <c r="P96" s="43">
        <f>'EST1'!P96+'EST2'!P96+'EST3'!P96+JHAHN!P96</f>
        <v>0</v>
      </c>
      <c r="Q96" s="34">
        <f t="shared" si="91"/>
        <v>0</v>
      </c>
      <c r="R96" s="43">
        <f>'EST1'!R96+'EST2'!R96+'EST3'!R96+JHAHN!R96</f>
        <v>0</v>
      </c>
      <c r="S96" s="43">
        <f>'EST1'!S96+'EST2'!S96+'EST3'!S96+JHAHN!S96</f>
        <v>0</v>
      </c>
      <c r="T96" s="43">
        <f>'EST1'!T96+'EST2'!T96+'EST3'!T96+JHAHN!T96</f>
        <v>0</v>
      </c>
      <c r="U96" s="34">
        <f t="shared" si="92"/>
        <v>0</v>
      </c>
      <c r="V96" s="34">
        <f t="shared" si="75"/>
        <v>0</v>
      </c>
    </row>
    <row r="97" spans="1:22" ht="13.15" outlineLevel="1">
      <c r="A97" s="24"/>
      <c r="B97" s="24" t="s">
        <v>17</v>
      </c>
      <c r="C97" s="24"/>
      <c r="D97" s="24"/>
      <c r="E97" s="8"/>
      <c r="F97" s="44">
        <f t="shared" ref="F97" si="93">SUM(F91:F96)</f>
        <v>30000</v>
      </c>
      <c r="G97" s="44">
        <f t="shared" ref="G97:H97" si="94">SUM(G91:G96)</f>
        <v>60000</v>
      </c>
      <c r="H97" s="44">
        <f t="shared" si="94"/>
        <v>60000</v>
      </c>
      <c r="I97" s="35">
        <f>SUM(I91:I96)</f>
        <v>150000</v>
      </c>
      <c r="J97" s="44">
        <f t="shared" ref="J97:L97" si="95">SUM(J91:J96)</f>
        <v>60000</v>
      </c>
      <c r="K97" s="44">
        <f t="shared" si="95"/>
        <v>60000</v>
      </c>
      <c r="L97" s="44">
        <f t="shared" si="95"/>
        <v>60000</v>
      </c>
      <c r="M97" s="35">
        <f>SUM(M91:M96)</f>
        <v>180000</v>
      </c>
      <c r="N97" s="44">
        <f t="shared" ref="N97:P97" si="96">SUM(N91:N96)</f>
        <v>60000</v>
      </c>
      <c r="O97" s="44">
        <f t="shared" si="96"/>
        <v>60000</v>
      </c>
      <c r="P97" s="44">
        <f t="shared" si="96"/>
        <v>60000</v>
      </c>
      <c r="Q97" s="35">
        <f>SUM(Q91:Q96)</f>
        <v>180000</v>
      </c>
      <c r="R97" s="44">
        <f t="shared" ref="R97:T97" si="97">SUM(R91:R96)</f>
        <v>60000</v>
      </c>
      <c r="S97" s="44">
        <f t="shared" si="97"/>
        <v>60000</v>
      </c>
      <c r="T97" s="44">
        <f t="shared" si="97"/>
        <v>60000</v>
      </c>
      <c r="U97" s="35">
        <f>SUM(U91:U96)</f>
        <v>180000</v>
      </c>
      <c r="V97" s="35">
        <f t="shared" si="75"/>
        <v>690000</v>
      </c>
    </row>
    <row r="98" spans="1:22" ht="13.15" outlineLevel="2">
      <c r="A98" s="24"/>
      <c r="B98" s="26" t="s">
        <v>18</v>
      </c>
      <c r="C98" s="27"/>
      <c r="D98" s="27"/>
      <c r="E98" s="9"/>
      <c r="F98" s="129"/>
      <c r="G98" s="129"/>
      <c r="H98" s="129"/>
      <c r="I98" s="36"/>
      <c r="J98" s="129"/>
      <c r="K98" s="129"/>
      <c r="L98" s="129"/>
      <c r="M98" s="36"/>
      <c r="N98" s="129"/>
      <c r="O98" s="129"/>
      <c r="P98" s="129"/>
      <c r="Q98" s="36"/>
      <c r="R98" s="129"/>
      <c r="S98" s="129"/>
      <c r="T98" s="129"/>
      <c r="U98" s="36"/>
      <c r="V98" s="36"/>
    </row>
    <row r="99" spans="1:22" ht="13.15" outlineLevel="2">
      <c r="A99" s="24"/>
      <c r="B99" s="27"/>
      <c r="C99" s="28" t="s">
        <v>68</v>
      </c>
      <c r="D99" s="27"/>
      <c r="E99" s="9">
        <v>0</v>
      </c>
      <c r="F99" s="43">
        <f>'EST1'!F99+'EST2'!F99+'EST3'!F99+JHAHN!F99</f>
        <v>0</v>
      </c>
      <c r="G99" s="43">
        <f>'EST1'!G99+'EST2'!G99+'EST3'!G99+JHAHN!G99</f>
        <v>0</v>
      </c>
      <c r="H99" s="43">
        <f>'EST1'!H99+'EST2'!H99+'EST3'!H99+JHAHN!H99</f>
        <v>0</v>
      </c>
      <c r="I99" s="34">
        <f t="shared" ref="I99" si="98">SUM(F99:H99)</f>
        <v>0</v>
      </c>
      <c r="J99" s="43">
        <f>'EST1'!J99+'EST2'!J99+'EST3'!J99+JHAHN!J99</f>
        <v>0</v>
      </c>
      <c r="K99" s="43">
        <f>'EST1'!K99+'EST2'!K99+'EST3'!K99+JHAHN!K99</f>
        <v>0</v>
      </c>
      <c r="L99" s="43">
        <f>'EST1'!L99+'EST2'!L99+'EST3'!L99+JHAHN!L99</f>
        <v>0</v>
      </c>
      <c r="M99" s="34">
        <f t="shared" ref="M99" si="99">SUM(J99:L99)</f>
        <v>0</v>
      </c>
      <c r="N99" s="43">
        <f>'EST1'!N99+'EST2'!N99+'EST3'!N99+JHAHN!N99</f>
        <v>0</v>
      </c>
      <c r="O99" s="43">
        <f>'EST1'!O99+'EST2'!O99+'EST3'!O99+JHAHN!O99</f>
        <v>0</v>
      </c>
      <c r="P99" s="43">
        <f>'EST1'!P99+'EST2'!P99+'EST3'!P99+JHAHN!P99</f>
        <v>0</v>
      </c>
      <c r="Q99" s="34">
        <f t="shared" ref="Q99" si="100">SUM(N99:P99)</f>
        <v>0</v>
      </c>
      <c r="R99" s="43">
        <f>'EST1'!R99+'EST2'!R99+'EST3'!R99+JHAHN!R99</f>
        <v>0</v>
      </c>
      <c r="S99" s="43">
        <f>'EST1'!S99+'EST2'!S99+'EST3'!S99+JHAHN!S99</f>
        <v>0</v>
      </c>
      <c r="T99" s="43">
        <f>'EST1'!T99+'EST2'!T99+'EST3'!T99+JHAHN!T99</f>
        <v>0</v>
      </c>
      <c r="U99" s="34">
        <f t="shared" ref="U99" si="101">SUM(R99:T99)</f>
        <v>0</v>
      </c>
      <c r="V99" s="34">
        <f t="shared" ref="V99:V106" si="102">I99+M99+Q99+U99</f>
        <v>0</v>
      </c>
    </row>
    <row r="100" spans="1:22" ht="13.15" outlineLevel="2">
      <c r="A100" s="24"/>
      <c r="B100" s="27"/>
      <c r="C100" s="28" t="s">
        <v>45</v>
      </c>
      <c r="D100" s="27"/>
      <c r="E100" s="9">
        <v>0</v>
      </c>
      <c r="F100" s="43">
        <f>'EST1'!F100+'EST2'!F100+'EST3'!F100+JHAHN!F100</f>
        <v>0</v>
      </c>
      <c r="G100" s="43">
        <f>'EST1'!G100+'EST2'!G100+'EST3'!G100+JHAHN!G100</f>
        <v>0</v>
      </c>
      <c r="H100" s="43">
        <f>'EST1'!H100+'EST2'!H100+'EST3'!H100+JHAHN!H100</f>
        <v>0</v>
      </c>
      <c r="I100" s="34">
        <f t="shared" ref="I100:I105" si="103">SUM(F100:H100)</f>
        <v>0</v>
      </c>
      <c r="J100" s="43">
        <f>'EST1'!J100+'EST2'!J100+'EST3'!J100+JHAHN!J100</f>
        <v>0</v>
      </c>
      <c r="K100" s="43">
        <f>'EST1'!K100+'EST2'!K100+'EST3'!K100+JHAHN!K100</f>
        <v>0</v>
      </c>
      <c r="L100" s="43">
        <f>'EST1'!L100+'EST2'!L100+'EST3'!L100+JHAHN!L100</f>
        <v>0</v>
      </c>
      <c r="M100" s="34">
        <f t="shared" ref="M100:M105" si="104">SUM(J100:L100)</f>
        <v>0</v>
      </c>
      <c r="N100" s="43">
        <f>'EST1'!N100+'EST2'!N100+'EST3'!N100+JHAHN!N100</f>
        <v>0</v>
      </c>
      <c r="O100" s="43">
        <f>'EST1'!O100+'EST2'!O100+'EST3'!O100+JHAHN!O100</f>
        <v>0</v>
      </c>
      <c r="P100" s="43">
        <f>'EST1'!P100+'EST2'!P100+'EST3'!P100+JHAHN!P100</f>
        <v>0</v>
      </c>
      <c r="Q100" s="34">
        <f t="shared" ref="Q100:Q105" si="105">SUM(N100:P100)</f>
        <v>0</v>
      </c>
      <c r="R100" s="43">
        <f>'EST1'!R100+'EST2'!R100+'EST3'!R100+JHAHN!R100</f>
        <v>0</v>
      </c>
      <c r="S100" s="43">
        <f>'EST1'!S100+'EST2'!S100+'EST3'!S100+JHAHN!S100</f>
        <v>0</v>
      </c>
      <c r="T100" s="43">
        <f>'EST1'!T100+'EST2'!T100+'EST3'!T100+JHAHN!T100</f>
        <v>0</v>
      </c>
      <c r="U100" s="34">
        <f t="shared" ref="U100:U105" si="106">SUM(R100:T100)</f>
        <v>0</v>
      </c>
      <c r="V100" s="34">
        <f t="shared" si="102"/>
        <v>0</v>
      </c>
    </row>
    <row r="101" spans="1:22" ht="13.15" outlineLevel="2">
      <c r="A101" s="24"/>
      <c r="B101" s="27"/>
      <c r="C101" s="28" t="s">
        <v>94</v>
      </c>
      <c r="D101" s="27"/>
      <c r="E101" s="9">
        <v>0</v>
      </c>
      <c r="F101" s="43">
        <f>'EST1'!F101+'EST2'!F101+'EST3'!F101+JHAHN!F101</f>
        <v>0</v>
      </c>
      <c r="G101" s="43">
        <f>'EST1'!G101+'EST2'!G101+'EST3'!G101+JHAHN!G101</f>
        <v>0</v>
      </c>
      <c r="H101" s="43">
        <f>'EST1'!H101+'EST2'!H101+'EST3'!H101+JHAHN!H101</f>
        <v>0</v>
      </c>
      <c r="I101" s="34">
        <f t="shared" si="103"/>
        <v>0</v>
      </c>
      <c r="J101" s="43">
        <f>'EST1'!J101+'EST2'!J101+'EST3'!J101+JHAHN!J101</f>
        <v>0</v>
      </c>
      <c r="K101" s="43">
        <f>'EST1'!K101+'EST2'!K101+'EST3'!K101+JHAHN!K101</f>
        <v>0</v>
      </c>
      <c r="L101" s="43">
        <f>'EST1'!L101+'EST2'!L101+'EST3'!L101+JHAHN!L101</f>
        <v>0</v>
      </c>
      <c r="M101" s="34">
        <f t="shared" si="104"/>
        <v>0</v>
      </c>
      <c r="N101" s="43">
        <f>'EST1'!N101+'EST2'!N101+'EST3'!N101+JHAHN!N101</f>
        <v>0</v>
      </c>
      <c r="O101" s="43">
        <f>'EST1'!O101+'EST2'!O101+'EST3'!O101+JHAHN!O101</f>
        <v>0</v>
      </c>
      <c r="P101" s="43">
        <f>'EST1'!P101+'EST2'!P101+'EST3'!P101+JHAHN!P101</f>
        <v>0</v>
      </c>
      <c r="Q101" s="34">
        <f t="shared" si="105"/>
        <v>0</v>
      </c>
      <c r="R101" s="43">
        <f>'EST1'!R101+'EST2'!R101+'EST3'!R101+JHAHN!R101</f>
        <v>0</v>
      </c>
      <c r="S101" s="43">
        <f>'EST1'!S101+'EST2'!S101+'EST3'!S101+JHAHN!S101</f>
        <v>0</v>
      </c>
      <c r="T101" s="43">
        <f>'EST1'!T101+'EST2'!T101+'EST3'!T101+JHAHN!T101</f>
        <v>0</v>
      </c>
      <c r="U101" s="34">
        <f t="shared" si="106"/>
        <v>0</v>
      </c>
      <c r="V101" s="34">
        <f t="shared" si="102"/>
        <v>0</v>
      </c>
    </row>
    <row r="102" spans="1:22" ht="13.15" outlineLevel="2">
      <c r="A102" s="24"/>
      <c r="B102" s="27"/>
      <c r="C102" s="28" t="s">
        <v>46</v>
      </c>
      <c r="D102" s="27"/>
      <c r="E102" s="9">
        <v>0</v>
      </c>
      <c r="F102" s="43">
        <f>'EST1'!F102+'EST2'!F102+'EST3'!F102+JHAHN!F102</f>
        <v>0</v>
      </c>
      <c r="G102" s="43">
        <f>'EST1'!G102+'EST2'!G102+'EST3'!G102+JHAHN!G102</f>
        <v>0</v>
      </c>
      <c r="H102" s="43">
        <f>'EST1'!H102+'EST2'!H102+'EST3'!H102+JHAHN!H102</f>
        <v>0</v>
      </c>
      <c r="I102" s="34">
        <f t="shared" si="103"/>
        <v>0</v>
      </c>
      <c r="J102" s="43">
        <f>'EST1'!J102+'EST2'!J102+'EST3'!J102+JHAHN!J102</f>
        <v>0</v>
      </c>
      <c r="K102" s="43">
        <f>'EST1'!K102+'EST2'!K102+'EST3'!K102+JHAHN!K102</f>
        <v>0</v>
      </c>
      <c r="L102" s="43">
        <f>'EST1'!L102+'EST2'!L102+'EST3'!L102+JHAHN!L102</f>
        <v>0</v>
      </c>
      <c r="M102" s="34">
        <f t="shared" si="104"/>
        <v>0</v>
      </c>
      <c r="N102" s="43">
        <f>'EST1'!N102+'EST2'!N102+'EST3'!N102+JHAHN!N102</f>
        <v>0</v>
      </c>
      <c r="O102" s="43">
        <f>'EST1'!O102+'EST2'!O102+'EST3'!O102+JHAHN!O102</f>
        <v>0</v>
      </c>
      <c r="P102" s="43">
        <f>'EST1'!P102+'EST2'!P102+'EST3'!P102+JHAHN!P102</f>
        <v>0</v>
      </c>
      <c r="Q102" s="34">
        <f t="shared" si="105"/>
        <v>0</v>
      </c>
      <c r="R102" s="43">
        <f>'EST1'!R102+'EST2'!R102+'EST3'!R102+JHAHN!R102</f>
        <v>0</v>
      </c>
      <c r="S102" s="43">
        <f>'EST1'!S102+'EST2'!S102+'EST3'!S102+JHAHN!S102</f>
        <v>0</v>
      </c>
      <c r="T102" s="43">
        <f>'EST1'!T102+'EST2'!T102+'EST3'!T102+JHAHN!T102</f>
        <v>0</v>
      </c>
      <c r="U102" s="34">
        <f t="shared" si="106"/>
        <v>0</v>
      </c>
      <c r="V102" s="34">
        <f t="shared" si="102"/>
        <v>0</v>
      </c>
    </row>
    <row r="103" spans="1:22" ht="13.15" outlineLevel="2">
      <c r="A103" s="24"/>
      <c r="B103" s="27"/>
      <c r="C103" s="28" t="s">
        <v>111</v>
      </c>
      <c r="D103" s="27"/>
      <c r="E103" s="9">
        <v>0</v>
      </c>
      <c r="F103" s="43">
        <f>'EST1'!F103+'EST2'!F103+'EST3'!F103+JHAHN!F103</f>
        <v>0</v>
      </c>
      <c r="G103" s="43">
        <f>'EST1'!G103+'EST2'!G103+'EST3'!G103+JHAHN!G103</f>
        <v>0</v>
      </c>
      <c r="H103" s="43">
        <f>'EST1'!H103+'EST2'!H103+'EST3'!H103+JHAHN!H103</f>
        <v>0</v>
      </c>
      <c r="I103" s="34">
        <f t="shared" si="103"/>
        <v>0</v>
      </c>
      <c r="J103" s="43">
        <f>'EST1'!J103+'EST2'!J103+'EST3'!J103+JHAHN!J103</f>
        <v>0</v>
      </c>
      <c r="K103" s="43">
        <f>'EST1'!K103+'EST2'!K103+'EST3'!K103+JHAHN!K103</f>
        <v>0</v>
      </c>
      <c r="L103" s="43">
        <f>'EST1'!L103+'EST2'!L103+'EST3'!L103+JHAHN!L103</f>
        <v>0</v>
      </c>
      <c r="M103" s="34">
        <f t="shared" si="104"/>
        <v>0</v>
      </c>
      <c r="N103" s="43">
        <f>'EST1'!N103+'EST2'!N103+'EST3'!N103+JHAHN!N103</f>
        <v>0</v>
      </c>
      <c r="O103" s="43">
        <f>'EST1'!O103+'EST2'!O103+'EST3'!O103+JHAHN!O103</f>
        <v>0</v>
      </c>
      <c r="P103" s="43">
        <f>'EST1'!P103+'EST2'!P103+'EST3'!P103+JHAHN!P103</f>
        <v>0</v>
      </c>
      <c r="Q103" s="34">
        <f t="shared" si="105"/>
        <v>0</v>
      </c>
      <c r="R103" s="43">
        <f>'EST1'!R103+'EST2'!R103+'EST3'!R103+JHAHN!R103</f>
        <v>0</v>
      </c>
      <c r="S103" s="43">
        <f>'EST1'!S103+'EST2'!S103+'EST3'!S103+JHAHN!S103</f>
        <v>0</v>
      </c>
      <c r="T103" s="43">
        <f>'EST1'!T103+'EST2'!T103+'EST3'!T103+JHAHN!T103</f>
        <v>0</v>
      </c>
      <c r="U103" s="34">
        <f t="shared" si="106"/>
        <v>0</v>
      </c>
      <c r="V103" s="34">
        <f t="shared" si="102"/>
        <v>0</v>
      </c>
    </row>
    <row r="104" spans="1:22" ht="13.15" outlineLevel="2">
      <c r="A104" s="24"/>
      <c r="B104" s="27"/>
      <c r="C104" s="28" t="s">
        <v>115</v>
      </c>
      <c r="D104" s="27"/>
      <c r="E104" s="9">
        <v>0</v>
      </c>
      <c r="F104" s="43">
        <f>'EST1'!F104+'EST2'!F104+'EST3'!F104+JHAHN!F104</f>
        <v>0</v>
      </c>
      <c r="G104" s="43">
        <f>'EST1'!G104+'EST2'!G104+'EST3'!G104+JHAHN!G104</f>
        <v>0</v>
      </c>
      <c r="H104" s="43">
        <f>'EST1'!H104+'EST2'!H104+'EST3'!H104+JHAHN!H104</f>
        <v>0</v>
      </c>
      <c r="I104" s="34">
        <f t="shared" si="103"/>
        <v>0</v>
      </c>
      <c r="J104" s="43">
        <f>'EST1'!J104+'EST2'!J104+'EST3'!J104+JHAHN!J104</f>
        <v>0</v>
      </c>
      <c r="K104" s="43">
        <f>'EST1'!K104+'EST2'!K104+'EST3'!K104+JHAHN!K104</f>
        <v>0</v>
      </c>
      <c r="L104" s="43">
        <f>'EST1'!L104+'EST2'!L104+'EST3'!L104+JHAHN!L104</f>
        <v>0</v>
      </c>
      <c r="M104" s="34">
        <f t="shared" si="104"/>
        <v>0</v>
      </c>
      <c r="N104" s="43">
        <f>'EST1'!N104+'EST2'!N104+'EST3'!N104+JHAHN!N104</f>
        <v>0</v>
      </c>
      <c r="O104" s="43">
        <f>'EST1'!O104+'EST2'!O104+'EST3'!O104+JHAHN!O104</f>
        <v>0</v>
      </c>
      <c r="P104" s="43">
        <f>'EST1'!P104+'EST2'!P104+'EST3'!P104+JHAHN!P104</f>
        <v>0</v>
      </c>
      <c r="Q104" s="34">
        <f t="shared" si="105"/>
        <v>0</v>
      </c>
      <c r="R104" s="43">
        <f>'EST1'!R104+'EST2'!R104+'EST3'!R104+JHAHN!R104</f>
        <v>0</v>
      </c>
      <c r="S104" s="43">
        <f>'EST1'!S104+'EST2'!S104+'EST3'!S104+JHAHN!S104</f>
        <v>0</v>
      </c>
      <c r="T104" s="43">
        <f>'EST1'!T104+'EST2'!T104+'EST3'!T104+JHAHN!T104</f>
        <v>0</v>
      </c>
      <c r="U104" s="34">
        <f t="shared" si="106"/>
        <v>0</v>
      </c>
      <c r="V104" s="34">
        <f t="shared" si="102"/>
        <v>0</v>
      </c>
    </row>
    <row r="105" spans="1:22" ht="13.15" outlineLevel="2">
      <c r="A105" s="24"/>
      <c r="B105" s="27"/>
      <c r="C105" s="28" t="s">
        <v>26</v>
      </c>
      <c r="D105" s="27"/>
      <c r="E105" s="9"/>
      <c r="F105" s="43">
        <f>'EST1'!F105+'EST2'!F105+'EST3'!F105+JHAHN!F105</f>
        <v>0</v>
      </c>
      <c r="G105" s="43">
        <f>'EST1'!G105+'EST2'!G105+'EST3'!G105+JHAHN!G105</f>
        <v>250000</v>
      </c>
      <c r="H105" s="43">
        <f>'EST1'!H105+'EST2'!H105+'EST3'!H105+JHAHN!H105</f>
        <v>250000</v>
      </c>
      <c r="I105" s="34">
        <f t="shared" si="103"/>
        <v>500000</v>
      </c>
      <c r="J105" s="43">
        <f>'EST1'!J105+'EST2'!J105+'EST3'!J105+JHAHN!J105</f>
        <v>250000</v>
      </c>
      <c r="K105" s="43">
        <f>'EST1'!K105+'EST2'!K105+'EST3'!K105+JHAHN!K105</f>
        <v>250000</v>
      </c>
      <c r="L105" s="43">
        <f>'EST1'!L105+'EST2'!L105+'EST3'!L105+JHAHN!L105</f>
        <v>250000</v>
      </c>
      <c r="M105" s="34">
        <f t="shared" si="104"/>
        <v>750000</v>
      </c>
      <c r="N105" s="43">
        <f>'EST1'!N105+'EST2'!N105+'EST3'!N105+JHAHN!N105</f>
        <v>250000</v>
      </c>
      <c r="O105" s="43">
        <f>'EST1'!O105+'EST2'!O105+'EST3'!O105+JHAHN!O105</f>
        <v>250000</v>
      </c>
      <c r="P105" s="43">
        <f>'EST1'!P105+'EST2'!P105+'EST3'!P105+JHAHN!P105</f>
        <v>250000</v>
      </c>
      <c r="Q105" s="34">
        <f t="shared" si="105"/>
        <v>750000</v>
      </c>
      <c r="R105" s="43">
        <f>'EST1'!R105+'EST2'!R105+'EST3'!R105+JHAHN!R105</f>
        <v>250000</v>
      </c>
      <c r="S105" s="43">
        <f>'EST1'!S105+'EST2'!S105+'EST3'!S105+JHAHN!S105</f>
        <v>250000</v>
      </c>
      <c r="T105" s="43">
        <f>'EST1'!T105+'EST2'!T105+'EST3'!T105+JHAHN!T105</f>
        <v>250000</v>
      </c>
      <c r="U105" s="34">
        <f t="shared" si="106"/>
        <v>750000</v>
      </c>
      <c r="V105" s="34">
        <f t="shared" si="102"/>
        <v>2750000</v>
      </c>
    </row>
    <row r="106" spans="1:22" ht="13.15" outlineLevel="1">
      <c r="A106" s="24"/>
      <c r="B106" s="29" t="s">
        <v>19</v>
      </c>
      <c r="C106" s="30"/>
      <c r="D106" s="30"/>
      <c r="E106" s="10"/>
      <c r="F106" s="45">
        <f>SUM(F99:F105)</f>
        <v>0</v>
      </c>
      <c r="G106" s="45">
        <f>SUM(G99:G105)</f>
        <v>250000</v>
      </c>
      <c r="H106" s="45">
        <f>SUM(H99:H105)</f>
        <v>250000</v>
      </c>
      <c r="I106" s="35">
        <f t="shared" ref="I106" si="107">SUM(I99:I105)</f>
        <v>500000</v>
      </c>
      <c r="J106" s="45">
        <f>SUM(J99:J105)</f>
        <v>250000</v>
      </c>
      <c r="K106" s="45">
        <f>SUM(K99:K105)</f>
        <v>250000</v>
      </c>
      <c r="L106" s="45">
        <f>SUM(L99:L105)</f>
        <v>250000</v>
      </c>
      <c r="M106" s="35">
        <f t="shared" ref="M106" si="108">SUM(M99:M105)</f>
        <v>750000</v>
      </c>
      <c r="N106" s="45">
        <f>SUM(N99:N105)</f>
        <v>250000</v>
      </c>
      <c r="O106" s="45">
        <f>SUM(O99:O105)</f>
        <v>250000</v>
      </c>
      <c r="P106" s="45">
        <f>SUM(P99:P105)</f>
        <v>250000</v>
      </c>
      <c r="Q106" s="35">
        <f t="shared" ref="Q106" si="109">SUM(Q99:Q105)</f>
        <v>750000</v>
      </c>
      <c r="R106" s="45">
        <f>SUM(R99:R105)</f>
        <v>250000</v>
      </c>
      <c r="S106" s="45">
        <f>SUM(S99:S105)</f>
        <v>250000</v>
      </c>
      <c r="T106" s="45">
        <f>SUM(T99:T105)</f>
        <v>250000</v>
      </c>
      <c r="U106" s="35">
        <f t="shared" ref="U106" si="110">SUM(U99:U105)</f>
        <v>750000</v>
      </c>
      <c r="V106" s="35">
        <f t="shared" si="102"/>
        <v>2750000</v>
      </c>
    </row>
    <row r="107" spans="1:22" ht="13.15" outlineLevel="2">
      <c r="A107" s="24"/>
      <c r="B107" s="26" t="s">
        <v>20</v>
      </c>
      <c r="C107" s="27"/>
      <c r="D107" s="27"/>
      <c r="E107" s="9"/>
      <c r="F107" s="129"/>
      <c r="G107" s="129"/>
      <c r="H107" s="129"/>
      <c r="I107" s="36"/>
      <c r="J107" s="129"/>
      <c r="K107" s="129"/>
      <c r="L107" s="129"/>
      <c r="M107" s="36"/>
      <c r="N107" s="129"/>
      <c r="O107" s="129"/>
      <c r="P107" s="129"/>
      <c r="Q107" s="36"/>
      <c r="R107" s="129"/>
      <c r="S107" s="129"/>
      <c r="T107" s="129"/>
      <c r="U107" s="36"/>
      <c r="V107" s="36"/>
    </row>
    <row r="108" spans="1:22" ht="13.15" outlineLevel="2">
      <c r="A108" s="24"/>
      <c r="B108" s="27"/>
      <c r="C108" s="28" t="s">
        <v>29</v>
      </c>
      <c r="D108" s="27"/>
      <c r="E108" s="9">
        <v>0</v>
      </c>
      <c r="F108" s="43">
        <f>'EST1'!F108+'EST2'!F108+'EST3'!F108+JHAHN!F108</f>
        <v>0</v>
      </c>
      <c r="G108" s="43">
        <f>'EST1'!G108+'EST2'!G108+'EST3'!G108+JHAHN!G108</f>
        <v>0</v>
      </c>
      <c r="H108" s="43">
        <f>'EST1'!H108+'EST2'!H108+'EST3'!H108+JHAHN!H108</f>
        <v>0</v>
      </c>
      <c r="I108" s="34">
        <f t="shared" ref="I108:I112" si="111">SUM(F108:H108)</f>
        <v>0</v>
      </c>
      <c r="J108" s="43">
        <f>'EST1'!J108+'EST2'!J108+'EST3'!J108+JHAHN!J108</f>
        <v>0</v>
      </c>
      <c r="K108" s="43">
        <f>'EST1'!K108+'EST2'!K108+'EST3'!K108+JHAHN!K108</f>
        <v>0</v>
      </c>
      <c r="L108" s="43">
        <f>'EST1'!L108+'EST2'!L108+'EST3'!L108+JHAHN!L108</f>
        <v>0</v>
      </c>
      <c r="M108" s="34">
        <f t="shared" ref="M108:M112" si="112">SUM(J108:L108)</f>
        <v>0</v>
      </c>
      <c r="N108" s="43">
        <f>'EST1'!N108+'EST2'!N108+'EST3'!N108+JHAHN!N108</f>
        <v>0</v>
      </c>
      <c r="O108" s="43">
        <f>'EST1'!O108+'EST2'!O108+'EST3'!O108+JHAHN!O108</f>
        <v>0</v>
      </c>
      <c r="P108" s="43">
        <f>'EST1'!P108+'EST2'!P108+'EST3'!P108+JHAHN!P108</f>
        <v>0</v>
      </c>
      <c r="Q108" s="34">
        <f t="shared" ref="Q108:Q112" si="113">SUM(N108:P108)</f>
        <v>0</v>
      </c>
      <c r="R108" s="43">
        <f>'EST1'!R108+'EST2'!R108+'EST3'!R108+JHAHN!R108</f>
        <v>0</v>
      </c>
      <c r="S108" s="43">
        <f>'EST1'!S108+'EST2'!S108+'EST3'!S108+JHAHN!S108</f>
        <v>0</v>
      </c>
      <c r="T108" s="43">
        <f>'EST1'!T108+'EST2'!T108+'EST3'!T108+JHAHN!T108</f>
        <v>0</v>
      </c>
      <c r="U108" s="34">
        <f t="shared" ref="U108:U112" si="114">SUM(R108:T108)</f>
        <v>0</v>
      </c>
      <c r="V108" s="34">
        <f t="shared" ref="V108:V115" si="115">I108+M108+Q108+U108</f>
        <v>0</v>
      </c>
    </row>
    <row r="109" spans="1:22" ht="13.15" outlineLevel="2">
      <c r="A109" s="24"/>
      <c r="B109" s="27"/>
      <c r="C109" s="28" t="s">
        <v>33</v>
      </c>
      <c r="D109" s="27"/>
      <c r="E109" s="9">
        <v>0</v>
      </c>
      <c r="F109" s="43">
        <f>'EST1'!F109+'EST2'!F109+'EST3'!F109+JHAHN!F109</f>
        <v>0</v>
      </c>
      <c r="G109" s="43">
        <f>'EST1'!G109+'EST2'!G109+'EST3'!G109+JHAHN!G109</f>
        <v>0</v>
      </c>
      <c r="H109" s="43">
        <f>'EST1'!H109+'EST2'!H109+'EST3'!H109+JHAHN!H109</f>
        <v>0</v>
      </c>
      <c r="I109" s="34">
        <f t="shared" si="111"/>
        <v>0</v>
      </c>
      <c r="J109" s="43">
        <f>'EST1'!J109+'EST2'!J109+'EST3'!J109+JHAHN!J109</f>
        <v>0</v>
      </c>
      <c r="K109" s="43">
        <f>'EST1'!K109+'EST2'!K109+'EST3'!K109+JHAHN!K109</f>
        <v>0</v>
      </c>
      <c r="L109" s="43">
        <f>'EST1'!L109+'EST2'!L109+'EST3'!L109+JHAHN!L109</f>
        <v>0</v>
      </c>
      <c r="M109" s="34">
        <f t="shared" si="112"/>
        <v>0</v>
      </c>
      <c r="N109" s="43">
        <f>'EST1'!N109+'EST2'!N109+'EST3'!N109+JHAHN!N109</f>
        <v>0</v>
      </c>
      <c r="O109" s="43">
        <f>'EST1'!O109+'EST2'!O109+'EST3'!O109+JHAHN!O109</f>
        <v>0</v>
      </c>
      <c r="P109" s="43">
        <f>'EST1'!P109+'EST2'!P109+'EST3'!P109+JHAHN!P109</f>
        <v>0</v>
      </c>
      <c r="Q109" s="34">
        <f t="shared" si="113"/>
        <v>0</v>
      </c>
      <c r="R109" s="43">
        <f>'EST1'!R109+'EST2'!R109+'EST3'!R109+JHAHN!R109</f>
        <v>0</v>
      </c>
      <c r="S109" s="43">
        <f>'EST1'!S109+'EST2'!S109+'EST3'!S109+JHAHN!S109</f>
        <v>0</v>
      </c>
      <c r="T109" s="43">
        <f>'EST1'!T109+'EST2'!T109+'EST3'!T109+JHAHN!T109</f>
        <v>0</v>
      </c>
      <c r="U109" s="34">
        <f t="shared" si="114"/>
        <v>0</v>
      </c>
      <c r="V109" s="34">
        <f t="shared" si="115"/>
        <v>0</v>
      </c>
    </row>
    <row r="110" spans="1:22" ht="13.15" outlineLevel="2">
      <c r="A110" s="24"/>
      <c r="B110" s="27"/>
      <c r="C110" s="28" t="s">
        <v>95</v>
      </c>
      <c r="D110" s="27"/>
      <c r="E110" s="9"/>
      <c r="F110" s="43">
        <f>'EST1'!F110+'EST2'!F110+'EST3'!F110+JHAHN!F110</f>
        <v>0</v>
      </c>
      <c r="G110" s="43">
        <f>'EST1'!G110+'EST2'!G110+'EST3'!G110+JHAHN!G110</f>
        <v>0</v>
      </c>
      <c r="H110" s="43">
        <f>'EST1'!H110+'EST2'!H110+'EST3'!H110+JHAHN!H110</f>
        <v>0</v>
      </c>
      <c r="I110" s="34">
        <f t="shared" si="111"/>
        <v>0</v>
      </c>
      <c r="J110" s="43">
        <f>'EST1'!J110+'EST2'!J110+'EST3'!J110+JHAHN!J110</f>
        <v>0</v>
      </c>
      <c r="K110" s="43">
        <f>'EST1'!K110+'EST2'!K110+'EST3'!K110+JHAHN!K110</f>
        <v>0</v>
      </c>
      <c r="L110" s="43">
        <f>'EST1'!L110+'EST2'!L110+'EST3'!L110+JHAHN!L110</f>
        <v>0</v>
      </c>
      <c r="M110" s="34">
        <f t="shared" si="112"/>
        <v>0</v>
      </c>
      <c r="N110" s="43">
        <f>'EST1'!N110+'EST2'!N110+'EST3'!N110+JHAHN!N110</f>
        <v>0</v>
      </c>
      <c r="O110" s="43">
        <f>'EST1'!O110+'EST2'!O110+'EST3'!O110+JHAHN!O110</f>
        <v>0</v>
      </c>
      <c r="P110" s="43">
        <f>'EST1'!P110+'EST2'!P110+'EST3'!P110+JHAHN!P110</f>
        <v>0</v>
      </c>
      <c r="Q110" s="34">
        <f t="shared" si="113"/>
        <v>0</v>
      </c>
      <c r="R110" s="43">
        <f>'EST1'!R110+'EST2'!R110+'EST3'!R110+JHAHN!R110</f>
        <v>0</v>
      </c>
      <c r="S110" s="43">
        <f>'EST1'!S110+'EST2'!S110+'EST3'!S110+JHAHN!S110</f>
        <v>0</v>
      </c>
      <c r="T110" s="43">
        <f>'EST1'!T110+'EST2'!T110+'EST3'!T110+JHAHN!T110</f>
        <v>0</v>
      </c>
      <c r="U110" s="34">
        <f t="shared" si="114"/>
        <v>0</v>
      </c>
      <c r="V110" s="34">
        <f t="shared" si="115"/>
        <v>0</v>
      </c>
    </row>
    <row r="111" spans="1:22" ht="13.15" outlineLevel="2">
      <c r="A111" s="24"/>
      <c r="B111" s="27"/>
      <c r="C111" s="28" t="s">
        <v>63</v>
      </c>
      <c r="D111" s="27"/>
      <c r="E111" s="9"/>
      <c r="F111" s="43">
        <f>'EST1'!F111+'EST2'!F111+'EST3'!F111+JHAHN!F111</f>
        <v>0</v>
      </c>
      <c r="G111" s="43">
        <f>'EST1'!G111+'EST2'!G111+'EST3'!G111+JHAHN!G111</f>
        <v>0</v>
      </c>
      <c r="H111" s="43">
        <f>'EST1'!H111+'EST2'!H111+'EST3'!H111+JHAHN!H111</f>
        <v>0</v>
      </c>
      <c r="I111" s="34">
        <f t="shared" si="111"/>
        <v>0</v>
      </c>
      <c r="J111" s="43">
        <f>'EST1'!J111+'EST2'!J111+'EST3'!J111+JHAHN!J111</f>
        <v>0</v>
      </c>
      <c r="K111" s="43">
        <f>'EST1'!K111+'EST2'!K111+'EST3'!K111+JHAHN!K111</f>
        <v>0</v>
      </c>
      <c r="L111" s="43">
        <f>'EST1'!L111+'EST2'!L111+'EST3'!L111+JHAHN!L111</f>
        <v>0</v>
      </c>
      <c r="M111" s="34">
        <f t="shared" si="112"/>
        <v>0</v>
      </c>
      <c r="N111" s="43">
        <f>'EST1'!N111+'EST2'!N111+'EST3'!N111+JHAHN!N111</f>
        <v>0</v>
      </c>
      <c r="O111" s="43">
        <f>'EST1'!O111+'EST2'!O111+'EST3'!O111+JHAHN!O111</f>
        <v>0</v>
      </c>
      <c r="P111" s="43">
        <f>'EST1'!P111+'EST2'!P111+'EST3'!P111+JHAHN!P111</f>
        <v>0</v>
      </c>
      <c r="Q111" s="34">
        <f t="shared" si="113"/>
        <v>0</v>
      </c>
      <c r="R111" s="43">
        <f>'EST1'!R111+'EST2'!R111+'EST3'!R111+JHAHN!R111</f>
        <v>0</v>
      </c>
      <c r="S111" s="43">
        <f>'EST1'!S111+'EST2'!S111+'EST3'!S111+JHAHN!S111</f>
        <v>0</v>
      </c>
      <c r="T111" s="43">
        <f>'EST1'!T111+'EST2'!T111+'EST3'!T111+JHAHN!T111</f>
        <v>0</v>
      </c>
      <c r="U111" s="34">
        <f t="shared" si="114"/>
        <v>0</v>
      </c>
      <c r="V111" s="34">
        <f t="shared" si="115"/>
        <v>0</v>
      </c>
    </row>
    <row r="112" spans="1:22" ht="13.15" outlineLevel="2">
      <c r="A112" s="24"/>
      <c r="B112" s="27"/>
      <c r="C112" s="28" t="s">
        <v>153</v>
      </c>
      <c r="D112" s="27"/>
      <c r="E112" s="9">
        <v>0</v>
      </c>
      <c r="F112" s="43">
        <f>'EST1'!F112+'EST2'!F112+'EST3'!F112+JHAHN!F112</f>
        <v>0</v>
      </c>
      <c r="G112" s="43">
        <f>'EST1'!G112+'EST2'!G112+'EST3'!G112+JHAHN!G112</f>
        <v>0</v>
      </c>
      <c r="H112" s="43">
        <f>'EST1'!H112+'EST2'!H112+'EST3'!H112+JHAHN!H112</f>
        <v>0</v>
      </c>
      <c r="I112" s="34">
        <f t="shared" si="111"/>
        <v>0</v>
      </c>
      <c r="J112" s="43">
        <f>'EST1'!J112+'EST2'!J112+'EST3'!J112+JHAHN!J112</f>
        <v>0</v>
      </c>
      <c r="K112" s="43">
        <f>'EST1'!K112+'EST2'!K112+'EST3'!K112+JHAHN!K112</f>
        <v>0</v>
      </c>
      <c r="L112" s="43">
        <f>'EST1'!L112+'EST2'!L112+'EST3'!L112+JHAHN!L112</f>
        <v>0</v>
      </c>
      <c r="M112" s="34">
        <f t="shared" si="112"/>
        <v>0</v>
      </c>
      <c r="N112" s="43">
        <f>'EST1'!N112+'EST2'!N112+'EST3'!N112+JHAHN!N112</f>
        <v>0</v>
      </c>
      <c r="O112" s="43">
        <f>'EST1'!O112+'EST2'!O112+'EST3'!O112+JHAHN!O112</f>
        <v>0</v>
      </c>
      <c r="P112" s="43">
        <f>'EST1'!P112+'EST2'!P112+'EST3'!P112+JHAHN!P112</f>
        <v>0</v>
      </c>
      <c r="Q112" s="34">
        <f t="shared" si="113"/>
        <v>0</v>
      </c>
      <c r="R112" s="43">
        <f>'EST1'!R112+'EST2'!R112+'EST3'!R112+JHAHN!R112</f>
        <v>0</v>
      </c>
      <c r="S112" s="43">
        <f>'EST1'!S112+'EST2'!S112+'EST3'!S112+JHAHN!S112</f>
        <v>0</v>
      </c>
      <c r="T112" s="43">
        <f>'EST1'!T112+'EST2'!T112+'EST3'!T112+JHAHN!T112</f>
        <v>0</v>
      </c>
      <c r="U112" s="34">
        <f t="shared" si="114"/>
        <v>0</v>
      </c>
      <c r="V112" s="34">
        <f t="shared" si="115"/>
        <v>0</v>
      </c>
    </row>
    <row r="113" spans="1:22" ht="13.15" outlineLevel="1">
      <c r="A113" s="24"/>
      <c r="B113" s="30" t="s">
        <v>21</v>
      </c>
      <c r="C113" s="30"/>
      <c r="D113" s="30"/>
      <c r="E113" s="10"/>
      <c r="F113" s="44">
        <f t="shared" ref="F113:U113" si="116">SUM(F108:F112)</f>
        <v>0</v>
      </c>
      <c r="G113" s="44">
        <f t="shared" si="116"/>
        <v>0</v>
      </c>
      <c r="H113" s="44">
        <f t="shared" si="116"/>
        <v>0</v>
      </c>
      <c r="I113" s="35">
        <f t="shared" si="116"/>
        <v>0</v>
      </c>
      <c r="J113" s="44">
        <f t="shared" si="116"/>
        <v>0</v>
      </c>
      <c r="K113" s="44">
        <f t="shared" si="116"/>
        <v>0</v>
      </c>
      <c r="L113" s="44">
        <f t="shared" si="116"/>
        <v>0</v>
      </c>
      <c r="M113" s="35">
        <f t="shared" si="116"/>
        <v>0</v>
      </c>
      <c r="N113" s="44">
        <f t="shared" si="116"/>
        <v>0</v>
      </c>
      <c r="O113" s="44">
        <f t="shared" si="116"/>
        <v>0</v>
      </c>
      <c r="P113" s="44">
        <f t="shared" si="116"/>
        <v>0</v>
      </c>
      <c r="Q113" s="35">
        <f t="shared" si="116"/>
        <v>0</v>
      </c>
      <c r="R113" s="44">
        <f t="shared" si="116"/>
        <v>0</v>
      </c>
      <c r="S113" s="44">
        <f t="shared" si="116"/>
        <v>0</v>
      </c>
      <c r="T113" s="44">
        <f t="shared" si="116"/>
        <v>0</v>
      </c>
      <c r="U113" s="35">
        <f t="shared" si="116"/>
        <v>0</v>
      </c>
      <c r="V113" s="35">
        <f t="shared" si="115"/>
        <v>0</v>
      </c>
    </row>
    <row r="114" spans="1:22" ht="13.15">
      <c r="A114" s="24"/>
      <c r="B114" s="24"/>
      <c r="C114" s="24"/>
      <c r="D114" s="24" t="s">
        <v>22</v>
      </c>
      <c r="E114" s="8"/>
      <c r="F114" s="44">
        <f t="shared" ref="F114:U114" si="117">F88+F89+F97+F106+F113</f>
        <v>30000</v>
      </c>
      <c r="G114" s="44">
        <f t="shared" si="117"/>
        <v>310000</v>
      </c>
      <c r="H114" s="44">
        <f t="shared" si="117"/>
        <v>310000</v>
      </c>
      <c r="I114" s="35">
        <f t="shared" si="117"/>
        <v>650000</v>
      </c>
      <c r="J114" s="44">
        <f t="shared" si="117"/>
        <v>310000</v>
      </c>
      <c r="K114" s="44">
        <f t="shared" si="117"/>
        <v>310000</v>
      </c>
      <c r="L114" s="44">
        <f t="shared" si="117"/>
        <v>310000</v>
      </c>
      <c r="M114" s="35">
        <f t="shared" si="117"/>
        <v>930000</v>
      </c>
      <c r="N114" s="44">
        <f t="shared" si="117"/>
        <v>310000</v>
      </c>
      <c r="O114" s="44">
        <f t="shared" si="117"/>
        <v>310000</v>
      </c>
      <c r="P114" s="44">
        <f t="shared" si="117"/>
        <v>310000</v>
      </c>
      <c r="Q114" s="35">
        <f t="shared" si="117"/>
        <v>930000</v>
      </c>
      <c r="R114" s="44">
        <f t="shared" si="117"/>
        <v>310000</v>
      </c>
      <c r="S114" s="44">
        <f t="shared" si="117"/>
        <v>310000</v>
      </c>
      <c r="T114" s="44">
        <f t="shared" si="117"/>
        <v>310000</v>
      </c>
      <c r="U114" s="35">
        <f t="shared" si="117"/>
        <v>930000</v>
      </c>
      <c r="V114" s="35">
        <f t="shared" si="115"/>
        <v>3440000</v>
      </c>
    </row>
    <row r="115" spans="1:22" ht="13.9">
      <c r="A115" s="11" t="s">
        <v>23</v>
      </c>
      <c r="B115" s="11"/>
      <c r="C115" s="11"/>
      <c r="D115" s="11"/>
      <c r="E115" s="12"/>
      <c r="F115" s="46">
        <f t="shared" ref="F115:U115" si="118">F114+F77</f>
        <v>91268000</v>
      </c>
      <c r="G115" s="46">
        <f t="shared" si="118"/>
        <v>91413000</v>
      </c>
      <c r="H115" s="46">
        <f t="shared" si="118"/>
        <v>91413000</v>
      </c>
      <c r="I115" s="109">
        <f t="shared" si="118"/>
        <v>274094000</v>
      </c>
      <c r="J115" s="46">
        <f t="shared" si="118"/>
        <v>91413000</v>
      </c>
      <c r="K115" s="46">
        <f t="shared" si="118"/>
        <v>91413000</v>
      </c>
      <c r="L115" s="46">
        <f t="shared" si="118"/>
        <v>91413000</v>
      </c>
      <c r="M115" s="109">
        <f t="shared" si="118"/>
        <v>274239000</v>
      </c>
      <c r="N115" s="46">
        <f t="shared" si="118"/>
        <v>91413000</v>
      </c>
      <c r="O115" s="46">
        <f t="shared" si="118"/>
        <v>91413000</v>
      </c>
      <c r="P115" s="46">
        <f t="shared" si="118"/>
        <v>91413000</v>
      </c>
      <c r="Q115" s="109">
        <f t="shared" si="118"/>
        <v>274239000</v>
      </c>
      <c r="R115" s="46">
        <f t="shared" si="118"/>
        <v>91413000</v>
      </c>
      <c r="S115" s="46">
        <f t="shared" si="118"/>
        <v>91413000</v>
      </c>
      <c r="T115" s="46">
        <f t="shared" si="118"/>
        <v>91413000</v>
      </c>
      <c r="U115" s="109">
        <f t="shared" si="118"/>
        <v>274239000</v>
      </c>
      <c r="V115" s="40">
        <f t="shared" si="115"/>
        <v>1096811000</v>
      </c>
    </row>
    <row r="116" spans="1:22" s="111" customFormat="1" ht="12.75" customHeight="1">
      <c r="A116" s="462" t="s">
        <v>181</v>
      </c>
      <c r="B116" s="463"/>
      <c r="C116" s="463"/>
      <c r="D116" s="464"/>
      <c r="E116" s="8"/>
      <c r="F116" s="43"/>
      <c r="G116" s="43"/>
      <c r="H116" s="43"/>
      <c r="I116" s="34"/>
      <c r="J116" s="43"/>
      <c r="K116" s="43"/>
      <c r="L116" s="43"/>
      <c r="M116" s="34"/>
      <c r="N116" s="43"/>
      <c r="O116" s="43"/>
      <c r="P116" s="43"/>
      <c r="Q116" s="34"/>
      <c r="R116" s="43"/>
      <c r="S116" s="43"/>
      <c r="T116" s="43"/>
      <c r="U116" s="34"/>
      <c r="V116" s="34"/>
    </row>
    <row r="117" spans="1:22" s="111" customFormat="1" ht="12.75" customHeight="1">
      <c r="A117" s="125"/>
      <c r="B117" s="4"/>
      <c r="C117" s="455" t="s">
        <v>182</v>
      </c>
      <c r="D117" s="456"/>
      <c r="E117" s="8"/>
      <c r="F117" s="44">
        <f>'EST1'!F117+JHAHN!F117</f>
        <v>-51707000</v>
      </c>
      <c r="G117" s="44">
        <f>'EST1'!G117+JHAHN!G117</f>
        <v>67428000</v>
      </c>
      <c r="H117" s="44">
        <f>'EST1'!H117+JHAHN!H117</f>
        <v>67428000</v>
      </c>
      <c r="I117" s="35">
        <f>SUM(F117:H117)</f>
        <v>83149000</v>
      </c>
      <c r="J117" s="44">
        <f>'EST1'!J117+JHAHN!J117</f>
        <v>67428000</v>
      </c>
      <c r="K117" s="44">
        <f>'EST1'!K117+JHAHN!K117</f>
        <v>67428000</v>
      </c>
      <c r="L117" s="44">
        <f>'EST1'!L117+JHAHN!L117</f>
        <v>67428000</v>
      </c>
      <c r="M117" s="35">
        <f>SUM(J117:L117)</f>
        <v>202284000</v>
      </c>
      <c r="N117" s="44">
        <f>'EST1'!N117+JHAHN!N117</f>
        <v>67428000</v>
      </c>
      <c r="O117" s="44">
        <f>'EST1'!O117+JHAHN!O117</f>
        <v>67428000</v>
      </c>
      <c r="P117" s="44">
        <f>'EST1'!P117+JHAHN!P117</f>
        <v>67428000</v>
      </c>
      <c r="Q117" s="35">
        <f>SUM(N117:P117)</f>
        <v>202284000</v>
      </c>
      <c r="R117" s="44">
        <f>'EST1'!R117+JHAHN!R117</f>
        <v>67428000</v>
      </c>
      <c r="S117" s="44">
        <f>'EST1'!S117+JHAHN!S117</f>
        <v>67428000</v>
      </c>
      <c r="T117" s="44">
        <f>'EST1'!T117+JHAHN!T117</f>
        <v>67428000</v>
      </c>
      <c r="U117" s="35">
        <f>SUM(R117:T117)</f>
        <v>202284000</v>
      </c>
      <c r="V117" s="35">
        <f>I117+M117+Q117+U117</f>
        <v>690001000</v>
      </c>
    </row>
    <row r="118" spans="1:22" ht="13.15" thickBot="1">
      <c r="A118" s="14"/>
      <c r="B118" s="14"/>
      <c r="C118" s="14"/>
      <c r="D118" s="14"/>
      <c r="E118" s="15"/>
      <c r="F118" s="47"/>
      <c r="G118" s="47"/>
      <c r="H118" s="47"/>
      <c r="I118" s="37"/>
      <c r="J118" s="47"/>
      <c r="K118" s="47"/>
      <c r="L118" s="47"/>
      <c r="M118" s="37"/>
      <c r="N118" s="47"/>
      <c r="O118" s="47"/>
      <c r="P118" s="47"/>
      <c r="Q118" s="37"/>
      <c r="R118" s="47"/>
      <c r="S118" s="47"/>
      <c r="T118" s="47"/>
      <c r="U118" s="37"/>
      <c r="V118" s="37"/>
    </row>
    <row r="119" spans="1:22">
      <c r="A119" s="7"/>
      <c r="B119" s="7"/>
      <c r="C119" s="7"/>
      <c r="D119" s="7"/>
      <c r="F119" s="13"/>
      <c r="G119" s="13"/>
      <c r="H119" s="13"/>
      <c r="J119" s="13"/>
      <c r="K119" s="13"/>
      <c r="L119" s="13"/>
      <c r="N119" s="13" t="s">
        <v>86</v>
      </c>
      <c r="O119" s="13"/>
      <c r="P119" s="13"/>
      <c r="R119" s="13"/>
      <c r="S119" s="13"/>
      <c r="T119" s="13"/>
    </row>
    <row r="120" spans="1:22" ht="13.15">
      <c r="D120" s="104" t="s">
        <v>210</v>
      </c>
      <c r="F120" s="39">
        <f>F77</f>
        <v>91238000</v>
      </c>
      <c r="G120" s="39">
        <f>G77</f>
        <v>91103000</v>
      </c>
      <c r="H120" s="39">
        <f>H77</f>
        <v>91103000</v>
      </c>
      <c r="J120" s="39">
        <f>J77</f>
        <v>91103000</v>
      </c>
      <c r="K120" s="39">
        <f>K77</f>
        <v>91103000</v>
      </c>
      <c r="L120" s="39">
        <f>L77</f>
        <v>91103000</v>
      </c>
      <c r="N120" s="39">
        <f>N77</f>
        <v>91103000</v>
      </c>
      <c r="O120" s="39">
        <f>O77</f>
        <v>91103000</v>
      </c>
      <c r="P120" s="39">
        <f>P77</f>
        <v>91103000</v>
      </c>
      <c r="R120" s="39">
        <f>R77</f>
        <v>91103000</v>
      </c>
      <c r="S120" s="39">
        <f>S77</f>
        <v>91103000</v>
      </c>
      <c r="T120" s="39">
        <f>T77</f>
        <v>91103000</v>
      </c>
    </row>
    <row r="121" spans="1:22" ht="13.15">
      <c r="D121" s="104" t="s">
        <v>204</v>
      </c>
      <c r="F121" s="39">
        <f>F114</f>
        <v>30000</v>
      </c>
      <c r="G121" s="39">
        <f t="shared" ref="G121:H121" si="119">G114</f>
        <v>310000</v>
      </c>
      <c r="H121" s="39">
        <f t="shared" si="119"/>
        <v>310000</v>
      </c>
      <c r="J121" s="39">
        <f>J114</f>
        <v>310000</v>
      </c>
      <c r="K121" s="39">
        <f>K114</f>
        <v>310000</v>
      </c>
      <c r="L121" s="39">
        <f>L114</f>
        <v>310000</v>
      </c>
      <c r="N121" s="39">
        <f>N114</f>
        <v>310000</v>
      </c>
      <c r="O121" s="39">
        <f>O114</f>
        <v>310000</v>
      </c>
      <c r="P121" s="39">
        <f>P114</f>
        <v>310000</v>
      </c>
      <c r="R121" s="39">
        <f>R114</f>
        <v>310000</v>
      </c>
      <c r="S121" s="39">
        <f>S114</f>
        <v>310000</v>
      </c>
      <c r="T121" s="39">
        <f>T114</f>
        <v>310000</v>
      </c>
    </row>
    <row r="122" spans="1:22">
      <c r="D122" s="106" t="s">
        <v>232</v>
      </c>
      <c r="F122" s="143"/>
      <c r="G122" s="143"/>
      <c r="J122" s="143"/>
      <c r="K122" s="143"/>
      <c r="L122" s="143"/>
      <c r="N122" s="143"/>
      <c r="O122" s="143"/>
      <c r="P122" s="143"/>
      <c r="R122" s="143"/>
      <c r="S122" s="143"/>
      <c r="T122" s="144"/>
    </row>
    <row r="123" spans="1:22">
      <c r="D123" s="106" t="s">
        <v>233</v>
      </c>
      <c r="F123" s="144"/>
      <c r="G123" s="144"/>
      <c r="H123" s="144"/>
      <c r="J123" s="144"/>
      <c r="K123" s="144"/>
      <c r="L123" s="144"/>
      <c r="N123" s="144"/>
      <c r="O123" s="144"/>
      <c r="P123" s="144"/>
      <c r="R123" s="144"/>
      <c r="S123" s="144"/>
      <c r="T123" s="144"/>
    </row>
    <row r="124" spans="1:22" ht="13.5">
      <c r="D124" s="104" t="s">
        <v>277</v>
      </c>
      <c r="F124" s="140">
        <f>F77</f>
        <v>91238000</v>
      </c>
      <c r="G124" s="140">
        <f>G77</f>
        <v>91103000</v>
      </c>
      <c r="H124" s="140">
        <f>H77</f>
        <v>91103000</v>
      </c>
      <c r="I124" s="157">
        <f>F124+G124+H124</f>
        <v>273444000</v>
      </c>
      <c r="J124" s="140">
        <f>J77</f>
        <v>91103000</v>
      </c>
      <c r="K124" s="140">
        <f>K77</f>
        <v>91103000</v>
      </c>
      <c r="L124" s="140">
        <f>L77</f>
        <v>91103000</v>
      </c>
      <c r="M124" s="157">
        <f>J124+K124+L124</f>
        <v>273309000</v>
      </c>
      <c r="N124" s="140">
        <f>N77</f>
        <v>91103000</v>
      </c>
      <c r="O124" s="140">
        <f>O77</f>
        <v>91103000</v>
      </c>
      <c r="P124" s="140">
        <f>P77</f>
        <v>91103000</v>
      </c>
      <c r="Q124" s="157">
        <f>N124+O124+P124</f>
        <v>273309000</v>
      </c>
      <c r="R124" s="140">
        <f>R77</f>
        <v>91103000</v>
      </c>
      <c r="S124" s="140">
        <f>S77</f>
        <v>91103000</v>
      </c>
      <c r="T124" s="140">
        <f>T77</f>
        <v>91103000</v>
      </c>
      <c r="U124" s="157">
        <f>SUM(R124:T124)</f>
        <v>273309000</v>
      </c>
      <c r="V124" s="159">
        <f>I124+M124+Q124+U124</f>
        <v>1093371000</v>
      </c>
    </row>
    <row r="125" spans="1:22" ht="13.15">
      <c r="D125" s="105" t="s">
        <v>207</v>
      </c>
      <c r="F125" s="141">
        <f>ROUND((간접!F124*F124)/(TST!F124+SDT!F124+TSG!F124),-3)</f>
        <v>27159000</v>
      </c>
      <c r="G125" s="141">
        <f>ROUND((간접!G124*G124)/(TST!G124+SDT!G122+TSG!G124),-3)</f>
        <v>26921000</v>
      </c>
      <c r="H125" s="141">
        <f>ROUND((간접!H124*H124)/(TST!H124+SDT!H122+TSG!H124),-3)</f>
        <v>26921000</v>
      </c>
      <c r="I125" s="157">
        <f t="shared" ref="I125:I126" si="120">F125+G125+H125</f>
        <v>81001000</v>
      </c>
      <c r="J125" s="141">
        <f>ROUND((간접!J124*J124)/(TST!J124+SDT!J122+TSG!J124),-3)</f>
        <v>26921000</v>
      </c>
      <c r="K125" s="141">
        <f>ROUND((간접!K124*K124)/(TST!K124+SDT!K122+TSG!K124),-3)</f>
        <v>26921000</v>
      </c>
      <c r="L125" s="141">
        <f>ROUND((간접!L124*L124)/(TST!L124+SDT!L122+TSG!L124),-3)</f>
        <v>26921000</v>
      </c>
      <c r="M125" s="157">
        <f t="shared" ref="M125:M126" si="121">J125+K125+L125</f>
        <v>80763000</v>
      </c>
      <c r="N125" s="141">
        <f>ROUND((간접!N124*N124)/(TST!N124+SDT!N122+TSG!N124),-3)</f>
        <v>26921000</v>
      </c>
      <c r="O125" s="141">
        <f>ROUND((간접!O124*O124)/(TST!O124+SDT!O122+TSG!O124),-3)</f>
        <v>26921000</v>
      </c>
      <c r="P125" s="141">
        <f>ROUND((간접!P124*P124)/(TST!P124+SDT!P122+TSG!P124),-3)</f>
        <v>26921000</v>
      </c>
      <c r="Q125" s="157">
        <f t="shared" ref="Q125:Q126" si="122">N125+O125+P125</f>
        <v>80763000</v>
      </c>
      <c r="R125" s="141">
        <f>ROUND((간접!R124*R124)/(TST!R124+SDT!R122+TSG!R124),-3)</f>
        <v>26921000</v>
      </c>
      <c r="S125" s="141">
        <f>ROUND((간접!S124*S124)/(TST!S124+SDT!S122+TSG!S124),-3)</f>
        <v>26921000</v>
      </c>
      <c r="T125" s="141">
        <f>ROUND((간접!T124*T124)/(TST!T124+SDT!T122+TSG!T124),-3)</f>
        <v>26921000</v>
      </c>
      <c r="U125" s="157">
        <f t="shared" ref="U125:U126" si="123">R125+S125+T125</f>
        <v>80763000</v>
      </c>
      <c r="V125" s="157">
        <f t="shared" ref="V125:V126" si="124">I125+M125+Q125+U125</f>
        <v>323290000</v>
      </c>
    </row>
    <row r="126" spans="1:22" ht="13.15">
      <c r="D126" s="105" t="s">
        <v>208</v>
      </c>
      <c r="F126" s="141">
        <f>SUM(F124:F125)</f>
        <v>118397000</v>
      </c>
      <c r="G126" s="141">
        <f t="shared" ref="G126:H126" si="125">SUM(G124:G125)</f>
        <v>118024000</v>
      </c>
      <c r="H126" s="141">
        <f t="shared" si="125"/>
        <v>118024000</v>
      </c>
      <c r="I126" s="157">
        <f t="shared" si="120"/>
        <v>354445000</v>
      </c>
      <c r="J126" s="141">
        <f>SUM(J124:J125)</f>
        <v>118024000</v>
      </c>
      <c r="K126" s="141">
        <f t="shared" ref="K126:L126" si="126">SUM(K124:K125)</f>
        <v>118024000</v>
      </c>
      <c r="L126" s="141">
        <f t="shared" si="126"/>
        <v>118024000</v>
      </c>
      <c r="M126" s="157">
        <f t="shared" si="121"/>
        <v>354072000</v>
      </c>
      <c r="N126" s="141">
        <f>SUM(N124:N125)</f>
        <v>118024000</v>
      </c>
      <c r="O126" s="141">
        <f t="shared" ref="O126:P126" si="127">SUM(O124:O125)</f>
        <v>118024000</v>
      </c>
      <c r="P126" s="141">
        <f t="shared" si="127"/>
        <v>118024000</v>
      </c>
      <c r="Q126" s="157">
        <f t="shared" si="122"/>
        <v>354072000</v>
      </c>
      <c r="R126" s="141">
        <f>SUM(R124:R125)</f>
        <v>118024000</v>
      </c>
      <c r="S126" s="141">
        <f t="shared" ref="S126:T126" si="128">SUM(S124:S125)</f>
        <v>118024000</v>
      </c>
      <c r="T126" s="141">
        <f t="shared" si="128"/>
        <v>118024000</v>
      </c>
      <c r="U126" s="157">
        <f t="shared" si="123"/>
        <v>354072000</v>
      </c>
      <c r="V126" s="157">
        <f t="shared" si="124"/>
        <v>1416661000</v>
      </c>
    </row>
    <row r="127" spans="1:22" ht="13.15">
      <c r="D127" s="94" t="s">
        <v>209</v>
      </c>
      <c r="F127" s="142">
        <f>F126/(SDT!F126+TST!F126+TSG!F126)</f>
        <v>0.40562753951885328</v>
      </c>
      <c r="G127" s="142">
        <f>G126/(SDT!G126+TST!G126+TSG!G126)</f>
        <v>0.40456309215307201</v>
      </c>
      <c r="H127" s="142">
        <f>H126/(SDT!H126+TST!H126+TSG!H126)</f>
        <v>0.40456309215307201</v>
      </c>
      <c r="I127" s="158">
        <f>AVERAGE(F127:H127)</f>
        <v>0.40491790794166577</v>
      </c>
      <c r="J127" s="142">
        <f>J126/(SDT!J126+TST!J126+TSG!J126)</f>
        <v>0.40456309215307201</v>
      </c>
      <c r="K127" s="142">
        <f>K126/(SDT!K126+TST!K126+TSG!K126)</f>
        <v>0.40456309215307201</v>
      </c>
      <c r="L127" s="142">
        <f>L126/(SDT!L126+TST!L126+TSG!L126)</f>
        <v>0.40456309215307201</v>
      </c>
      <c r="M127" s="158">
        <f>AVERAGE(J127:L127)</f>
        <v>0.40456309215307201</v>
      </c>
      <c r="N127" s="142">
        <f>N126/(SDT!N126+TST!N126+TSG!N126)</f>
        <v>0.40456309215307201</v>
      </c>
      <c r="O127" s="142">
        <f>O126/(SDT!O126+TST!O126+TSG!O126)</f>
        <v>0.40456309215307201</v>
      </c>
      <c r="P127" s="142">
        <f>P126/(SDT!P126+TST!P126+TSG!P126)</f>
        <v>0.40456309215307201</v>
      </c>
      <c r="Q127" s="158">
        <f>AVERAGE(N127:P127)</f>
        <v>0.40456309215307201</v>
      </c>
      <c r="R127" s="142">
        <f>R126/(SDT!R126+TST!R126+TSG!R126)</f>
        <v>0.40357950096258072</v>
      </c>
      <c r="S127" s="142">
        <f>S126/(SDT!S126+TST!S126+TSG!S126)</f>
        <v>0.40456309215307201</v>
      </c>
      <c r="T127" s="142">
        <f>T126/(SDT!T126+TST!T126+TSG!T126)</f>
        <v>0.40456309215307201</v>
      </c>
      <c r="U127" s="158">
        <f>AVERAGE(R127:T127)</f>
        <v>0.40423522842290827</v>
      </c>
      <c r="V127" s="158">
        <f>AVERAGE(I127,M127,Q127,U127)</f>
        <v>0.4045698301676795</v>
      </c>
    </row>
    <row r="128" spans="1:22">
      <c r="D128" s="103"/>
    </row>
    <row r="131" spans="17:18" ht="13.15">
      <c r="Q131" s="80"/>
      <c r="R131" s="39"/>
    </row>
    <row r="132" spans="17:18" ht="13.15">
      <c r="Q132" s="80"/>
      <c r="R132" s="39"/>
    </row>
  </sheetData>
  <mergeCells count="17">
    <mergeCell ref="A28:D28"/>
    <mergeCell ref="C23:D23"/>
    <mergeCell ref="A116:D116"/>
    <mergeCell ref="C117:D117"/>
    <mergeCell ref="C29:D29"/>
    <mergeCell ref="A15:A25"/>
    <mergeCell ref="C15:D15"/>
    <mergeCell ref="C21:D21"/>
    <mergeCell ref="C22:D22"/>
    <mergeCell ref="C24:D24"/>
    <mergeCell ref="C25:D25"/>
    <mergeCell ref="A26:D26"/>
    <mergeCell ref="A3:D3"/>
    <mergeCell ref="A4:A11"/>
    <mergeCell ref="B5:B10"/>
    <mergeCell ref="A12:D12"/>
    <mergeCell ref="A14:D14"/>
  </mergeCells>
  <phoneticPr fontId="8" type="noConversion"/>
  <pageMargins left="0.59055118110236227" right="0.39370078740157483" top="0.78740157480314965" bottom="0.39370078740157483" header="0.31496062992125984" footer="0.51181102362204722"/>
  <pageSetup scale="10" fitToHeight="2" orientation="portrait" r:id="rId1"/>
  <headerFooter alignWithMargins="0">
    <oddHeader>&amp;L&amp;Z&amp;F&amp;A</oddHeader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U120"/>
  <sheetViews>
    <sheetView workbookViewId="0">
      <pane xSplit="4" ySplit="2" topLeftCell="E43" activePane="bottomRight" state="frozen"/>
      <selection pane="topRight" activeCell="E1" sqref="E1"/>
      <selection pane="bottomLeft" activeCell="A3" sqref="A3"/>
      <selection pane="bottomRight" activeCell="T71" sqref="T71"/>
    </sheetView>
  </sheetViews>
  <sheetFormatPr defaultColWidth="8.87890625" defaultRowHeight="12.75" outlineLevelRow="2" outlineLevelCol="1"/>
  <cols>
    <col min="1" max="3" width="1.3515625" style="3" customWidth="1"/>
    <col min="4" max="4" width="21.1171875" style="3" customWidth="1"/>
    <col min="5" max="5" width="1.64453125" style="7" customWidth="1"/>
    <col min="6" max="6" width="10.234375" style="3" customWidth="1" outlineLevel="1"/>
    <col min="7" max="8" width="10.87890625" style="3" customWidth="1" outlineLevel="1"/>
    <col min="9" max="9" width="10.87890625" style="3" bestFit="1" customWidth="1"/>
    <col min="10" max="10" width="10.234375" style="3" customWidth="1" outlineLevel="1"/>
    <col min="11" max="12" width="10.87890625" style="3" customWidth="1" outlineLevel="1"/>
    <col min="13" max="13" width="10.87890625" style="3" bestFit="1" customWidth="1"/>
    <col min="14" max="14" width="10.234375" style="3" customWidth="1" outlineLevel="1"/>
    <col min="15" max="16" width="10.87890625" style="3" customWidth="1" outlineLevel="1"/>
    <col min="17" max="17" width="10.87890625" style="3" bestFit="1" customWidth="1"/>
    <col min="18" max="20" width="10.234375" style="3" customWidth="1" outlineLevel="1"/>
    <col min="21" max="22" width="10.87890625" style="3" bestFit="1" customWidth="1"/>
    <col min="23" max="16384" width="8.87890625" style="3"/>
  </cols>
  <sheetData>
    <row r="1" spans="1:47" ht="13.9" thickBot="1">
      <c r="A1" s="1"/>
      <c r="B1" s="1"/>
      <c r="C1" s="1"/>
      <c r="D1" s="38"/>
      <c r="E1" s="2"/>
      <c r="F1" s="18" t="s">
        <v>69</v>
      </c>
      <c r="G1" s="18" t="s">
        <v>70</v>
      </c>
      <c r="H1" s="18" t="s">
        <v>71</v>
      </c>
      <c r="I1" s="18" t="s">
        <v>72</v>
      </c>
      <c r="J1" s="18" t="s">
        <v>74</v>
      </c>
      <c r="K1" s="18" t="s">
        <v>75</v>
      </c>
      <c r="L1" s="18" t="s">
        <v>76</v>
      </c>
      <c r="M1" s="18" t="s">
        <v>77</v>
      </c>
      <c r="N1" s="18" t="s">
        <v>80</v>
      </c>
      <c r="O1" s="18" t="s">
        <v>81</v>
      </c>
      <c r="P1" s="18" t="s">
        <v>82</v>
      </c>
      <c r="Q1" s="18" t="s">
        <v>83</v>
      </c>
      <c r="R1" s="18" t="s">
        <v>88</v>
      </c>
      <c r="S1" s="18" t="s">
        <v>91</v>
      </c>
      <c r="T1" s="18" t="s">
        <v>92</v>
      </c>
      <c r="U1" s="18" t="s">
        <v>89</v>
      </c>
      <c r="V1" s="18">
        <v>2026</v>
      </c>
      <c r="AU1" s="4"/>
    </row>
    <row r="2" spans="1:47" ht="13.5" thickBot="1">
      <c r="A2" s="5"/>
      <c r="B2" s="5"/>
      <c r="C2" s="5"/>
      <c r="D2" s="6"/>
      <c r="E2" s="2"/>
      <c r="F2" s="110" t="s">
        <v>24</v>
      </c>
      <c r="G2" s="110" t="s">
        <v>24</v>
      </c>
      <c r="H2" s="110" t="s">
        <v>24</v>
      </c>
      <c r="I2" s="137" t="s">
        <v>25</v>
      </c>
      <c r="J2" s="110" t="s">
        <v>24</v>
      </c>
      <c r="K2" s="110" t="s">
        <v>24</v>
      </c>
      <c r="L2" s="110" t="s">
        <v>24</v>
      </c>
      <c r="M2" s="137" t="s">
        <v>25</v>
      </c>
      <c r="N2" s="110" t="s">
        <v>24</v>
      </c>
      <c r="O2" s="110" t="s">
        <v>24</v>
      </c>
      <c r="P2" s="110" t="s">
        <v>24</v>
      </c>
      <c r="Q2" s="137" t="s">
        <v>25</v>
      </c>
      <c r="R2" s="110" t="s">
        <v>24</v>
      </c>
      <c r="S2" s="110" t="s">
        <v>24</v>
      </c>
      <c r="T2" s="110" t="s">
        <v>24</v>
      </c>
      <c r="U2" s="137" t="s">
        <v>25</v>
      </c>
      <c r="V2" s="137" t="s">
        <v>25</v>
      </c>
    </row>
    <row r="3" spans="1:47" s="111" customFormat="1" ht="12.75" customHeight="1">
      <c r="A3" s="447" t="s">
        <v>159</v>
      </c>
      <c r="B3" s="448"/>
      <c r="C3" s="448"/>
      <c r="D3" s="449"/>
      <c r="E3" s="2"/>
      <c r="F3" s="133"/>
      <c r="G3" s="133"/>
      <c r="H3" s="133"/>
      <c r="I3" s="34"/>
      <c r="J3" s="133"/>
      <c r="K3" s="133"/>
      <c r="L3" s="133"/>
      <c r="M3" s="34"/>
      <c r="N3" s="133"/>
      <c r="O3" s="133"/>
      <c r="P3" s="133"/>
      <c r="Q3" s="34"/>
      <c r="R3" s="133"/>
      <c r="S3" s="133"/>
      <c r="T3" s="133"/>
      <c r="U3" s="34"/>
      <c r="V3" s="134"/>
    </row>
    <row r="4" spans="1:47" s="111" customFormat="1" ht="12.75" customHeight="1">
      <c r="A4" s="450"/>
      <c r="B4" s="112" t="s">
        <v>160</v>
      </c>
      <c r="C4" s="112"/>
      <c r="D4" s="113"/>
      <c r="E4" s="2"/>
      <c r="F4" s="43"/>
      <c r="G4" s="43"/>
      <c r="H4" s="43"/>
      <c r="I4" s="34"/>
      <c r="J4" s="43"/>
      <c r="K4" s="43"/>
      <c r="L4" s="43"/>
      <c r="M4" s="34"/>
      <c r="N4" s="43"/>
      <c r="O4" s="43"/>
      <c r="P4" s="43"/>
      <c r="Q4" s="34"/>
      <c r="R4" s="43"/>
      <c r="S4" s="43"/>
      <c r="T4" s="43"/>
      <c r="U4" s="34"/>
      <c r="V4" s="34"/>
    </row>
    <row r="5" spans="1:47" s="111" customFormat="1" ht="12.75" customHeight="1" outlineLevel="1">
      <c r="A5" s="450"/>
      <c r="B5" s="451"/>
      <c r="C5" s="114"/>
      <c r="D5" s="115" t="s">
        <v>161</v>
      </c>
      <c r="E5" s="7">
        <v>1</v>
      </c>
      <c r="F5" s="43"/>
      <c r="G5" s="43"/>
      <c r="H5" s="43"/>
      <c r="I5" s="34">
        <f t="shared" ref="I5:I10" si="0">H5+G5+F5</f>
        <v>0</v>
      </c>
      <c r="J5" s="43"/>
      <c r="K5" s="43"/>
      <c r="L5" s="43"/>
      <c r="M5" s="34">
        <f t="shared" ref="M5:M10" si="1">L5+K5+J5</f>
        <v>0</v>
      </c>
      <c r="N5" s="43"/>
      <c r="O5" s="43"/>
      <c r="P5" s="43"/>
      <c r="Q5" s="34">
        <f t="shared" ref="Q5:Q10" si="2">P5+O5+N5</f>
        <v>0</v>
      </c>
      <c r="R5" s="43"/>
      <c r="S5" s="43"/>
      <c r="T5" s="43"/>
      <c r="U5" s="34">
        <f t="shared" ref="U5:U10" si="3">T5+S5+R5</f>
        <v>0</v>
      </c>
      <c r="V5" s="34">
        <f t="shared" ref="V5:V10" si="4">U5+Q5+M5+I5</f>
        <v>0</v>
      </c>
    </row>
    <row r="6" spans="1:47" s="111" customFormat="1" ht="12.75" customHeight="1" outlineLevel="1">
      <c r="A6" s="450"/>
      <c r="B6" s="451"/>
      <c r="C6" s="116"/>
      <c r="D6" s="117" t="s">
        <v>162</v>
      </c>
      <c r="E6" s="7">
        <v>1</v>
      </c>
      <c r="F6" s="43"/>
      <c r="G6" s="43"/>
      <c r="H6" s="43"/>
      <c r="I6" s="34">
        <f t="shared" si="0"/>
        <v>0</v>
      </c>
      <c r="J6" s="43"/>
      <c r="K6" s="43"/>
      <c r="L6" s="43"/>
      <c r="M6" s="34">
        <f t="shared" si="1"/>
        <v>0</v>
      </c>
      <c r="N6" s="43"/>
      <c r="O6" s="43"/>
      <c r="P6" s="43"/>
      <c r="Q6" s="34">
        <f t="shared" si="2"/>
        <v>0</v>
      </c>
      <c r="R6" s="43"/>
      <c r="S6" s="43"/>
      <c r="T6" s="43"/>
      <c r="U6" s="34">
        <f t="shared" si="3"/>
        <v>0</v>
      </c>
      <c r="V6" s="34">
        <f t="shared" si="4"/>
        <v>0</v>
      </c>
    </row>
    <row r="7" spans="1:47" s="111" customFormat="1" ht="12.75" customHeight="1" outlineLevel="1">
      <c r="A7" s="450"/>
      <c r="B7" s="451"/>
      <c r="C7" s="116"/>
      <c r="D7" s="117" t="s">
        <v>163</v>
      </c>
      <c r="E7" s="7">
        <v>1</v>
      </c>
      <c r="F7" s="43"/>
      <c r="G7" s="43"/>
      <c r="H7" s="43"/>
      <c r="I7" s="34">
        <f t="shared" si="0"/>
        <v>0</v>
      </c>
      <c r="J7" s="43"/>
      <c r="K7" s="43"/>
      <c r="L7" s="43"/>
      <c r="M7" s="34">
        <f t="shared" si="1"/>
        <v>0</v>
      </c>
      <c r="N7" s="43"/>
      <c r="O7" s="43"/>
      <c r="P7" s="43"/>
      <c r="Q7" s="34">
        <f t="shared" si="2"/>
        <v>0</v>
      </c>
      <c r="R7" s="43"/>
      <c r="S7" s="43"/>
      <c r="T7" s="43"/>
      <c r="U7" s="34">
        <f t="shared" si="3"/>
        <v>0</v>
      </c>
      <c r="V7" s="34">
        <f t="shared" si="4"/>
        <v>0</v>
      </c>
    </row>
    <row r="8" spans="1:47" s="111" customFormat="1" ht="12.75" customHeight="1" outlineLevel="1">
      <c r="A8" s="450"/>
      <c r="B8" s="451"/>
      <c r="C8" s="116"/>
      <c r="D8" s="118" t="s">
        <v>164</v>
      </c>
      <c r="E8" s="7"/>
      <c r="F8" s="43"/>
      <c r="G8" s="43"/>
      <c r="H8" s="43"/>
      <c r="I8" s="34">
        <f t="shared" si="0"/>
        <v>0</v>
      </c>
      <c r="J8" s="43"/>
      <c r="K8" s="43"/>
      <c r="L8" s="43"/>
      <c r="M8" s="34">
        <f t="shared" si="1"/>
        <v>0</v>
      </c>
      <c r="N8" s="43"/>
      <c r="O8" s="43"/>
      <c r="P8" s="43"/>
      <c r="Q8" s="34">
        <f t="shared" si="2"/>
        <v>0</v>
      </c>
      <c r="R8" s="43"/>
      <c r="S8" s="43"/>
      <c r="T8" s="43"/>
      <c r="U8" s="34">
        <f t="shared" si="3"/>
        <v>0</v>
      </c>
      <c r="V8" s="34">
        <f t="shared" si="4"/>
        <v>0</v>
      </c>
    </row>
    <row r="9" spans="1:47" s="111" customFormat="1" ht="12.75" customHeight="1" outlineLevel="1">
      <c r="A9" s="450"/>
      <c r="B9" s="451"/>
      <c r="C9" s="116"/>
      <c r="D9" s="117" t="s">
        <v>166</v>
      </c>
      <c r="E9" s="7"/>
      <c r="F9" s="43"/>
      <c r="G9" s="43"/>
      <c r="H9" s="43"/>
      <c r="I9" s="34">
        <f t="shared" si="0"/>
        <v>0</v>
      </c>
      <c r="J9" s="43"/>
      <c r="K9" s="43"/>
      <c r="L9" s="43"/>
      <c r="M9" s="34">
        <f t="shared" si="1"/>
        <v>0</v>
      </c>
      <c r="N9" s="43"/>
      <c r="O9" s="43"/>
      <c r="P9" s="43"/>
      <c r="Q9" s="34">
        <f t="shared" si="2"/>
        <v>0</v>
      </c>
      <c r="R9" s="43"/>
      <c r="S9" s="43"/>
      <c r="T9" s="43"/>
      <c r="U9" s="34">
        <f t="shared" si="3"/>
        <v>0</v>
      </c>
      <c r="V9" s="34">
        <f t="shared" si="4"/>
        <v>0</v>
      </c>
    </row>
    <row r="10" spans="1:47" s="111" customFormat="1" ht="12.75" customHeight="1" outlineLevel="1">
      <c r="A10" s="450"/>
      <c r="B10" s="451"/>
      <c r="C10" s="116"/>
      <c r="D10" s="117" t="s">
        <v>165</v>
      </c>
      <c r="E10" s="7"/>
      <c r="F10" s="43"/>
      <c r="G10" s="43"/>
      <c r="H10" s="43"/>
      <c r="I10" s="34">
        <f t="shared" si="0"/>
        <v>0</v>
      </c>
      <c r="J10" s="43"/>
      <c r="K10" s="43"/>
      <c r="L10" s="43"/>
      <c r="M10" s="34">
        <f t="shared" si="1"/>
        <v>0</v>
      </c>
      <c r="N10" s="43"/>
      <c r="O10" s="43"/>
      <c r="P10" s="43"/>
      <c r="Q10" s="34">
        <f t="shared" si="2"/>
        <v>0</v>
      </c>
      <c r="R10" s="43"/>
      <c r="S10" s="43"/>
      <c r="T10" s="43"/>
      <c r="U10" s="34">
        <f t="shared" si="3"/>
        <v>0</v>
      </c>
      <c r="V10" s="34">
        <f t="shared" si="4"/>
        <v>0</v>
      </c>
    </row>
    <row r="11" spans="1:47" s="111" customFormat="1" ht="6.75" customHeight="1">
      <c r="A11" s="450"/>
      <c r="B11" s="4"/>
      <c r="C11" s="4"/>
      <c r="D11" s="119"/>
      <c r="E11" s="120"/>
      <c r="F11" s="43"/>
      <c r="G11" s="43"/>
      <c r="H11" s="43"/>
      <c r="I11" s="34"/>
      <c r="J11" s="43"/>
      <c r="K11" s="43"/>
      <c r="L11" s="43"/>
      <c r="M11" s="34"/>
      <c r="N11" s="43"/>
      <c r="O11" s="43"/>
      <c r="P11" s="43"/>
      <c r="Q11" s="34"/>
      <c r="R11" s="43"/>
      <c r="S11" s="43"/>
      <c r="T11" s="43"/>
      <c r="U11" s="34"/>
      <c r="V11" s="34"/>
    </row>
    <row r="12" spans="1:47" s="111" customFormat="1" ht="12.75" customHeight="1">
      <c r="A12" s="447" t="s">
        <v>167</v>
      </c>
      <c r="B12" s="448"/>
      <c r="C12" s="448"/>
      <c r="D12" s="449"/>
      <c r="E12" s="8"/>
      <c r="F12" s="44">
        <f t="shared" ref="F12:T12" si="5">SUM(F5:F10)</f>
        <v>0</v>
      </c>
      <c r="G12" s="44">
        <f t="shared" si="5"/>
        <v>0</v>
      </c>
      <c r="H12" s="44">
        <f t="shared" si="5"/>
        <v>0</v>
      </c>
      <c r="I12" s="35">
        <f t="shared" si="5"/>
        <v>0</v>
      </c>
      <c r="J12" s="44">
        <f t="shared" si="5"/>
        <v>0</v>
      </c>
      <c r="K12" s="44">
        <f t="shared" si="5"/>
        <v>0</v>
      </c>
      <c r="L12" s="44">
        <f t="shared" si="5"/>
        <v>0</v>
      </c>
      <c r="M12" s="35">
        <f t="shared" si="5"/>
        <v>0</v>
      </c>
      <c r="N12" s="44">
        <f t="shared" si="5"/>
        <v>0</v>
      </c>
      <c r="O12" s="44">
        <f t="shared" si="5"/>
        <v>0</v>
      </c>
      <c r="P12" s="44">
        <f t="shared" si="5"/>
        <v>0</v>
      </c>
      <c r="Q12" s="35">
        <f t="shared" si="5"/>
        <v>0</v>
      </c>
      <c r="R12" s="44">
        <f t="shared" si="5"/>
        <v>0</v>
      </c>
      <c r="S12" s="44">
        <f t="shared" si="5"/>
        <v>0</v>
      </c>
      <c r="T12" s="44">
        <f t="shared" si="5"/>
        <v>0</v>
      </c>
      <c r="U12" s="35">
        <f t="shared" ref="U12:V12" si="6">SUM(U5:U10)</f>
        <v>0</v>
      </c>
      <c r="V12" s="35">
        <f t="shared" si="6"/>
        <v>0</v>
      </c>
    </row>
    <row r="13" spans="1:47" s="111" customFormat="1" ht="5.25" customHeight="1">
      <c r="A13" s="121"/>
      <c r="B13" s="3"/>
      <c r="C13" s="3"/>
      <c r="D13" s="119"/>
      <c r="E13" s="4"/>
      <c r="F13" s="43"/>
      <c r="G13" s="43"/>
      <c r="H13" s="43"/>
      <c r="I13" s="34"/>
      <c r="J13" s="43"/>
      <c r="K13" s="43"/>
      <c r="L13" s="43"/>
      <c r="M13" s="34"/>
      <c r="N13" s="43"/>
      <c r="O13" s="43"/>
      <c r="P13" s="43"/>
      <c r="Q13" s="34"/>
      <c r="R13" s="43"/>
      <c r="S13" s="43"/>
      <c r="T13" s="43"/>
      <c r="U13" s="34"/>
      <c r="V13" s="34"/>
    </row>
    <row r="14" spans="1:47" s="111" customFormat="1" ht="12.75" customHeight="1">
      <c r="A14" s="452" t="s">
        <v>168</v>
      </c>
      <c r="B14" s="453"/>
      <c r="C14" s="453"/>
      <c r="D14" s="454"/>
      <c r="E14" s="7"/>
      <c r="F14" s="43"/>
      <c r="G14" s="43"/>
      <c r="H14" s="43"/>
      <c r="I14" s="34"/>
      <c r="J14" s="43"/>
      <c r="K14" s="43"/>
      <c r="L14" s="43"/>
      <c r="M14" s="34"/>
      <c r="N14" s="43"/>
      <c r="O14" s="43"/>
      <c r="P14" s="43"/>
      <c r="Q14" s="34"/>
      <c r="R14" s="43"/>
      <c r="S14" s="43"/>
      <c r="T14" s="43"/>
      <c r="U14" s="34"/>
      <c r="V14" s="34"/>
    </row>
    <row r="15" spans="1:47" s="111" customFormat="1" ht="12.75" customHeight="1" outlineLevel="1">
      <c r="A15" s="465"/>
      <c r="B15" s="3"/>
      <c r="C15" s="466" t="s">
        <v>169</v>
      </c>
      <c r="D15" s="467"/>
      <c r="E15" s="7"/>
      <c r="F15" s="43"/>
      <c r="G15" s="43"/>
      <c r="H15" s="43"/>
      <c r="I15" s="34"/>
      <c r="J15" s="43"/>
      <c r="K15" s="43"/>
      <c r="L15" s="43"/>
      <c r="M15" s="34"/>
      <c r="N15" s="43"/>
      <c r="O15" s="43"/>
      <c r="P15" s="43"/>
      <c r="Q15" s="34"/>
      <c r="R15" s="43"/>
      <c r="S15" s="43"/>
      <c r="T15" s="43"/>
      <c r="U15" s="34"/>
      <c r="V15" s="34"/>
    </row>
    <row r="16" spans="1:47" s="111" customFormat="1" ht="12.75" customHeight="1" outlineLevel="1">
      <c r="A16" s="465"/>
      <c r="B16" s="3"/>
      <c r="C16" s="116"/>
      <c r="D16" s="117" t="s">
        <v>170</v>
      </c>
      <c r="E16" s="7">
        <v>0</v>
      </c>
      <c r="F16" s="43"/>
      <c r="G16" s="43"/>
      <c r="H16" s="43"/>
      <c r="I16" s="34">
        <f t="shared" ref="I16:I22" si="7">H16+G16+F16</f>
        <v>0</v>
      </c>
      <c r="J16" s="43"/>
      <c r="K16" s="43"/>
      <c r="L16" s="43"/>
      <c r="M16" s="34">
        <f t="shared" ref="M16:M22" si="8">L16+K16+J16</f>
        <v>0</v>
      </c>
      <c r="N16" s="43"/>
      <c r="O16" s="43"/>
      <c r="P16" s="43"/>
      <c r="Q16" s="34">
        <f t="shared" ref="Q16:Q22" si="9">P16+O16+N16</f>
        <v>0</v>
      </c>
      <c r="R16" s="43"/>
      <c r="S16" s="43"/>
      <c r="T16" s="43"/>
      <c r="U16" s="34">
        <f t="shared" ref="U16:U23" si="10">T16+S16+R16</f>
        <v>0</v>
      </c>
      <c r="V16" s="34">
        <f t="shared" ref="V16:V23" si="11">U16+Q16+M16+I16</f>
        <v>0</v>
      </c>
    </row>
    <row r="17" spans="1:22" s="111" customFormat="1" ht="12.75" customHeight="1" outlineLevel="1">
      <c r="A17" s="465"/>
      <c r="B17" s="3"/>
      <c r="C17" s="116"/>
      <c r="D17" s="117" t="s">
        <v>172</v>
      </c>
      <c r="E17" s="7"/>
      <c r="F17" s="43"/>
      <c r="G17" s="43"/>
      <c r="H17" s="43"/>
      <c r="I17" s="34">
        <f t="shared" si="7"/>
        <v>0</v>
      </c>
      <c r="J17" s="43"/>
      <c r="K17" s="43"/>
      <c r="L17" s="43"/>
      <c r="M17" s="34">
        <f t="shared" si="8"/>
        <v>0</v>
      </c>
      <c r="N17" s="43"/>
      <c r="O17" s="43"/>
      <c r="P17" s="43"/>
      <c r="Q17" s="34">
        <f t="shared" si="9"/>
        <v>0</v>
      </c>
      <c r="R17" s="43"/>
      <c r="S17" s="43"/>
      <c r="T17" s="43"/>
      <c r="U17" s="34">
        <f t="shared" si="10"/>
        <v>0</v>
      </c>
      <c r="V17" s="34">
        <f t="shared" si="11"/>
        <v>0</v>
      </c>
    </row>
    <row r="18" spans="1:22" s="111" customFormat="1" ht="12.75" customHeight="1" outlineLevel="1">
      <c r="A18" s="465"/>
      <c r="B18" s="3"/>
      <c r="C18" s="116"/>
      <c r="D18" s="117" t="s">
        <v>294</v>
      </c>
      <c r="E18" s="7"/>
      <c r="F18" s="43"/>
      <c r="G18" s="43"/>
      <c r="H18" s="43"/>
      <c r="I18" s="34">
        <f t="shared" si="7"/>
        <v>0</v>
      </c>
      <c r="J18" s="43"/>
      <c r="K18" s="43"/>
      <c r="L18" s="43"/>
      <c r="M18" s="34">
        <f t="shared" si="8"/>
        <v>0</v>
      </c>
      <c r="N18" s="43"/>
      <c r="O18" s="43"/>
      <c r="P18" s="43"/>
      <c r="Q18" s="34">
        <f t="shared" si="9"/>
        <v>0</v>
      </c>
      <c r="R18" s="43"/>
      <c r="S18" s="43"/>
      <c r="T18" s="43"/>
      <c r="U18" s="34">
        <f t="shared" si="10"/>
        <v>0</v>
      </c>
      <c r="V18" s="34">
        <f t="shared" si="11"/>
        <v>0</v>
      </c>
    </row>
    <row r="19" spans="1:22" s="111" customFormat="1" ht="12.75" customHeight="1" outlineLevel="1">
      <c r="A19" s="465"/>
      <c r="B19" s="3"/>
      <c r="C19" s="116"/>
      <c r="D19" s="117" t="s">
        <v>173</v>
      </c>
      <c r="E19" s="7"/>
      <c r="F19" s="43"/>
      <c r="G19" s="43"/>
      <c r="H19" s="43"/>
      <c r="I19" s="34">
        <f t="shared" si="7"/>
        <v>0</v>
      </c>
      <c r="J19" s="43"/>
      <c r="K19" s="43"/>
      <c r="L19" s="43"/>
      <c r="M19" s="34">
        <f t="shared" si="8"/>
        <v>0</v>
      </c>
      <c r="N19" s="43"/>
      <c r="O19" s="43"/>
      <c r="P19" s="43"/>
      <c r="Q19" s="34">
        <f t="shared" si="9"/>
        <v>0</v>
      </c>
      <c r="R19" s="43"/>
      <c r="S19" s="43"/>
      <c r="T19" s="43"/>
      <c r="U19" s="34">
        <f t="shared" si="10"/>
        <v>0</v>
      </c>
      <c r="V19" s="34">
        <f t="shared" si="11"/>
        <v>0</v>
      </c>
    </row>
    <row r="20" spans="1:22" s="111" customFormat="1" ht="12.75" customHeight="1" outlineLevel="1">
      <c r="A20" s="465"/>
      <c r="B20" s="3"/>
      <c r="C20" s="116"/>
      <c r="D20" s="118" t="s">
        <v>174</v>
      </c>
      <c r="E20" s="7">
        <v>0</v>
      </c>
      <c r="F20" s="43"/>
      <c r="G20" s="43"/>
      <c r="H20" s="43"/>
      <c r="I20" s="34">
        <f t="shared" si="7"/>
        <v>0</v>
      </c>
      <c r="J20" s="43"/>
      <c r="K20" s="43"/>
      <c r="L20" s="43"/>
      <c r="M20" s="34">
        <f t="shared" si="8"/>
        <v>0</v>
      </c>
      <c r="N20" s="43"/>
      <c r="O20" s="43"/>
      <c r="P20" s="43"/>
      <c r="Q20" s="34">
        <f t="shared" si="9"/>
        <v>0</v>
      </c>
      <c r="R20" s="43"/>
      <c r="S20" s="43"/>
      <c r="T20" s="43"/>
      <c r="U20" s="34">
        <f t="shared" si="10"/>
        <v>0</v>
      </c>
      <c r="V20" s="34">
        <f t="shared" si="11"/>
        <v>0</v>
      </c>
    </row>
    <row r="21" spans="1:22" s="111" customFormat="1" ht="12.75" customHeight="1" outlineLevel="1">
      <c r="A21" s="465"/>
      <c r="B21" s="3"/>
      <c r="C21" s="468" t="s">
        <v>175</v>
      </c>
      <c r="D21" s="469"/>
      <c r="E21" s="7"/>
      <c r="F21" s="43"/>
      <c r="G21" s="43"/>
      <c r="H21" s="43"/>
      <c r="I21" s="34">
        <f t="shared" si="7"/>
        <v>0</v>
      </c>
      <c r="J21" s="43"/>
      <c r="K21" s="43"/>
      <c r="L21" s="43"/>
      <c r="M21" s="34">
        <f t="shared" si="8"/>
        <v>0</v>
      </c>
      <c r="N21" s="43"/>
      <c r="O21" s="43"/>
      <c r="P21" s="43"/>
      <c r="Q21" s="34">
        <f t="shared" si="9"/>
        <v>0</v>
      </c>
      <c r="R21" s="43"/>
      <c r="S21" s="43"/>
      <c r="T21" s="43"/>
      <c r="U21" s="34">
        <f t="shared" si="10"/>
        <v>0</v>
      </c>
      <c r="V21" s="34">
        <f t="shared" si="11"/>
        <v>0</v>
      </c>
    </row>
    <row r="22" spans="1:22" s="111" customFormat="1" ht="12.75" customHeight="1" outlineLevel="1">
      <c r="A22" s="465"/>
      <c r="B22" s="3"/>
      <c r="C22" s="468" t="s">
        <v>176</v>
      </c>
      <c r="D22" s="469"/>
      <c r="E22" s="7"/>
      <c r="F22" s="43"/>
      <c r="G22" s="43"/>
      <c r="H22" s="43"/>
      <c r="I22" s="34">
        <f t="shared" si="7"/>
        <v>0</v>
      </c>
      <c r="J22" s="43"/>
      <c r="K22" s="43"/>
      <c r="L22" s="43"/>
      <c r="M22" s="34">
        <f t="shared" si="8"/>
        <v>0</v>
      </c>
      <c r="N22" s="43"/>
      <c r="O22" s="43"/>
      <c r="P22" s="43"/>
      <c r="Q22" s="34">
        <f t="shared" si="9"/>
        <v>0</v>
      </c>
      <c r="R22" s="43"/>
      <c r="S22" s="43"/>
      <c r="T22" s="43"/>
      <c r="U22" s="34">
        <f t="shared" si="10"/>
        <v>0</v>
      </c>
      <c r="V22" s="34">
        <f t="shared" si="11"/>
        <v>0</v>
      </c>
    </row>
    <row r="23" spans="1:22" s="111" customFormat="1" ht="12.75" customHeight="1" outlineLevel="1">
      <c r="A23" s="465"/>
      <c r="B23" s="3"/>
      <c r="C23" s="457" t="s">
        <v>203</v>
      </c>
      <c r="D23" s="470"/>
      <c r="E23" s="7"/>
      <c r="F23" s="96"/>
      <c r="G23" s="96"/>
      <c r="H23" s="96"/>
      <c r="I23" s="34">
        <f>H23+G23+F23</f>
        <v>0</v>
      </c>
      <c r="J23" s="96"/>
      <c r="K23" s="96"/>
      <c r="L23" s="96"/>
      <c r="M23" s="34">
        <f>L23+K23+J23</f>
        <v>0</v>
      </c>
      <c r="N23" s="96"/>
      <c r="O23" s="96"/>
      <c r="P23" s="96"/>
      <c r="Q23" s="34">
        <f>P23+O23+N23</f>
        <v>0</v>
      </c>
      <c r="R23" s="96"/>
      <c r="S23" s="96"/>
      <c r="T23" s="96"/>
      <c r="U23" s="34">
        <f t="shared" si="10"/>
        <v>0</v>
      </c>
      <c r="V23" s="34">
        <f t="shared" si="11"/>
        <v>0</v>
      </c>
    </row>
    <row r="24" spans="1:22" s="111" customFormat="1" ht="12.75" customHeight="1" outlineLevel="1">
      <c r="A24" s="465"/>
      <c r="B24" s="3"/>
      <c r="C24" s="457" t="s">
        <v>184</v>
      </c>
      <c r="D24" s="458"/>
      <c r="E24" s="7"/>
      <c r="F24" s="96"/>
      <c r="G24" s="96"/>
      <c r="H24" s="96"/>
      <c r="I24" s="34">
        <f t="shared" ref="I24:I25" si="12">H24+G24+F24</f>
        <v>0</v>
      </c>
      <c r="J24" s="96"/>
      <c r="K24" s="96"/>
      <c r="L24" s="96"/>
      <c r="M24" s="34">
        <f t="shared" ref="M24:M25" si="13">L24+K24+J24</f>
        <v>0</v>
      </c>
      <c r="N24" s="96"/>
      <c r="O24" s="96"/>
      <c r="P24" s="96"/>
      <c r="Q24" s="34">
        <f t="shared" ref="Q24:Q25" si="14">P24+O24+N24</f>
        <v>0</v>
      </c>
      <c r="R24" s="96"/>
      <c r="S24" s="96"/>
      <c r="T24" s="96"/>
      <c r="U24" s="34">
        <f t="shared" ref="U24:U25" si="15">T24+S24+R24</f>
        <v>0</v>
      </c>
      <c r="V24" s="34">
        <f t="shared" ref="V24:V25" si="16">U24+Q24+M24+I24</f>
        <v>0</v>
      </c>
    </row>
    <row r="25" spans="1:22" s="111" customFormat="1" ht="12.75" customHeight="1" outlineLevel="1">
      <c r="A25" s="465"/>
      <c r="B25" s="3"/>
      <c r="C25" s="457" t="s">
        <v>183</v>
      </c>
      <c r="D25" s="458"/>
      <c r="E25" s="7">
        <v>0</v>
      </c>
      <c r="F25" s="43"/>
      <c r="G25" s="43"/>
      <c r="H25" s="96"/>
      <c r="I25" s="34">
        <f t="shared" si="12"/>
        <v>0</v>
      </c>
      <c r="J25" s="43"/>
      <c r="K25" s="43"/>
      <c r="L25" s="96"/>
      <c r="M25" s="34">
        <f t="shared" si="13"/>
        <v>0</v>
      </c>
      <c r="N25" s="43"/>
      <c r="O25" s="43"/>
      <c r="P25" s="96"/>
      <c r="Q25" s="34">
        <f t="shared" si="14"/>
        <v>0</v>
      </c>
      <c r="R25" s="43"/>
      <c r="S25" s="43"/>
      <c r="T25" s="96"/>
      <c r="U25" s="34">
        <f t="shared" si="15"/>
        <v>0</v>
      </c>
      <c r="V25" s="34">
        <f t="shared" si="16"/>
        <v>0</v>
      </c>
    </row>
    <row r="26" spans="1:22" s="111" customFormat="1" ht="12.75" customHeight="1">
      <c r="A26" s="459" t="s">
        <v>177</v>
      </c>
      <c r="B26" s="460"/>
      <c r="C26" s="460"/>
      <c r="D26" s="461"/>
      <c r="E26" s="8"/>
      <c r="F26" s="44">
        <f t="shared" ref="F26:T26" si="17">SUM(F16:F25)</f>
        <v>0</v>
      </c>
      <c r="G26" s="44">
        <f t="shared" si="17"/>
        <v>0</v>
      </c>
      <c r="H26" s="44">
        <f t="shared" si="17"/>
        <v>0</v>
      </c>
      <c r="I26" s="35">
        <f t="shared" si="17"/>
        <v>0</v>
      </c>
      <c r="J26" s="44">
        <f t="shared" si="17"/>
        <v>0</v>
      </c>
      <c r="K26" s="44">
        <f t="shared" si="17"/>
        <v>0</v>
      </c>
      <c r="L26" s="44">
        <f t="shared" si="17"/>
        <v>0</v>
      </c>
      <c r="M26" s="35">
        <f t="shared" si="17"/>
        <v>0</v>
      </c>
      <c r="N26" s="44">
        <f t="shared" si="17"/>
        <v>0</v>
      </c>
      <c r="O26" s="44">
        <f t="shared" si="17"/>
        <v>0</v>
      </c>
      <c r="P26" s="44">
        <f t="shared" si="17"/>
        <v>0</v>
      </c>
      <c r="Q26" s="35">
        <f t="shared" si="17"/>
        <v>0</v>
      </c>
      <c r="R26" s="44">
        <f t="shared" si="17"/>
        <v>0</v>
      </c>
      <c r="S26" s="44">
        <f t="shared" si="17"/>
        <v>0</v>
      </c>
      <c r="T26" s="44">
        <f t="shared" si="17"/>
        <v>0</v>
      </c>
      <c r="U26" s="35">
        <f t="shared" ref="U26:V26" si="18">SUM(U16:U25)</f>
        <v>0</v>
      </c>
      <c r="V26" s="35">
        <f t="shared" si="18"/>
        <v>0</v>
      </c>
    </row>
    <row r="27" spans="1:22" s="111" customFormat="1" ht="8.25" customHeight="1">
      <c r="A27" s="122"/>
      <c r="B27" s="123"/>
      <c r="C27" s="123"/>
      <c r="D27" s="124"/>
      <c r="E27" s="8"/>
      <c r="F27" s="43"/>
      <c r="G27" s="43"/>
      <c r="H27" s="43"/>
      <c r="I27" s="34"/>
      <c r="J27" s="43"/>
      <c r="K27" s="43"/>
      <c r="L27" s="43"/>
      <c r="M27" s="34"/>
      <c r="N27" s="43"/>
      <c r="O27" s="43"/>
      <c r="P27" s="43"/>
      <c r="Q27" s="34"/>
      <c r="R27" s="43"/>
      <c r="S27" s="43"/>
      <c r="T27" s="43"/>
      <c r="U27" s="34"/>
      <c r="V27" s="34"/>
    </row>
    <row r="28" spans="1:22" s="111" customFormat="1" ht="12.75" customHeight="1">
      <c r="A28" s="462" t="s">
        <v>178</v>
      </c>
      <c r="B28" s="463"/>
      <c r="C28" s="463"/>
      <c r="D28" s="464"/>
      <c r="E28" s="8"/>
      <c r="F28" s="43"/>
      <c r="G28" s="43"/>
      <c r="H28" s="43"/>
      <c r="I28" s="34"/>
      <c r="J28" s="43"/>
      <c r="K28" s="43"/>
      <c r="L28" s="43"/>
      <c r="M28" s="34"/>
      <c r="N28" s="43"/>
      <c r="O28" s="43"/>
      <c r="P28" s="43"/>
      <c r="Q28" s="34"/>
      <c r="R28" s="43"/>
      <c r="S28" s="43"/>
      <c r="T28" s="43"/>
      <c r="U28" s="34"/>
      <c r="V28" s="34"/>
    </row>
    <row r="29" spans="1:22" s="111" customFormat="1" ht="12.75" customHeight="1">
      <c r="A29" s="125"/>
      <c r="B29" s="4"/>
      <c r="C29" s="455" t="s">
        <v>179</v>
      </c>
      <c r="D29" s="456"/>
      <c r="E29" s="8"/>
      <c r="F29" s="44">
        <f t="shared" ref="F29:T29" si="19">F12-F26</f>
        <v>0</v>
      </c>
      <c r="G29" s="44">
        <f t="shared" si="19"/>
        <v>0</v>
      </c>
      <c r="H29" s="44">
        <f t="shared" si="19"/>
        <v>0</v>
      </c>
      <c r="I29" s="35">
        <f t="shared" si="19"/>
        <v>0</v>
      </c>
      <c r="J29" s="44">
        <f t="shared" si="19"/>
        <v>0</v>
      </c>
      <c r="K29" s="44">
        <f t="shared" si="19"/>
        <v>0</v>
      </c>
      <c r="L29" s="44">
        <f t="shared" si="19"/>
        <v>0</v>
      </c>
      <c r="M29" s="35">
        <f t="shared" si="19"/>
        <v>0</v>
      </c>
      <c r="N29" s="44">
        <f t="shared" si="19"/>
        <v>0</v>
      </c>
      <c r="O29" s="44">
        <f t="shared" si="19"/>
        <v>0</v>
      </c>
      <c r="P29" s="44">
        <f t="shared" si="19"/>
        <v>0</v>
      </c>
      <c r="Q29" s="35">
        <f t="shared" si="19"/>
        <v>0</v>
      </c>
      <c r="R29" s="44">
        <f t="shared" si="19"/>
        <v>0</v>
      </c>
      <c r="S29" s="44">
        <f t="shared" si="19"/>
        <v>0</v>
      </c>
      <c r="T29" s="44">
        <f t="shared" si="19"/>
        <v>0</v>
      </c>
      <c r="U29" s="35">
        <f t="shared" ref="U29:V29" si="20">U12-U26</f>
        <v>0</v>
      </c>
      <c r="V29" s="35">
        <f t="shared" si="20"/>
        <v>0</v>
      </c>
    </row>
    <row r="30" spans="1:22" s="111" customFormat="1" ht="12.75" customHeight="1">
      <c r="A30" s="121"/>
      <c r="B30" s="3"/>
      <c r="C30" s="3"/>
      <c r="D30" s="118" t="s">
        <v>180</v>
      </c>
      <c r="E30" s="7"/>
      <c r="F30" s="126">
        <f t="shared" ref="F30:T30" si="21">IF(F12=0,0,F29/F12)</f>
        <v>0</v>
      </c>
      <c r="G30" s="126">
        <f t="shared" si="21"/>
        <v>0</v>
      </c>
      <c r="H30" s="126">
        <f t="shared" si="21"/>
        <v>0</v>
      </c>
      <c r="I30" s="127">
        <f t="shared" si="21"/>
        <v>0</v>
      </c>
      <c r="J30" s="126">
        <f t="shared" si="21"/>
        <v>0</v>
      </c>
      <c r="K30" s="126">
        <f t="shared" si="21"/>
        <v>0</v>
      </c>
      <c r="L30" s="126">
        <f t="shared" si="21"/>
        <v>0</v>
      </c>
      <c r="M30" s="127">
        <f t="shared" si="21"/>
        <v>0</v>
      </c>
      <c r="N30" s="126">
        <f t="shared" si="21"/>
        <v>0</v>
      </c>
      <c r="O30" s="126">
        <f t="shared" si="21"/>
        <v>0</v>
      </c>
      <c r="P30" s="126">
        <f t="shared" si="21"/>
        <v>0</v>
      </c>
      <c r="Q30" s="127">
        <f t="shared" si="21"/>
        <v>0</v>
      </c>
      <c r="R30" s="126">
        <f t="shared" si="21"/>
        <v>0</v>
      </c>
      <c r="S30" s="126">
        <f t="shared" si="21"/>
        <v>0</v>
      </c>
      <c r="T30" s="126">
        <f t="shared" si="21"/>
        <v>0</v>
      </c>
      <c r="U30" s="127">
        <f t="shared" ref="U30:V30" si="22">IF(U12=0,0,U29/U12)</f>
        <v>0</v>
      </c>
      <c r="V30" s="127">
        <f t="shared" si="22"/>
        <v>0</v>
      </c>
    </row>
    <row r="31" spans="1:22" ht="13.15" outlineLevel="1">
      <c r="A31" s="21" t="s">
        <v>49</v>
      </c>
      <c r="B31" s="22"/>
      <c r="C31" s="22"/>
      <c r="D31" s="22"/>
      <c r="F31" s="43"/>
      <c r="G31" s="43"/>
      <c r="H31" s="43"/>
      <c r="I31" s="34"/>
      <c r="J31" s="43"/>
      <c r="K31" s="43"/>
      <c r="L31" s="43"/>
      <c r="M31" s="34"/>
      <c r="N31" s="43"/>
      <c r="O31" s="43"/>
      <c r="P31" s="43"/>
      <c r="Q31" s="34"/>
      <c r="R31" s="43"/>
      <c r="S31" s="43"/>
      <c r="T31" s="43"/>
      <c r="U31" s="34"/>
      <c r="V31" s="34"/>
    </row>
    <row r="32" spans="1:22" ht="13.5" outlineLevel="2">
      <c r="A32" s="22"/>
      <c r="B32" s="22"/>
      <c r="C32" s="23" t="s">
        <v>37</v>
      </c>
      <c r="D32" s="24"/>
      <c r="E32" s="8"/>
      <c r="F32" s="43"/>
      <c r="G32" s="43"/>
      <c r="H32" s="43"/>
      <c r="I32" s="34"/>
      <c r="J32" s="43"/>
      <c r="K32" s="43"/>
      <c r="L32" s="43"/>
      <c r="M32" s="34"/>
      <c r="N32" s="43"/>
      <c r="O32" s="43"/>
      <c r="P32" s="43"/>
      <c r="Q32" s="34"/>
      <c r="R32" s="43"/>
      <c r="S32" s="43"/>
      <c r="T32" s="43"/>
      <c r="U32" s="34"/>
      <c r="V32" s="34"/>
    </row>
    <row r="33" spans="1:22" ht="13.15" outlineLevel="2">
      <c r="A33" s="22"/>
      <c r="B33" s="22"/>
      <c r="C33" s="22"/>
      <c r="D33" s="25" t="s">
        <v>27</v>
      </c>
      <c r="E33" s="7">
        <v>0</v>
      </c>
      <c r="F33" s="43">
        <v>10000000</v>
      </c>
      <c r="G33" s="43">
        <v>10000000</v>
      </c>
      <c r="H33" s="43">
        <v>10000000</v>
      </c>
      <c r="I33" s="34">
        <f>SUM(F33:H33)</f>
        <v>30000000</v>
      </c>
      <c r="J33" s="43">
        <v>10000000</v>
      </c>
      <c r="K33" s="43">
        <v>10000000</v>
      </c>
      <c r="L33" s="43">
        <v>10000000</v>
      </c>
      <c r="M33" s="34">
        <f>SUM(J33:L33)</f>
        <v>30000000</v>
      </c>
      <c r="N33" s="43">
        <v>10000000</v>
      </c>
      <c r="O33" s="43">
        <v>10000000</v>
      </c>
      <c r="P33" s="43">
        <v>10000000</v>
      </c>
      <c r="Q33" s="34">
        <f>SUM(N33:P33)</f>
        <v>30000000</v>
      </c>
      <c r="R33" s="43">
        <v>10000000</v>
      </c>
      <c r="S33" s="43">
        <v>10000000</v>
      </c>
      <c r="T33" s="43">
        <v>10000000</v>
      </c>
      <c r="U33" s="34">
        <f>SUM(R33:T33)</f>
        <v>30000000</v>
      </c>
      <c r="V33" s="34">
        <f t="shared" ref="V33:V37" si="23">I33+M33+Q33+U33</f>
        <v>120000000</v>
      </c>
    </row>
    <row r="34" spans="1:22" ht="13.15" outlineLevel="2">
      <c r="A34" s="22"/>
      <c r="B34" s="22"/>
      <c r="C34" s="22"/>
      <c r="D34" s="25" t="s">
        <v>73</v>
      </c>
      <c r="F34" s="43">
        <v>0</v>
      </c>
      <c r="G34" s="43">
        <v>0</v>
      </c>
      <c r="H34" s="43">
        <v>0</v>
      </c>
      <c r="I34" s="34">
        <f>SUM(F34:H34)</f>
        <v>0</v>
      </c>
      <c r="J34" s="43">
        <v>0</v>
      </c>
      <c r="K34" s="43">
        <v>0</v>
      </c>
      <c r="L34" s="43">
        <v>0</v>
      </c>
      <c r="M34" s="34">
        <f>SUM(J34:L34)</f>
        <v>0</v>
      </c>
      <c r="N34" s="43">
        <v>0</v>
      </c>
      <c r="O34" s="43">
        <v>0</v>
      </c>
      <c r="P34" s="43">
        <v>0</v>
      </c>
      <c r="Q34" s="34">
        <f>SUM(N34:P34)</f>
        <v>0</v>
      </c>
      <c r="R34" s="43">
        <v>0</v>
      </c>
      <c r="S34" s="43">
        <v>0</v>
      </c>
      <c r="T34" s="43">
        <v>0</v>
      </c>
      <c r="U34" s="34">
        <f>SUM(R34:T34)</f>
        <v>0</v>
      </c>
      <c r="V34" s="34">
        <f t="shared" si="23"/>
        <v>0</v>
      </c>
    </row>
    <row r="35" spans="1:22" ht="13.15" outlineLevel="2">
      <c r="A35" s="22"/>
      <c r="B35" s="22"/>
      <c r="C35" s="22"/>
      <c r="D35" s="25" t="s">
        <v>55</v>
      </c>
      <c r="E35" s="7">
        <v>0</v>
      </c>
      <c r="F35" s="43"/>
      <c r="G35" s="43"/>
      <c r="H35" s="43"/>
      <c r="I35" s="34">
        <f>SUM(F35:H35)</f>
        <v>0</v>
      </c>
      <c r="J35" s="43"/>
      <c r="K35" s="43"/>
      <c r="L35" s="43"/>
      <c r="M35" s="34">
        <f>SUM(J35:L35)</f>
        <v>0</v>
      </c>
      <c r="N35" s="43"/>
      <c r="O35" s="43"/>
      <c r="P35" s="43"/>
      <c r="Q35" s="34">
        <f>SUM(N35:P35)</f>
        <v>0</v>
      </c>
      <c r="R35" s="43"/>
      <c r="S35" s="43"/>
      <c r="T35" s="43"/>
      <c r="U35" s="34">
        <f>SUM(R35:T35)</f>
        <v>0</v>
      </c>
      <c r="V35" s="34">
        <f t="shared" si="23"/>
        <v>0</v>
      </c>
    </row>
    <row r="36" spans="1:22" ht="13.15" outlineLevel="2">
      <c r="A36" s="22"/>
      <c r="B36" s="22"/>
      <c r="C36" s="22"/>
      <c r="D36" s="25" t="s">
        <v>96</v>
      </c>
      <c r="E36" s="7">
        <v>0</v>
      </c>
      <c r="F36" s="43">
        <v>1000000</v>
      </c>
      <c r="G36" s="43">
        <v>1000000</v>
      </c>
      <c r="H36" s="43">
        <v>1000000</v>
      </c>
      <c r="I36" s="34">
        <f>SUM(F36:H36)</f>
        <v>3000000</v>
      </c>
      <c r="J36" s="43">
        <v>1000000</v>
      </c>
      <c r="K36" s="43">
        <v>1000000</v>
      </c>
      <c r="L36" s="43">
        <v>1000000</v>
      </c>
      <c r="M36" s="34">
        <f>SUM(J36:L36)</f>
        <v>3000000</v>
      </c>
      <c r="N36" s="43">
        <v>1000000</v>
      </c>
      <c r="O36" s="43">
        <v>1000000</v>
      </c>
      <c r="P36" s="43">
        <v>1000000</v>
      </c>
      <c r="Q36" s="34">
        <f>SUM(N36:P36)</f>
        <v>3000000</v>
      </c>
      <c r="R36" s="43">
        <v>1000000</v>
      </c>
      <c r="S36" s="43">
        <v>1000000</v>
      </c>
      <c r="T36" s="43">
        <v>1000000</v>
      </c>
      <c r="U36" s="34">
        <f>SUM(R36:T36)</f>
        <v>3000000</v>
      </c>
      <c r="V36" s="34">
        <f t="shared" si="23"/>
        <v>12000000</v>
      </c>
    </row>
    <row r="37" spans="1:22" ht="13.15" outlineLevel="1">
      <c r="A37" s="24"/>
      <c r="B37" s="24" t="s">
        <v>0</v>
      </c>
      <c r="C37" s="24"/>
      <c r="D37" s="24"/>
      <c r="E37" s="8"/>
      <c r="F37" s="44">
        <f t="shared" ref="F37:H37" si="24">SUM(F33:F36)</f>
        <v>11000000</v>
      </c>
      <c r="G37" s="44">
        <f t="shared" si="24"/>
        <v>11000000</v>
      </c>
      <c r="H37" s="44">
        <f t="shared" si="24"/>
        <v>11000000</v>
      </c>
      <c r="I37" s="35">
        <f>SUM(I33:I36)</f>
        <v>33000000</v>
      </c>
      <c r="J37" s="44">
        <f t="shared" ref="J37:L37" si="25">SUM(J33:J36)</f>
        <v>11000000</v>
      </c>
      <c r="K37" s="44">
        <f t="shared" si="25"/>
        <v>11000000</v>
      </c>
      <c r="L37" s="44">
        <f t="shared" si="25"/>
        <v>11000000</v>
      </c>
      <c r="M37" s="35">
        <f>SUM(M33:M36)</f>
        <v>33000000</v>
      </c>
      <c r="N37" s="44">
        <f t="shared" ref="N37:P37" si="26">SUM(N33:N36)</f>
        <v>11000000</v>
      </c>
      <c r="O37" s="44">
        <f t="shared" si="26"/>
        <v>11000000</v>
      </c>
      <c r="P37" s="44">
        <f t="shared" si="26"/>
        <v>11000000</v>
      </c>
      <c r="Q37" s="35">
        <f>SUM(Q33:Q36)</f>
        <v>33000000</v>
      </c>
      <c r="R37" s="44">
        <f t="shared" ref="R37:T37" si="27">SUM(R33:R36)</f>
        <v>11000000</v>
      </c>
      <c r="S37" s="44">
        <f t="shared" si="27"/>
        <v>11000000</v>
      </c>
      <c r="T37" s="44">
        <f t="shared" si="27"/>
        <v>11000000</v>
      </c>
      <c r="U37" s="35">
        <f t="shared" ref="U37" si="28">SUM(U33:U36)</f>
        <v>33000000</v>
      </c>
      <c r="V37" s="35">
        <f t="shared" si="23"/>
        <v>132000000</v>
      </c>
    </row>
    <row r="38" spans="1:22" ht="13.15" outlineLevel="2">
      <c r="A38" s="22"/>
      <c r="B38" s="22"/>
      <c r="C38" s="23" t="s">
        <v>38</v>
      </c>
      <c r="D38" s="22"/>
      <c r="F38" s="43"/>
      <c r="G38" s="43"/>
      <c r="H38" s="43"/>
      <c r="I38" s="34"/>
      <c r="J38" s="43"/>
      <c r="K38" s="43"/>
      <c r="L38" s="43"/>
      <c r="M38" s="34"/>
      <c r="N38" s="43"/>
      <c r="O38" s="43"/>
      <c r="P38" s="43"/>
      <c r="Q38" s="34"/>
      <c r="R38" s="43"/>
      <c r="S38" s="43"/>
      <c r="T38" s="43"/>
      <c r="U38" s="34"/>
      <c r="V38" s="34"/>
    </row>
    <row r="39" spans="1:22" ht="13.15" outlineLevel="2">
      <c r="A39" s="22"/>
      <c r="B39" s="22"/>
      <c r="C39" s="22"/>
      <c r="D39" s="25" t="s">
        <v>30</v>
      </c>
      <c r="E39" s="7">
        <v>0</v>
      </c>
      <c r="F39" s="43">
        <v>300000</v>
      </c>
      <c r="G39" s="43">
        <v>300000</v>
      </c>
      <c r="H39" s="43">
        <v>300000</v>
      </c>
      <c r="I39" s="34">
        <f t="shared" ref="I39:I50" si="29">SUM(F39:H39)</f>
        <v>900000</v>
      </c>
      <c r="J39" s="43">
        <v>300000</v>
      </c>
      <c r="K39" s="43">
        <v>300000</v>
      </c>
      <c r="L39" s="43">
        <v>300000</v>
      </c>
      <c r="M39" s="34">
        <f t="shared" ref="M39:M50" si="30">SUM(J39:L39)</f>
        <v>900000</v>
      </c>
      <c r="N39" s="43">
        <v>300000</v>
      </c>
      <c r="O39" s="43">
        <v>300000</v>
      </c>
      <c r="P39" s="43">
        <v>300000</v>
      </c>
      <c r="Q39" s="34">
        <f t="shared" ref="Q39:Q50" si="31">SUM(N39:P39)</f>
        <v>900000</v>
      </c>
      <c r="R39" s="43">
        <v>300000</v>
      </c>
      <c r="S39" s="43">
        <v>300000</v>
      </c>
      <c r="T39" s="43">
        <v>300000</v>
      </c>
      <c r="U39" s="34">
        <f t="shared" ref="U39:U50" si="32">SUM(R39:T39)</f>
        <v>900000</v>
      </c>
      <c r="V39" s="34">
        <f t="shared" ref="V39:V53" si="33">I39+M39+Q39+U39</f>
        <v>3600000</v>
      </c>
    </row>
    <row r="40" spans="1:22" ht="13.15" outlineLevel="2">
      <c r="A40" s="22"/>
      <c r="B40" s="22"/>
      <c r="C40" s="22"/>
      <c r="D40" s="25" t="s">
        <v>31</v>
      </c>
      <c r="E40" s="7">
        <v>0</v>
      </c>
      <c r="F40" s="43">
        <v>300000</v>
      </c>
      <c r="G40" s="43">
        <v>300000</v>
      </c>
      <c r="H40" s="43">
        <v>300000</v>
      </c>
      <c r="I40" s="34">
        <f t="shared" si="29"/>
        <v>900000</v>
      </c>
      <c r="J40" s="43">
        <v>300000</v>
      </c>
      <c r="K40" s="43">
        <v>300000</v>
      </c>
      <c r="L40" s="43">
        <v>300000</v>
      </c>
      <c r="M40" s="34">
        <f t="shared" si="30"/>
        <v>900000</v>
      </c>
      <c r="N40" s="43">
        <v>300000</v>
      </c>
      <c r="O40" s="43">
        <v>300000</v>
      </c>
      <c r="P40" s="43">
        <v>300000</v>
      </c>
      <c r="Q40" s="34">
        <f t="shared" si="31"/>
        <v>900000</v>
      </c>
      <c r="R40" s="43">
        <v>300000</v>
      </c>
      <c r="S40" s="43">
        <v>300000</v>
      </c>
      <c r="T40" s="43">
        <v>300000</v>
      </c>
      <c r="U40" s="34">
        <f t="shared" si="32"/>
        <v>900000</v>
      </c>
      <c r="V40" s="34">
        <f t="shared" si="33"/>
        <v>3600000</v>
      </c>
    </row>
    <row r="41" spans="1:22" ht="13.15" outlineLevel="2">
      <c r="A41" s="22"/>
      <c r="B41" s="22"/>
      <c r="C41" s="22"/>
      <c r="D41" s="25" t="s">
        <v>32</v>
      </c>
      <c r="E41" s="7">
        <v>0</v>
      </c>
      <c r="F41" s="43">
        <v>100000</v>
      </c>
      <c r="G41" s="43">
        <v>100000</v>
      </c>
      <c r="H41" s="43">
        <v>100000</v>
      </c>
      <c r="I41" s="34">
        <f t="shared" si="29"/>
        <v>300000</v>
      </c>
      <c r="J41" s="43">
        <v>100000</v>
      </c>
      <c r="K41" s="43">
        <v>100000</v>
      </c>
      <c r="L41" s="43">
        <v>100000</v>
      </c>
      <c r="M41" s="34">
        <f t="shared" si="30"/>
        <v>300000</v>
      </c>
      <c r="N41" s="43">
        <v>100000</v>
      </c>
      <c r="O41" s="43">
        <v>100000</v>
      </c>
      <c r="P41" s="43">
        <v>100000</v>
      </c>
      <c r="Q41" s="34">
        <f t="shared" si="31"/>
        <v>300000</v>
      </c>
      <c r="R41" s="43">
        <v>100000</v>
      </c>
      <c r="S41" s="43">
        <v>100000</v>
      </c>
      <c r="T41" s="43">
        <v>100000</v>
      </c>
      <c r="U41" s="34">
        <f t="shared" si="32"/>
        <v>300000</v>
      </c>
      <c r="V41" s="34">
        <f t="shared" si="33"/>
        <v>1200000</v>
      </c>
    </row>
    <row r="42" spans="1:22" ht="13.15" outlineLevel="2">
      <c r="A42" s="22"/>
      <c r="B42" s="22"/>
      <c r="C42" s="22"/>
      <c r="D42" s="25" t="s">
        <v>98</v>
      </c>
      <c r="E42" s="7">
        <v>0</v>
      </c>
      <c r="F42" s="43">
        <v>54000</v>
      </c>
      <c r="G42" s="43">
        <v>54000</v>
      </c>
      <c r="H42" s="43">
        <v>54000</v>
      </c>
      <c r="I42" s="34">
        <f t="shared" si="29"/>
        <v>162000</v>
      </c>
      <c r="J42" s="43">
        <v>54000</v>
      </c>
      <c r="K42" s="43">
        <v>54000</v>
      </c>
      <c r="L42" s="43">
        <v>54000</v>
      </c>
      <c r="M42" s="34">
        <f t="shared" si="30"/>
        <v>162000</v>
      </c>
      <c r="N42" s="43">
        <v>54000</v>
      </c>
      <c r="O42" s="43">
        <v>54000</v>
      </c>
      <c r="P42" s="43">
        <v>54000</v>
      </c>
      <c r="Q42" s="34">
        <f t="shared" si="31"/>
        <v>162000</v>
      </c>
      <c r="R42" s="43">
        <v>54000</v>
      </c>
      <c r="S42" s="43">
        <v>54000</v>
      </c>
      <c r="T42" s="43">
        <v>54000</v>
      </c>
      <c r="U42" s="34">
        <f t="shared" si="32"/>
        <v>162000</v>
      </c>
      <c r="V42" s="34">
        <f t="shared" si="33"/>
        <v>648000</v>
      </c>
    </row>
    <row r="43" spans="1:22" ht="13.15" outlineLevel="2">
      <c r="A43" s="22"/>
      <c r="B43" s="22"/>
      <c r="C43" s="22"/>
      <c r="D43" s="25" t="s">
        <v>56</v>
      </c>
      <c r="E43" s="7">
        <v>0</v>
      </c>
      <c r="F43" s="43">
        <v>24000</v>
      </c>
      <c r="G43" s="43">
        <v>24000</v>
      </c>
      <c r="H43" s="43">
        <v>24000</v>
      </c>
      <c r="I43" s="34">
        <f t="shared" si="29"/>
        <v>72000</v>
      </c>
      <c r="J43" s="43">
        <v>24000</v>
      </c>
      <c r="K43" s="43">
        <v>24000</v>
      </c>
      <c r="L43" s="43">
        <v>24000</v>
      </c>
      <c r="M43" s="34">
        <f t="shared" si="30"/>
        <v>72000</v>
      </c>
      <c r="N43" s="43">
        <v>24000</v>
      </c>
      <c r="O43" s="43">
        <v>24000</v>
      </c>
      <c r="P43" s="43">
        <v>24000</v>
      </c>
      <c r="Q43" s="34">
        <f t="shared" si="31"/>
        <v>72000</v>
      </c>
      <c r="R43" s="43">
        <v>24000</v>
      </c>
      <c r="S43" s="43">
        <v>24000</v>
      </c>
      <c r="T43" s="43">
        <v>24000</v>
      </c>
      <c r="U43" s="34">
        <f t="shared" si="32"/>
        <v>72000</v>
      </c>
      <c r="V43" s="34">
        <f t="shared" si="33"/>
        <v>288000</v>
      </c>
    </row>
    <row r="44" spans="1:22" ht="13.15" outlineLevel="2">
      <c r="A44" s="22"/>
      <c r="B44" s="22"/>
      <c r="C44" s="22"/>
      <c r="D44" s="25" t="s">
        <v>57</v>
      </c>
      <c r="F44" s="43">
        <v>616000</v>
      </c>
      <c r="G44" s="43">
        <v>600000</v>
      </c>
      <c r="H44" s="43">
        <v>600000</v>
      </c>
      <c r="I44" s="34">
        <f t="shared" si="29"/>
        <v>1816000</v>
      </c>
      <c r="J44" s="43">
        <v>600000</v>
      </c>
      <c r="K44" s="43">
        <v>600000</v>
      </c>
      <c r="L44" s="43">
        <v>600000</v>
      </c>
      <c r="M44" s="34">
        <f t="shared" si="30"/>
        <v>1800000</v>
      </c>
      <c r="N44" s="43">
        <v>600000</v>
      </c>
      <c r="O44" s="43">
        <v>600000</v>
      </c>
      <c r="P44" s="43">
        <v>600000</v>
      </c>
      <c r="Q44" s="34">
        <f t="shared" si="31"/>
        <v>1800000</v>
      </c>
      <c r="R44" s="43">
        <v>600000</v>
      </c>
      <c r="S44" s="43">
        <v>600000</v>
      </c>
      <c r="T44" s="43">
        <v>600000</v>
      </c>
      <c r="U44" s="34">
        <f t="shared" si="32"/>
        <v>1800000</v>
      </c>
      <c r="V44" s="34">
        <f t="shared" si="33"/>
        <v>7216000</v>
      </c>
    </row>
    <row r="45" spans="1:22" ht="13.15" outlineLevel="2">
      <c r="A45" s="22"/>
      <c r="B45" s="22"/>
      <c r="C45" s="22"/>
      <c r="D45" s="25" t="s">
        <v>54</v>
      </c>
      <c r="E45" s="7">
        <v>0</v>
      </c>
      <c r="F45" s="43"/>
      <c r="G45" s="43"/>
      <c r="H45" s="43"/>
      <c r="I45" s="34">
        <f t="shared" si="29"/>
        <v>0</v>
      </c>
      <c r="J45" s="43"/>
      <c r="K45" s="43"/>
      <c r="L45" s="43"/>
      <c r="M45" s="34">
        <f t="shared" si="30"/>
        <v>0</v>
      </c>
      <c r="N45" s="43"/>
      <c r="O45" s="43"/>
      <c r="P45" s="43"/>
      <c r="Q45" s="34">
        <f t="shared" si="31"/>
        <v>0</v>
      </c>
      <c r="R45" s="43"/>
      <c r="S45" s="43"/>
      <c r="T45" s="43"/>
      <c r="U45" s="34">
        <f t="shared" si="32"/>
        <v>0</v>
      </c>
      <c r="V45" s="34">
        <f t="shared" si="33"/>
        <v>0</v>
      </c>
    </row>
    <row r="46" spans="1:22" ht="13.15" outlineLevel="2">
      <c r="A46" s="22"/>
      <c r="B46" s="22"/>
      <c r="C46" s="22"/>
      <c r="D46" s="25" t="s">
        <v>34</v>
      </c>
      <c r="E46" s="7">
        <v>0</v>
      </c>
      <c r="F46" s="43"/>
      <c r="G46" s="43"/>
      <c r="H46" s="43"/>
      <c r="I46" s="34">
        <f t="shared" si="29"/>
        <v>0</v>
      </c>
      <c r="J46" s="43"/>
      <c r="K46" s="43"/>
      <c r="L46" s="43"/>
      <c r="M46" s="34">
        <f t="shared" si="30"/>
        <v>0</v>
      </c>
      <c r="N46" s="43"/>
      <c r="O46" s="43"/>
      <c r="P46" s="43"/>
      <c r="Q46" s="34">
        <f t="shared" si="31"/>
        <v>0</v>
      </c>
      <c r="R46" s="43"/>
      <c r="S46" s="43"/>
      <c r="T46" s="43"/>
      <c r="U46" s="34">
        <f t="shared" si="32"/>
        <v>0</v>
      </c>
      <c r="V46" s="34">
        <f t="shared" si="33"/>
        <v>0</v>
      </c>
    </row>
    <row r="47" spans="1:22" ht="13.15" outlineLevel="2">
      <c r="A47" s="22"/>
      <c r="B47" s="22"/>
      <c r="C47" s="22"/>
      <c r="D47" s="25" t="s">
        <v>65</v>
      </c>
      <c r="E47" s="7">
        <v>0</v>
      </c>
      <c r="F47" s="43"/>
      <c r="G47" s="43"/>
      <c r="H47" s="43"/>
      <c r="I47" s="34">
        <f t="shared" si="29"/>
        <v>0</v>
      </c>
      <c r="J47" s="43"/>
      <c r="K47" s="43"/>
      <c r="L47" s="43"/>
      <c r="M47" s="34">
        <f t="shared" si="30"/>
        <v>0</v>
      </c>
      <c r="N47" s="43"/>
      <c r="O47" s="43"/>
      <c r="P47" s="43"/>
      <c r="Q47" s="34">
        <f t="shared" si="31"/>
        <v>0</v>
      </c>
      <c r="R47" s="43"/>
      <c r="S47" s="43"/>
      <c r="T47" s="43"/>
      <c r="U47" s="34">
        <f t="shared" si="32"/>
        <v>0</v>
      </c>
      <c r="V47" s="34">
        <f t="shared" si="33"/>
        <v>0</v>
      </c>
    </row>
    <row r="48" spans="1:22" ht="13.15" outlineLevel="2">
      <c r="A48" s="22"/>
      <c r="B48" s="22"/>
      <c r="C48" s="22"/>
      <c r="D48" s="25" t="s">
        <v>64</v>
      </c>
      <c r="E48" s="7">
        <v>0</v>
      </c>
      <c r="F48" s="43"/>
      <c r="G48" s="43"/>
      <c r="H48" s="43"/>
      <c r="I48" s="34">
        <f t="shared" si="29"/>
        <v>0</v>
      </c>
      <c r="J48" s="43"/>
      <c r="K48" s="43"/>
      <c r="L48" s="43"/>
      <c r="M48" s="34">
        <f t="shared" si="30"/>
        <v>0</v>
      </c>
      <c r="N48" s="43"/>
      <c r="O48" s="43"/>
      <c r="P48" s="43"/>
      <c r="Q48" s="34">
        <f t="shared" si="31"/>
        <v>0</v>
      </c>
      <c r="R48" s="43"/>
      <c r="S48" s="43"/>
      <c r="T48" s="43"/>
      <c r="U48" s="34">
        <f t="shared" si="32"/>
        <v>0</v>
      </c>
      <c r="V48" s="34">
        <f t="shared" si="33"/>
        <v>0</v>
      </c>
    </row>
    <row r="49" spans="1:22" ht="13.15" outlineLevel="2">
      <c r="A49" s="22"/>
      <c r="B49" s="22"/>
      <c r="C49" s="22"/>
      <c r="D49" s="25" t="s">
        <v>112</v>
      </c>
      <c r="F49" s="43">
        <v>65000</v>
      </c>
      <c r="G49" s="43">
        <v>65000</v>
      </c>
      <c r="H49" s="43">
        <v>65000</v>
      </c>
      <c r="I49" s="34">
        <f t="shared" si="29"/>
        <v>195000</v>
      </c>
      <c r="J49" s="43">
        <v>65000</v>
      </c>
      <c r="K49" s="43">
        <v>65000</v>
      </c>
      <c r="L49" s="43">
        <v>65000</v>
      </c>
      <c r="M49" s="34">
        <f t="shared" si="30"/>
        <v>195000</v>
      </c>
      <c r="N49" s="43">
        <v>65000</v>
      </c>
      <c r="O49" s="43">
        <v>65000</v>
      </c>
      <c r="P49" s="43">
        <v>65000</v>
      </c>
      <c r="Q49" s="34">
        <f t="shared" si="31"/>
        <v>195000</v>
      </c>
      <c r="R49" s="43">
        <v>65000</v>
      </c>
      <c r="S49" s="43">
        <v>65000</v>
      </c>
      <c r="T49" s="43">
        <v>65000</v>
      </c>
      <c r="U49" s="34">
        <f t="shared" si="32"/>
        <v>195000</v>
      </c>
      <c r="V49" s="34">
        <f t="shared" si="33"/>
        <v>780000</v>
      </c>
    </row>
    <row r="50" spans="1:22" ht="13.15" outlineLevel="2">
      <c r="A50" s="22"/>
      <c r="B50" s="22"/>
      <c r="C50" s="22"/>
      <c r="D50" s="25" t="s">
        <v>119</v>
      </c>
      <c r="F50" s="43">
        <v>60000</v>
      </c>
      <c r="G50" s="43">
        <v>60000</v>
      </c>
      <c r="H50" s="43">
        <v>60000</v>
      </c>
      <c r="I50" s="34">
        <f t="shared" si="29"/>
        <v>180000</v>
      </c>
      <c r="J50" s="43">
        <v>60000</v>
      </c>
      <c r="K50" s="43">
        <v>60000</v>
      </c>
      <c r="L50" s="43">
        <v>60000</v>
      </c>
      <c r="M50" s="34">
        <f t="shared" si="30"/>
        <v>180000</v>
      </c>
      <c r="N50" s="43">
        <v>60000</v>
      </c>
      <c r="O50" s="43">
        <v>60000</v>
      </c>
      <c r="P50" s="43">
        <v>60000</v>
      </c>
      <c r="Q50" s="34">
        <f t="shared" si="31"/>
        <v>180000</v>
      </c>
      <c r="R50" s="43">
        <v>60000</v>
      </c>
      <c r="S50" s="43">
        <v>60000</v>
      </c>
      <c r="T50" s="43">
        <v>60000</v>
      </c>
      <c r="U50" s="34">
        <f t="shared" si="32"/>
        <v>180000</v>
      </c>
      <c r="V50" s="34">
        <f t="shared" si="33"/>
        <v>720000</v>
      </c>
    </row>
    <row r="51" spans="1:22" ht="13.15" outlineLevel="1">
      <c r="A51" s="24"/>
      <c r="B51" s="24" t="s">
        <v>1</v>
      </c>
      <c r="C51" s="24"/>
      <c r="D51" s="24"/>
      <c r="E51" s="8"/>
      <c r="F51" s="44">
        <f t="shared" ref="F51:G51" si="34">SUM(F39:F50)</f>
        <v>1519000</v>
      </c>
      <c r="G51" s="44">
        <f t="shared" si="34"/>
        <v>1503000</v>
      </c>
      <c r="H51" s="44">
        <f t="shared" ref="H51" si="35">SUM(H39:H50)</f>
        <v>1503000</v>
      </c>
      <c r="I51" s="35">
        <f>SUM(I39:I50)</f>
        <v>4525000</v>
      </c>
      <c r="J51" s="44">
        <f t="shared" ref="J51:L51" si="36">SUM(J39:J50)</f>
        <v>1503000</v>
      </c>
      <c r="K51" s="44">
        <f t="shared" si="36"/>
        <v>1503000</v>
      </c>
      <c r="L51" s="44">
        <f t="shared" si="36"/>
        <v>1503000</v>
      </c>
      <c r="M51" s="35">
        <f>SUM(M39:M50)</f>
        <v>4509000</v>
      </c>
      <c r="N51" s="44">
        <f t="shared" ref="N51:P51" si="37">SUM(N39:N50)</f>
        <v>1503000</v>
      </c>
      <c r="O51" s="44">
        <f t="shared" si="37"/>
        <v>1503000</v>
      </c>
      <c r="P51" s="44">
        <f t="shared" si="37"/>
        <v>1503000</v>
      </c>
      <c r="Q51" s="35">
        <f>SUM(Q39:Q50)</f>
        <v>4509000</v>
      </c>
      <c r="R51" s="44">
        <f t="shared" ref="R51:T51" si="38">SUM(R39:R50)</f>
        <v>1503000</v>
      </c>
      <c r="S51" s="44">
        <f t="shared" si="38"/>
        <v>1503000</v>
      </c>
      <c r="T51" s="44">
        <f t="shared" si="38"/>
        <v>1503000</v>
      </c>
      <c r="U51" s="35">
        <f t="shared" ref="U51" si="39">SUM(U39:U50)</f>
        <v>4509000</v>
      </c>
      <c r="V51" s="35">
        <f t="shared" si="33"/>
        <v>18052000</v>
      </c>
    </row>
    <row r="52" spans="1:22" ht="13.15" outlineLevel="1">
      <c r="A52" s="24"/>
      <c r="B52" s="24" t="s">
        <v>2</v>
      </c>
      <c r="C52" s="24"/>
      <c r="D52" s="24"/>
      <c r="E52" s="8"/>
      <c r="F52" s="44">
        <f>F37+F51</f>
        <v>12519000</v>
      </c>
      <c r="G52" s="44">
        <f>G37+G51</f>
        <v>12503000</v>
      </c>
      <c r="H52" s="44">
        <f>H37+H51</f>
        <v>12503000</v>
      </c>
      <c r="I52" s="35">
        <f>I51+I37</f>
        <v>37525000</v>
      </c>
      <c r="J52" s="44">
        <f>J37+J51</f>
        <v>12503000</v>
      </c>
      <c r="K52" s="44">
        <f>K37+K51</f>
        <v>12503000</v>
      </c>
      <c r="L52" s="44">
        <f>L37+L51</f>
        <v>12503000</v>
      </c>
      <c r="M52" s="35">
        <f>M51+M37</f>
        <v>37509000</v>
      </c>
      <c r="N52" s="44">
        <f>N37+N51</f>
        <v>12503000</v>
      </c>
      <c r="O52" s="44">
        <f>O37+O51</f>
        <v>12503000</v>
      </c>
      <c r="P52" s="44">
        <f>P37+P51</f>
        <v>12503000</v>
      </c>
      <c r="Q52" s="35">
        <f>Q51+Q37</f>
        <v>37509000</v>
      </c>
      <c r="R52" s="44">
        <f>R37+R51</f>
        <v>12503000</v>
      </c>
      <c r="S52" s="44">
        <f>S37+S51</f>
        <v>12503000</v>
      </c>
      <c r="T52" s="44">
        <f>T37+T51</f>
        <v>12503000</v>
      </c>
      <c r="U52" s="35">
        <f>U51+U37</f>
        <v>37509000</v>
      </c>
      <c r="V52" s="35">
        <f t="shared" si="33"/>
        <v>150052000</v>
      </c>
    </row>
    <row r="53" spans="1:22" s="4" customFormat="1" ht="13.15" outlineLevel="1">
      <c r="A53" s="24"/>
      <c r="B53" s="24" t="s">
        <v>3</v>
      </c>
      <c r="C53" s="24"/>
      <c r="D53" s="24"/>
      <c r="E53" s="8">
        <v>0</v>
      </c>
      <c r="F53" s="44">
        <v>0</v>
      </c>
      <c r="G53" s="44">
        <v>0</v>
      </c>
      <c r="H53" s="44">
        <v>0</v>
      </c>
      <c r="I53" s="35">
        <v>0</v>
      </c>
      <c r="J53" s="44">
        <v>0</v>
      </c>
      <c r="K53" s="44">
        <v>0</v>
      </c>
      <c r="L53" s="44">
        <v>0</v>
      </c>
      <c r="M53" s="35">
        <v>0</v>
      </c>
      <c r="N53" s="44">
        <v>0</v>
      </c>
      <c r="O53" s="44">
        <v>0</v>
      </c>
      <c r="P53" s="44">
        <v>0</v>
      </c>
      <c r="Q53" s="35">
        <v>0</v>
      </c>
      <c r="R53" s="44">
        <v>0</v>
      </c>
      <c r="S53" s="44">
        <v>0</v>
      </c>
      <c r="T53" s="44">
        <v>0</v>
      </c>
      <c r="U53" s="35">
        <v>0</v>
      </c>
      <c r="V53" s="35">
        <f t="shared" si="33"/>
        <v>0</v>
      </c>
    </row>
    <row r="54" spans="1:22" ht="13.15" outlineLevel="2">
      <c r="A54" s="22"/>
      <c r="B54" s="23" t="s">
        <v>39</v>
      </c>
      <c r="C54" s="22"/>
      <c r="D54" s="22"/>
      <c r="F54" s="43"/>
      <c r="G54" s="43"/>
      <c r="H54" s="43"/>
      <c r="I54" s="34"/>
      <c r="J54" s="43"/>
      <c r="K54" s="43"/>
      <c r="L54" s="43"/>
      <c r="M54" s="34"/>
      <c r="N54" s="43"/>
      <c r="O54" s="43"/>
      <c r="P54" s="43"/>
      <c r="Q54" s="34"/>
      <c r="R54" s="43"/>
      <c r="S54" s="43"/>
      <c r="T54" s="43"/>
      <c r="U54" s="34"/>
      <c r="V54" s="34"/>
    </row>
    <row r="55" spans="1:22" ht="13.15" outlineLevel="2">
      <c r="A55" s="22"/>
      <c r="B55" s="22"/>
      <c r="C55" s="25" t="s">
        <v>58</v>
      </c>
      <c r="D55" s="22"/>
      <c r="E55" s="7">
        <v>0</v>
      </c>
      <c r="F55" s="43"/>
      <c r="G55" s="43"/>
      <c r="H55" s="43"/>
      <c r="I55" s="34">
        <f t="shared" ref="I55:I65" si="40">SUM(F55:H55)</f>
        <v>0</v>
      </c>
      <c r="J55" s="43"/>
      <c r="K55" s="43"/>
      <c r="L55" s="43"/>
      <c r="M55" s="34">
        <f t="shared" ref="M55:M65" si="41">SUM(J55:L55)</f>
        <v>0</v>
      </c>
      <c r="N55" s="43"/>
      <c r="O55" s="43"/>
      <c r="P55" s="43"/>
      <c r="Q55" s="34">
        <f t="shared" ref="Q55:Q65" si="42">SUM(N55:P55)</f>
        <v>0</v>
      </c>
      <c r="R55" s="43"/>
      <c r="S55" s="43"/>
      <c r="T55" s="43"/>
      <c r="U55" s="34">
        <f t="shared" ref="U55:U65" si="43">SUM(R55:T55)</f>
        <v>0</v>
      </c>
      <c r="V55" s="34">
        <f t="shared" ref="V55:V66" si="44">I55+M55+Q55+U55</f>
        <v>0</v>
      </c>
    </row>
    <row r="56" spans="1:22" ht="13.15" outlineLevel="2">
      <c r="A56" s="22"/>
      <c r="B56" s="22"/>
      <c r="C56" s="25" t="s">
        <v>59</v>
      </c>
      <c r="D56" s="22"/>
      <c r="F56" s="43">
        <v>74000</v>
      </c>
      <c r="G56" s="43">
        <v>74000</v>
      </c>
      <c r="H56" s="43">
        <v>74000</v>
      </c>
      <c r="I56" s="34">
        <f t="shared" si="40"/>
        <v>222000</v>
      </c>
      <c r="J56" s="43">
        <v>74000</v>
      </c>
      <c r="K56" s="43">
        <v>74000</v>
      </c>
      <c r="L56" s="43">
        <v>74000</v>
      </c>
      <c r="M56" s="34">
        <f t="shared" si="41"/>
        <v>222000</v>
      </c>
      <c r="N56" s="43">
        <v>74000</v>
      </c>
      <c r="O56" s="43">
        <v>74000</v>
      </c>
      <c r="P56" s="43">
        <v>74000</v>
      </c>
      <c r="Q56" s="34">
        <f t="shared" si="42"/>
        <v>222000</v>
      </c>
      <c r="R56" s="43">
        <v>74000</v>
      </c>
      <c r="S56" s="43">
        <v>74000</v>
      </c>
      <c r="T56" s="43">
        <v>74000</v>
      </c>
      <c r="U56" s="34">
        <f t="shared" si="43"/>
        <v>222000</v>
      </c>
      <c r="V56" s="34">
        <f t="shared" si="44"/>
        <v>888000</v>
      </c>
    </row>
    <row r="57" spans="1:22" ht="13.15" outlineLevel="2">
      <c r="A57" s="22"/>
      <c r="B57" s="22"/>
      <c r="C57" s="25" t="s">
        <v>60</v>
      </c>
      <c r="D57" s="22"/>
      <c r="F57" s="43"/>
      <c r="G57" s="43"/>
      <c r="H57" s="43"/>
      <c r="I57" s="34">
        <f t="shared" si="40"/>
        <v>0</v>
      </c>
      <c r="J57" s="43"/>
      <c r="K57" s="43"/>
      <c r="L57" s="43"/>
      <c r="M57" s="34">
        <f t="shared" si="41"/>
        <v>0</v>
      </c>
      <c r="N57" s="43"/>
      <c r="O57" s="43"/>
      <c r="P57" s="43"/>
      <c r="Q57" s="34">
        <f t="shared" si="42"/>
        <v>0</v>
      </c>
      <c r="R57" s="43"/>
      <c r="S57" s="43"/>
      <c r="T57" s="43"/>
      <c r="U57" s="34">
        <f t="shared" si="43"/>
        <v>0</v>
      </c>
      <c r="V57" s="34">
        <f t="shared" si="44"/>
        <v>0</v>
      </c>
    </row>
    <row r="58" spans="1:22" ht="13.15" outlineLevel="2">
      <c r="A58" s="22"/>
      <c r="B58" s="22"/>
      <c r="C58" s="25" t="s">
        <v>61</v>
      </c>
      <c r="D58" s="22"/>
      <c r="F58" s="43">
        <v>155000</v>
      </c>
      <c r="G58" s="43">
        <v>155000</v>
      </c>
      <c r="H58" s="43">
        <v>155000</v>
      </c>
      <c r="I58" s="34">
        <f t="shared" si="40"/>
        <v>465000</v>
      </c>
      <c r="J58" s="43">
        <v>155000</v>
      </c>
      <c r="K58" s="43">
        <v>155000</v>
      </c>
      <c r="L58" s="43">
        <v>155000</v>
      </c>
      <c r="M58" s="34">
        <f t="shared" si="41"/>
        <v>465000</v>
      </c>
      <c r="N58" s="43">
        <v>155000</v>
      </c>
      <c r="O58" s="43">
        <v>155000</v>
      </c>
      <c r="P58" s="43">
        <v>155000</v>
      </c>
      <c r="Q58" s="34">
        <f t="shared" si="42"/>
        <v>465000</v>
      </c>
      <c r="R58" s="43">
        <v>155000</v>
      </c>
      <c r="S58" s="43">
        <v>155000</v>
      </c>
      <c r="T58" s="43">
        <v>155000</v>
      </c>
      <c r="U58" s="34">
        <f t="shared" si="43"/>
        <v>465000</v>
      </c>
      <c r="V58" s="34">
        <f t="shared" si="44"/>
        <v>1860000</v>
      </c>
    </row>
    <row r="59" spans="1:22" ht="13.15" outlineLevel="2">
      <c r="A59" s="22"/>
      <c r="B59" s="22"/>
      <c r="C59" s="25" t="s">
        <v>62</v>
      </c>
      <c r="D59" s="22"/>
      <c r="F59" s="43">
        <v>114000</v>
      </c>
      <c r="G59" s="43">
        <v>114000</v>
      </c>
      <c r="H59" s="43">
        <v>114000</v>
      </c>
      <c r="I59" s="34">
        <f t="shared" si="40"/>
        <v>342000</v>
      </c>
      <c r="J59" s="43">
        <v>114000</v>
      </c>
      <c r="K59" s="43">
        <v>114000</v>
      </c>
      <c r="L59" s="43">
        <v>114000</v>
      </c>
      <c r="M59" s="34">
        <f t="shared" si="41"/>
        <v>342000</v>
      </c>
      <c r="N59" s="43">
        <v>114000</v>
      </c>
      <c r="O59" s="43">
        <v>114000</v>
      </c>
      <c r="P59" s="43">
        <v>114000</v>
      </c>
      <c r="Q59" s="34">
        <f t="shared" si="42"/>
        <v>342000</v>
      </c>
      <c r="R59" s="43">
        <v>114000</v>
      </c>
      <c r="S59" s="43">
        <v>114000</v>
      </c>
      <c r="T59" s="43">
        <v>114000</v>
      </c>
      <c r="U59" s="34">
        <f t="shared" si="43"/>
        <v>342000</v>
      </c>
      <c r="V59" s="34">
        <f t="shared" si="44"/>
        <v>1368000</v>
      </c>
    </row>
    <row r="60" spans="1:22" ht="13.15" outlineLevel="2">
      <c r="A60" s="22"/>
      <c r="B60" s="22"/>
      <c r="C60" s="25" t="s">
        <v>118</v>
      </c>
      <c r="D60" s="22"/>
      <c r="F60" s="43"/>
      <c r="G60" s="43"/>
      <c r="H60" s="43"/>
      <c r="I60" s="34">
        <f t="shared" si="40"/>
        <v>0</v>
      </c>
      <c r="J60" s="43"/>
      <c r="K60" s="43"/>
      <c r="L60" s="43"/>
      <c r="M60" s="34">
        <f t="shared" si="41"/>
        <v>0</v>
      </c>
      <c r="N60" s="43"/>
      <c r="O60" s="43"/>
      <c r="P60" s="43"/>
      <c r="Q60" s="34">
        <f t="shared" si="42"/>
        <v>0</v>
      </c>
      <c r="R60" s="43"/>
      <c r="S60" s="43"/>
      <c r="T60" s="43"/>
      <c r="U60" s="34">
        <f t="shared" si="43"/>
        <v>0</v>
      </c>
      <c r="V60" s="34">
        <f t="shared" si="44"/>
        <v>0</v>
      </c>
    </row>
    <row r="61" spans="1:22" ht="13.15" outlineLevel="2">
      <c r="A61" s="22"/>
      <c r="B61" s="22"/>
      <c r="C61" s="25" t="s">
        <v>157</v>
      </c>
      <c r="D61" s="22"/>
      <c r="F61" s="43"/>
      <c r="G61" s="43"/>
      <c r="H61" s="43"/>
      <c r="I61" s="34">
        <f t="shared" si="40"/>
        <v>0</v>
      </c>
      <c r="J61" s="43"/>
      <c r="K61" s="43"/>
      <c r="L61" s="43"/>
      <c r="M61" s="34">
        <f t="shared" si="41"/>
        <v>0</v>
      </c>
      <c r="N61" s="43"/>
      <c r="O61" s="43"/>
      <c r="P61" s="43"/>
      <c r="Q61" s="34">
        <f t="shared" si="42"/>
        <v>0</v>
      </c>
      <c r="R61" s="43"/>
      <c r="S61" s="43"/>
      <c r="T61" s="43"/>
      <c r="U61" s="34">
        <f t="shared" si="43"/>
        <v>0</v>
      </c>
      <c r="V61" s="34">
        <f t="shared" si="44"/>
        <v>0</v>
      </c>
    </row>
    <row r="62" spans="1:22" ht="13.15" outlineLevel="2">
      <c r="A62" s="22"/>
      <c r="B62" s="22"/>
      <c r="C62" s="25" t="s">
        <v>28</v>
      </c>
      <c r="D62" s="22"/>
      <c r="E62" s="7">
        <v>0</v>
      </c>
      <c r="F62" s="43"/>
      <c r="G62" s="43"/>
      <c r="H62" s="43"/>
      <c r="I62" s="34">
        <f t="shared" si="40"/>
        <v>0</v>
      </c>
      <c r="J62" s="43"/>
      <c r="K62" s="43"/>
      <c r="L62" s="43"/>
      <c r="M62" s="34">
        <f t="shared" si="41"/>
        <v>0</v>
      </c>
      <c r="N62" s="43"/>
      <c r="O62" s="43"/>
      <c r="P62" s="43"/>
      <c r="Q62" s="34">
        <f t="shared" si="42"/>
        <v>0</v>
      </c>
      <c r="R62" s="43"/>
      <c r="S62" s="43"/>
      <c r="T62" s="43"/>
      <c r="U62" s="34">
        <f t="shared" si="43"/>
        <v>0</v>
      </c>
      <c r="V62" s="34">
        <f t="shared" si="44"/>
        <v>0</v>
      </c>
    </row>
    <row r="63" spans="1:22" ht="13.15" outlineLevel="2">
      <c r="A63" s="22"/>
      <c r="B63" s="22"/>
      <c r="C63" s="25" t="s">
        <v>35</v>
      </c>
      <c r="D63" s="22"/>
      <c r="E63" s="7">
        <v>0</v>
      </c>
      <c r="F63" s="43">
        <v>724000</v>
      </c>
      <c r="G63" s="43">
        <v>724000</v>
      </c>
      <c r="H63" s="43">
        <v>724000</v>
      </c>
      <c r="I63" s="34">
        <f t="shared" si="40"/>
        <v>2172000</v>
      </c>
      <c r="J63" s="43">
        <v>724000</v>
      </c>
      <c r="K63" s="43">
        <v>724000</v>
      </c>
      <c r="L63" s="43">
        <v>724000</v>
      </c>
      <c r="M63" s="34">
        <f t="shared" si="41"/>
        <v>2172000</v>
      </c>
      <c r="N63" s="43">
        <v>724000</v>
      </c>
      <c r="O63" s="43">
        <v>724000</v>
      </c>
      <c r="P63" s="43">
        <v>724000</v>
      </c>
      <c r="Q63" s="34">
        <f t="shared" si="42"/>
        <v>2172000</v>
      </c>
      <c r="R63" s="43">
        <v>724000</v>
      </c>
      <c r="S63" s="43">
        <v>724000</v>
      </c>
      <c r="T63" s="43">
        <v>724000</v>
      </c>
      <c r="U63" s="34">
        <f t="shared" si="43"/>
        <v>2172000</v>
      </c>
      <c r="V63" s="34">
        <f t="shared" si="44"/>
        <v>8688000</v>
      </c>
    </row>
    <row r="64" spans="1:22" ht="13.15" outlineLevel="2">
      <c r="A64" s="22"/>
      <c r="B64" s="22"/>
      <c r="C64" s="25" t="s">
        <v>52</v>
      </c>
      <c r="D64" s="22"/>
      <c r="E64" s="7">
        <v>0</v>
      </c>
      <c r="F64" s="43">
        <v>79000</v>
      </c>
      <c r="G64" s="43">
        <v>100000</v>
      </c>
      <c r="H64" s="43">
        <v>100000</v>
      </c>
      <c r="I64" s="34">
        <f t="shared" si="40"/>
        <v>279000</v>
      </c>
      <c r="J64" s="43">
        <v>100000</v>
      </c>
      <c r="K64" s="43">
        <v>100000</v>
      </c>
      <c r="L64" s="43">
        <v>100000</v>
      </c>
      <c r="M64" s="34">
        <f t="shared" si="41"/>
        <v>300000</v>
      </c>
      <c r="N64" s="43">
        <v>100000</v>
      </c>
      <c r="O64" s="43">
        <v>100000</v>
      </c>
      <c r="P64" s="43">
        <v>100000</v>
      </c>
      <c r="Q64" s="34">
        <f t="shared" si="42"/>
        <v>300000</v>
      </c>
      <c r="R64" s="43">
        <v>100000</v>
      </c>
      <c r="S64" s="43">
        <v>100000</v>
      </c>
      <c r="T64" s="43">
        <v>100000</v>
      </c>
      <c r="U64" s="34">
        <f t="shared" si="43"/>
        <v>300000</v>
      </c>
      <c r="V64" s="34">
        <f t="shared" si="44"/>
        <v>1179000</v>
      </c>
    </row>
    <row r="65" spans="1:22" ht="13.15" outlineLevel="2">
      <c r="A65" s="22"/>
      <c r="B65" s="22"/>
      <c r="C65" s="25" t="s">
        <v>36</v>
      </c>
      <c r="D65" s="22"/>
      <c r="E65" s="7">
        <v>0</v>
      </c>
      <c r="F65" s="43">
        <v>1486000</v>
      </c>
      <c r="G65" s="43">
        <v>700000</v>
      </c>
      <c r="H65" s="43">
        <v>700000</v>
      </c>
      <c r="I65" s="34">
        <f t="shared" si="40"/>
        <v>2886000</v>
      </c>
      <c r="J65" s="43">
        <v>700000</v>
      </c>
      <c r="K65" s="43">
        <v>700000</v>
      </c>
      <c r="L65" s="43">
        <v>700000</v>
      </c>
      <c r="M65" s="34">
        <f t="shared" si="41"/>
        <v>2100000</v>
      </c>
      <c r="N65" s="43">
        <v>700000</v>
      </c>
      <c r="O65" s="43">
        <v>700000</v>
      </c>
      <c r="P65" s="43">
        <v>700000</v>
      </c>
      <c r="Q65" s="34">
        <f t="shared" si="42"/>
        <v>2100000</v>
      </c>
      <c r="R65" s="43">
        <v>700000</v>
      </c>
      <c r="S65" s="43">
        <v>700000</v>
      </c>
      <c r="T65" s="43">
        <v>700000</v>
      </c>
      <c r="U65" s="34">
        <f t="shared" si="43"/>
        <v>2100000</v>
      </c>
      <c r="V65" s="34">
        <f t="shared" si="44"/>
        <v>9186000</v>
      </c>
    </row>
    <row r="66" spans="1:22" ht="13.15" outlineLevel="1">
      <c r="A66" s="24"/>
      <c r="B66" s="24" t="s">
        <v>4</v>
      </c>
      <c r="C66" s="24"/>
      <c r="D66" s="24"/>
      <c r="E66" s="8"/>
      <c r="F66" s="44">
        <f t="shared" ref="F66:G66" si="45">SUM(F55:F65)</f>
        <v>2632000</v>
      </c>
      <c r="G66" s="44">
        <f t="shared" si="45"/>
        <v>1867000</v>
      </c>
      <c r="H66" s="44">
        <f t="shared" ref="H66" si="46">SUM(H55:H65)</f>
        <v>1867000</v>
      </c>
      <c r="I66" s="35">
        <f>SUM(I55:I65)</f>
        <v>6366000</v>
      </c>
      <c r="J66" s="44">
        <f t="shared" ref="J66:L66" si="47">SUM(J55:J65)</f>
        <v>1867000</v>
      </c>
      <c r="K66" s="44">
        <f t="shared" si="47"/>
        <v>1867000</v>
      </c>
      <c r="L66" s="44">
        <f t="shared" si="47"/>
        <v>1867000</v>
      </c>
      <c r="M66" s="35">
        <f>SUM(M55:M65)</f>
        <v>5601000</v>
      </c>
      <c r="N66" s="44">
        <f t="shared" ref="N66:P66" si="48">SUM(N55:N65)</f>
        <v>1867000</v>
      </c>
      <c r="O66" s="44">
        <f t="shared" si="48"/>
        <v>1867000</v>
      </c>
      <c r="P66" s="44">
        <f t="shared" si="48"/>
        <v>1867000</v>
      </c>
      <c r="Q66" s="35">
        <f>SUM(Q55:Q65)</f>
        <v>5601000</v>
      </c>
      <c r="R66" s="44">
        <f t="shared" ref="R66:T66" si="49">SUM(R55:R65)</f>
        <v>1867000</v>
      </c>
      <c r="S66" s="44">
        <f t="shared" si="49"/>
        <v>1867000</v>
      </c>
      <c r="T66" s="44">
        <f t="shared" si="49"/>
        <v>1867000</v>
      </c>
      <c r="U66" s="35">
        <f t="shared" ref="U66" si="50">SUM(U55:U65)</f>
        <v>5601000</v>
      </c>
      <c r="V66" s="35">
        <f t="shared" si="44"/>
        <v>23169000</v>
      </c>
    </row>
    <row r="67" spans="1:22" ht="13.15" outlineLevel="2">
      <c r="A67" s="24"/>
      <c r="B67" s="26" t="s">
        <v>5</v>
      </c>
      <c r="C67" s="27"/>
      <c r="D67" s="27"/>
      <c r="E67" s="9"/>
      <c r="F67" s="129"/>
      <c r="G67" s="129"/>
      <c r="H67" s="129"/>
      <c r="I67" s="36"/>
      <c r="J67" s="129"/>
      <c r="K67" s="129"/>
      <c r="L67" s="129"/>
      <c r="M67" s="36"/>
      <c r="N67" s="129"/>
      <c r="O67" s="129"/>
      <c r="P67" s="129"/>
      <c r="Q67" s="36"/>
      <c r="R67" s="129"/>
      <c r="S67" s="129"/>
      <c r="T67" s="129"/>
      <c r="U67" s="36"/>
      <c r="V67" s="35" t="s">
        <v>86</v>
      </c>
    </row>
    <row r="68" spans="1:22" ht="13.15" outlineLevel="2">
      <c r="A68" s="24"/>
      <c r="B68" s="27"/>
      <c r="C68" s="28" t="s">
        <v>47</v>
      </c>
      <c r="D68" s="27"/>
      <c r="E68" s="9">
        <v>0</v>
      </c>
      <c r="F68" s="43"/>
      <c r="G68" s="43"/>
      <c r="H68" s="43"/>
      <c r="I68" s="34">
        <f>SUM(F68:H68)</f>
        <v>0</v>
      </c>
      <c r="J68" s="43"/>
      <c r="K68" s="43"/>
      <c r="L68" s="43"/>
      <c r="M68" s="34">
        <f>SUM(J68:L68)</f>
        <v>0</v>
      </c>
      <c r="N68" s="43"/>
      <c r="O68" s="43"/>
      <c r="P68" s="43"/>
      <c r="Q68" s="34">
        <f>SUM(N68:P68)</f>
        <v>0</v>
      </c>
      <c r="R68" s="43"/>
      <c r="S68" s="43"/>
      <c r="T68" s="43"/>
      <c r="U68" s="34">
        <f>SUM(R68:T68)</f>
        <v>0</v>
      </c>
      <c r="V68" s="34">
        <f>I68+M68+Q68+U68</f>
        <v>0</v>
      </c>
    </row>
    <row r="69" spans="1:22" ht="13.15" outlineLevel="2">
      <c r="A69" s="24"/>
      <c r="B69" s="27"/>
      <c r="C69" s="28" t="s">
        <v>48</v>
      </c>
      <c r="D69" s="27"/>
      <c r="E69" s="9">
        <v>0</v>
      </c>
      <c r="F69" s="43"/>
      <c r="G69" s="43"/>
      <c r="H69" s="43"/>
      <c r="I69" s="34">
        <f>SUM(F69:H69)</f>
        <v>0</v>
      </c>
      <c r="J69" s="43"/>
      <c r="K69" s="43"/>
      <c r="L69" s="43"/>
      <c r="M69" s="34">
        <f>SUM(J69:L69)</f>
        <v>0</v>
      </c>
      <c r="N69" s="43"/>
      <c r="O69" s="43"/>
      <c r="P69" s="43"/>
      <c r="Q69" s="34">
        <f>SUM(N69:P69)</f>
        <v>0</v>
      </c>
      <c r="R69" s="43"/>
      <c r="S69" s="43"/>
      <c r="T69" s="43"/>
      <c r="U69" s="34">
        <f>SUM(R69:T69)</f>
        <v>0</v>
      </c>
      <c r="V69" s="34">
        <f>I69+M69+Q69+U69</f>
        <v>0</v>
      </c>
    </row>
    <row r="70" spans="1:22" ht="13.15" outlineLevel="2">
      <c r="A70" s="24"/>
      <c r="B70" s="27"/>
      <c r="C70" s="28" t="s">
        <v>26</v>
      </c>
      <c r="D70" s="27"/>
      <c r="E70" s="9">
        <v>0</v>
      </c>
      <c r="F70" s="43"/>
      <c r="G70" s="43"/>
      <c r="H70" s="43"/>
      <c r="I70" s="34">
        <f>SUM(F70:H70)</f>
        <v>0</v>
      </c>
      <c r="J70" s="43"/>
      <c r="K70" s="43"/>
      <c r="L70" s="43"/>
      <c r="M70" s="34">
        <f>SUM(J70:L70)</f>
        <v>0</v>
      </c>
      <c r="N70" s="43"/>
      <c r="O70" s="43"/>
      <c r="P70" s="43"/>
      <c r="Q70" s="34">
        <f>SUM(N70:P70)</f>
        <v>0</v>
      </c>
      <c r="R70" s="43"/>
      <c r="S70" s="43"/>
      <c r="T70" s="43"/>
      <c r="U70" s="34">
        <f>SUM(R70:T70)</f>
        <v>0</v>
      </c>
      <c r="V70" s="34">
        <f>I70+M70+Q70+U70</f>
        <v>0</v>
      </c>
    </row>
    <row r="71" spans="1:22" ht="13.15" outlineLevel="1">
      <c r="A71" s="24"/>
      <c r="B71" s="29" t="s">
        <v>6</v>
      </c>
      <c r="C71" s="30"/>
      <c r="D71" s="30"/>
      <c r="E71" s="10"/>
      <c r="F71" s="45">
        <f>SUM(F68:F70)</f>
        <v>0</v>
      </c>
      <c r="G71" s="45">
        <f>SUM(G68:G70)</f>
        <v>0</v>
      </c>
      <c r="H71" s="45">
        <f>SUM(H68:H70)</f>
        <v>0</v>
      </c>
      <c r="I71" s="35">
        <f t="shared" ref="I71:Q71" si="51">SUM(I68:I70)</f>
        <v>0</v>
      </c>
      <c r="J71" s="45">
        <f>SUM(J68:J70)</f>
        <v>0</v>
      </c>
      <c r="K71" s="45">
        <f>SUM(K68:K70)</f>
        <v>0</v>
      </c>
      <c r="L71" s="45">
        <f>SUM(L68:L70)</f>
        <v>0</v>
      </c>
      <c r="M71" s="35">
        <f t="shared" si="51"/>
        <v>0</v>
      </c>
      <c r="N71" s="45">
        <f>SUM(N68:N70)</f>
        <v>0</v>
      </c>
      <c r="O71" s="45">
        <f>SUM(O68:O70)</f>
        <v>0</v>
      </c>
      <c r="P71" s="45">
        <f>SUM(P68:P70)</f>
        <v>0</v>
      </c>
      <c r="Q71" s="35">
        <f t="shared" si="51"/>
        <v>0</v>
      </c>
      <c r="R71" s="45">
        <f>SUM(R68:R70)</f>
        <v>0</v>
      </c>
      <c r="S71" s="45">
        <f>SUM(S68:S70)</f>
        <v>0</v>
      </c>
      <c r="T71" s="45">
        <f>SUM(T68:T70)</f>
        <v>0</v>
      </c>
      <c r="U71" s="35">
        <f t="shared" ref="U71" si="52">SUM(U68:U70)</f>
        <v>0</v>
      </c>
      <c r="V71" s="35">
        <f>I71+M71+Q71+U71</f>
        <v>0</v>
      </c>
    </row>
    <row r="72" spans="1:22" ht="13.15" outlineLevel="2">
      <c r="A72" s="24"/>
      <c r="B72" s="26" t="s">
        <v>7</v>
      </c>
      <c r="C72" s="27"/>
      <c r="D72" s="27"/>
      <c r="E72" s="9"/>
      <c r="F72" s="129"/>
      <c r="G72" s="129"/>
      <c r="H72" s="129"/>
      <c r="I72" s="36"/>
      <c r="J72" s="129"/>
      <c r="K72" s="129"/>
      <c r="L72" s="129"/>
      <c r="M72" s="36"/>
      <c r="N72" s="129"/>
      <c r="O72" s="129"/>
      <c r="P72" s="129"/>
      <c r="Q72" s="36"/>
      <c r="R72" s="129"/>
      <c r="S72" s="129"/>
      <c r="T72" s="129"/>
      <c r="U72" s="36"/>
      <c r="V72" s="36"/>
    </row>
    <row r="73" spans="1:22" ht="13.15" outlineLevel="2">
      <c r="A73" s="24"/>
      <c r="B73" s="27"/>
      <c r="C73" s="28" t="s">
        <v>40</v>
      </c>
      <c r="D73" s="27"/>
      <c r="E73" s="9">
        <v>0</v>
      </c>
      <c r="F73" s="43"/>
      <c r="G73" s="43"/>
      <c r="H73" s="43"/>
      <c r="I73" s="34">
        <f>SUM(F73:H73)</f>
        <v>0</v>
      </c>
      <c r="J73" s="43"/>
      <c r="K73" s="43"/>
      <c r="L73" s="43"/>
      <c r="M73" s="34">
        <f>SUM(J73:L73)</f>
        <v>0</v>
      </c>
      <c r="N73" s="43"/>
      <c r="O73" s="43"/>
      <c r="P73" s="43"/>
      <c r="Q73" s="34">
        <f>SUM(N73:P73)</f>
        <v>0</v>
      </c>
      <c r="R73" s="43"/>
      <c r="S73" s="43"/>
      <c r="T73" s="43"/>
      <c r="U73" s="34">
        <f>SUM(R73:T73)</f>
        <v>0</v>
      </c>
      <c r="V73" s="34">
        <f>I73+M73+Q73+U73</f>
        <v>0</v>
      </c>
    </row>
    <row r="74" spans="1:22" ht="13.15" outlineLevel="2">
      <c r="A74" s="24"/>
      <c r="B74" s="27"/>
      <c r="C74" s="27" t="s">
        <v>8</v>
      </c>
      <c r="D74" s="27"/>
      <c r="E74" s="9">
        <v>0</v>
      </c>
      <c r="F74" s="43"/>
      <c r="G74" s="43"/>
      <c r="H74" s="43"/>
      <c r="I74" s="34">
        <f>SUM(F74:H74)</f>
        <v>0</v>
      </c>
      <c r="J74" s="43"/>
      <c r="K74" s="43"/>
      <c r="L74" s="43"/>
      <c r="M74" s="34">
        <f>SUM(J74:L74)</f>
        <v>0</v>
      </c>
      <c r="N74" s="43"/>
      <c r="O74" s="43"/>
      <c r="P74" s="43"/>
      <c r="Q74" s="34">
        <f>SUM(N74:P74)</f>
        <v>0</v>
      </c>
      <c r="R74" s="43"/>
      <c r="S74" s="43"/>
      <c r="T74" s="43"/>
      <c r="U74" s="34">
        <f>SUM(R74:T74)</f>
        <v>0</v>
      </c>
      <c r="V74" s="34">
        <f>I74+M74+Q74+U74</f>
        <v>0</v>
      </c>
    </row>
    <row r="75" spans="1:22" ht="13.15" outlineLevel="2">
      <c r="A75" s="24"/>
      <c r="B75" s="27"/>
      <c r="C75" s="27" t="s">
        <v>9</v>
      </c>
      <c r="D75" s="27"/>
      <c r="E75" s="9">
        <v>0</v>
      </c>
      <c r="F75" s="43"/>
      <c r="G75" s="43"/>
      <c r="H75" s="43"/>
      <c r="I75" s="34">
        <f>SUM(F75:H75)</f>
        <v>0</v>
      </c>
      <c r="J75" s="43"/>
      <c r="K75" s="43"/>
      <c r="L75" s="43"/>
      <c r="M75" s="34">
        <f>SUM(J75:L75)</f>
        <v>0</v>
      </c>
      <c r="N75" s="43"/>
      <c r="O75" s="43"/>
      <c r="P75" s="43"/>
      <c r="Q75" s="34">
        <f>SUM(N75:P75)</f>
        <v>0</v>
      </c>
      <c r="R75" s="43"/>
      <c r="S75" s="43"/>
      <c r="T75" s="43"/>
      <c r="U75" s="34">
        <f>SUM(R75:T75)</f>
        <v>0</v>
      </c>
      <c r="V75" s="34">
        <f>I75+M75+Q75+U75</f>
        <v>0</v>
      </c>
    </row>
    <row r="76" spans="1:22" ht="13.15" outlineLevel="1">
      <c r="A76" s="24"/>
      <c r="B76" s="29" t="s">
        <v>10</v>
      </c>
      <c r="C76" s="30"/>
      <c r="D76" s="30"/>
      <c r="E76" s="10"/>
      <c r="F76" s="45">
        <f t="shared" ref="F76" si="53">SUM(F73:F75)</f>
        <v>0</v>
      </c>
      <c r="G76" s="45">
        <f t="shared" ref="G76" si="54">SUM(G73:G75)</f>
        <v>0</v>
      </c>
      <c r="H76" s="45">
        <f t="shared" ref="H76" si="55">SUM(H73:H75)</f>
        <v>0</v>
      </c>
      <c r="I76" s="35">
        <f>SUM(I73:I75)</f>
        <v>0</v>
      </c>
      <c r="J76" s="45">
        <f t="shared" ref="J76:L76" si="56">SUM(J73:J75)</f>
        <v>0</v>
      </c>
      <c r="K76" s="45">
        <f t="shared" si="56"/>
        <v>0</v>
      </c>
      <c r="L76" s="45">
        <f t="shared" si="56"/>
        <v>0</v>
      </c>
      <c r="M76" s="35">
        <f>SUM(M73:M75)</f>
        <v>0</v>
      </c>
      <c r="N76" s="45">
        <f t="shared" ref="N76:P76" si="57">SUM(N73:N75)</f>
        <v>0</v>
      </c>
      <c r="O76" s="45">
        <f t="shared" si="57"/>
        <v>0</v>
      </c>
      <c r="P76" s="45">
        <f t="shared" si="57"/>
        <v>0</v>
      </c>
      <c r="Q76" s="35">
        <f>SUM(Q73:Q75)</f>
        <v>0</v>
      </c>
      <c r="R76" s="45">
        <f t="shared" ref="R76:T76" si="58">SUM(R73:R75)</f>
        <v>0</v>
      </c>
      <c r="S76" s="45">
        <f t="shared" si="58"/>
        <v>0</v>
      </c>
      <c r="T76" s="45">
        <f t="shared" si="58"/>
        <v>0</v>
      </c>
      <c r="U76" s="35">
        <f t="shared" ref="U76" si="59">SUM(U73:U75)</f>
        <v>0</v>
      </c>
      <c r="V76" s="35">
        <f>I76+M76+Q76+U76</f>
        <v>0</v>
      </c>
    </row>
    <row r="77" spans="1:22" ht="13.15">
      <c r="A77" s="31"/>
      <c r="B77" s="32"/>
      <c r="C77" s="31"/>
      <c r="D77" s="32" t="s">
        <v>11</v>
      </c>
      <c r="E77" s="9"/>
      <c r="F77" s="139">
        <f>F52+F53+F66+F71+F76</f>
        <v>15151000</v>
      </c>
      <c r="G77" s="139">
        <f>G52+G53+G66+G71+G76</f>
        <v>14370000</v>
      </c>
      <c r="H77" s="139">
        <f>H52+H53+H66+H71+H76</f>
        <v>14370000</v>
      </c>
      <c r="I77" s="139">
        <f>I76+I71+I66+I53+I52</f>
        <v>43891000</v>
      </c>
      <c r="J77" s="139">
        <f>J52+J53+J66+J71+J76</f>
        <v>14370000</v>
      </c>
      <c r="K77" s="139">
        <f>K52+K53+K66+K71+K76</f>
        <v>14370000</v>
      </c>
      <c r="L77" s="139">
        <f>L52+L53+L66+L71+L76</f>
        <v>14370000</v>
      </c>
      <c r="M77" s="139">
        <f>M76+M71+M66+M53+M52</f>
        <v>43110000</v>
      </c>
      <c r="N77" s="139">
        <f>N52+N53+N66+N71+N76</f>
        <v>14370000</v>
      </c>
      <c r="O77" s="139">
        <f>O52+O53+O66+O71+O76</f>
        <v>14370000</v>
      </c>
      <c r="P77" s="139">
        <f>P52+P53+P66+P71+P76</f>
        <v>14370000</v>
      </c>
      <c r="Q77" s="139">
        <f>Q76+Q71+Q66+Q53+Q52</f>
        <v>43110000</v>
      </c>
      <c r="R77" s="139">
        <f>R52+R53+R66+R71+R76</f>
        <v>14370000</v>
      </c>
      <c r="S77" s="139">
        <f>S52+S53+S66+S71+S76</f>
        <v>14370000</v>
      </c>
      <c r="T77" s="139">
        <f>T52+T53+T66+T71+T76</f>
        <v>14370000</v>
      </c>
      <c r="U77" s="35">
        <f>U76+U71+U66+U53+U52</f>
        <v>43110000</v>
      </c>
      <c r="V77" s="35">
        <f>I77+M77+Q77+U77</f>
        <v>173221000</v>
      </c>
    </row>
    <row r="78" spans="1:22" ht="13.15" outlineLevel="1">
      <c r="A78" s="32" t="s">
        <v>12</v>
      </c>
      <c r="B78" s="32"/>
      <c r="C78" s="33"/>
      <c r="D78" s="33"/>
      <c r="E78" s="9"/>
      <c r="F78" s="44"/>
      <c r="G78" s="44"/>
      <c r="H78" s="44"/>
      <c r="I78" s="35"/>
      <c r="J78" s="44"/>
      <c r="K78" s="44"/>
      <c r="L78" s="44"/>
      <c r="M78" s="35"/>
      <c r="N78" s="44"/>
      <c r="O78" s="44"/>
      <c r="P78" s="44"/>
      <c r="Q78" s="35"/>
      <c r="R78" s="44"/>
      <c r="S78" s="44"/>
      <c r="T78" s="44"/>
      <c r="U78" s="35"/>
      <c r="V78" s="35"/>
    </row>
    <row r="79" spans="1:22" ht="13.15" outlineLevel="2">
      <c r="A79" s="24"/>
      <c r="B79" s="26" t="s">
        <v>13</v>
      </c>
      <c r="C79" s="27"/>
      <c r="D79" s="27"/>
      <c r="E79" s="9"/>
      <c r="F79" s="129"/>
      <c r="G79" s="129"/>
      <c r="H79" s="129"/>
      <c r="I79" s="36"/>
      <c r="J79" s="129"/>
      <c r="K79" s="129"/>
      <c r="L79" s="129"/>
      <c r="M79" s="36"/>
      <c r="N79" s="129"/>
      <c r="O79" s="129"/>
      <c r="P79" s="129"/>
      <c r="Q79" s="36"/>
      <c r="R79" s="129"/>
      <c r="S79" s="129"/>
      <c r="T79" s="129"/>
      <c r="U79" s="36"/>
      <c r="V79" s="36"/>
    </row>
    <row r="80" spans="1:22" ht="13.15" outlineLevel="2">
      <c r="A80" s="24"/>
      <c r="B80" s="27"/>
      <c r="C80" s="28" t="s">
        <v>66</v>
      </c>
      <c r="D80" s="27"/>
      <c r="E80" s="9">
        <v>0</v>
      </c>
      <c r="F80" s="96"/>
      <c r="G80" s="96"/>
      <c r="H80" s="96"/>
      <c r="I80" s="34">
        <f t="shared" ref="I80:I87" si="60">SUM(F80:H80)</f>
        <v>0</v>
      </c>
      <c r="J80" s="96"/>
      <c r="K80" s="96"/>
      <c r="L80" s="96"/>
      <c r="M80" s="34">
        <f t="shared" ref="M80:M87" si="61">SUM(J80:L80)</f>
        <v>0</v>
      </c>
      <c r="N80" s="96"/>
      <c r="O80" s="96"/>
      <c r="P80" s="96"/>
      <c r="Q80" s="34">
        <f t="shared" ref="Q80:Q87" si="62">SUM(N80:P80)</f>
        <v>0</v>
      </c>
      <c r="R80" s="96"/>
      <c r="S80" s="96"/>
      <c r="T80" s="96"/>
      <c r="U80" s="34">
        <f t="shared" ref="U80:U87" si="63">SUM(R80:T80)</f>
        <v>0</v>
      </c>
      <c r="V80" s="34">
        <f t="shared" ref="V80:V97" si="64">I80+M80+Q80+U80</f>
        <v>0</v>
      </c>
    </row>
    <row r="81" spans="1:22" ht="13.15" outlineLevel="2">
      <c r="A81" s="24"/>
      <c r="B81" s="27"/>
      <c r="C81" s="28" t="s">
        <v>67</v>
      </c>
      <c r="D81" s="27"/>
      <c r="E81" s="9">
        <v>0</v>
      </c>
      <c r="F81" s="96"/>
      <c r="G81" s="96"/>
      <c r="H81" s="96"/>
      <c r="I81" s="34">
        <f t="shared" si="60"/>
        <v>0</v>
      </c>
      <c r="J81" s="96"/>
      <c r="K81" s="96"/>
      <c r="L81" s="96"/>
      <c r="M81" s="34">
        <f t="shared" si="61"/>
        <v>0</v>
      </c>
      <c r="N81" s="96"/>
      <c r="O81" s="96"/>
      <c r="P81" s="96"/>
      <c r="Q81" s="34">
        <f t="shared" si="62"/>
        <v>0</v>
      </c>
      <c r="R81" s="96"/>
      <c r="S81" s="96"/>
      <c r="T81" s="96"/>
      <c r="U81" s="34">
        <f t="shared" si="63"/>
        <v>0</v>
      </c>
      <c r="V81" s="34">
        <f t="shared" si="64"/>
        <v>0</v>
      </c>
    </row>
    <row r="82" spans="1:22" ht="13.15" outlineLevel="2">
      <c r="A82" s="24"/>
      <c r="B82" s="27"/>
      <c r="C82" s="28" t="s">
        <v>100</v>
      </c>
      <c r="D82" s="27"/>
      <c r="E82" s="9">
        <v>0</v>
      </c>
      <c r="F82" s="96"/>
      <c r="G82" s="96"/>
      <c r="H82" s="96"/>
      <c r="I82" s="34">
        <f t="shared" si="60"/>
        <v>0</v>
      </c>
      <c r="J82" s="96"/>
      <c r="K82" s="96"/>
      <c r="L82" s="96"/>
      <c r="M82" s="34">
        <f t="shared" si="61"/>
        <v>0</v>
      </c>
      <c r="N82" s="96"/>
      <c r="O82" s="96"/>
      <c r="P82" s="96"/>
      <c r="Q82" s="34">
        <f t="shared" si="62"/>
        <v>0</v>
      </c>
      <c r="R82" s="96"/>
      <c r="S82" s="96"/>
      <c r="T82" s="96"/>
      <c r="U82" s="34">
        <f t="shared" si="63"/>
        <v>0</v>
      </c>
      <c r="V82" s="34">
        <f t="shared" si="64"/>
        <v>0</v>
      </c>
    </row>
    <row r="83" spans="1:22" ht="13.15" outlineLevel="2">
      <c r="A83" s="24"/>
      <c r="B83" s="27"/>
      <c r="C83" s="28" t="s">
        <v>99</v>
      </c>
      <c r="D83" s="27"/>
      <c r="E83" s="9"/>
      <c r="F83" s="96"/>
      <c r="G83" s="96"/>
      <c r="H83" s="96"/>
      <c r="I83" s="34">
        <f t="shared" si="60"/>
        <v>0</v>
      </c>
      <c r="J83" s="96"/>
      <c r="K83" s="96"/>
      <c r="L83" s="96"/>
      <c r="M83" s="34">
        <f t="shared" si="61"/>
        <v>0</v>
      </c>
      <c r="N83" s="96"/>
      <c r="O83" s="96"/>
      <c r="P83" s="96"/>
      <c r="Q83" s="34">
        <f t="shared" si="62"/>
        <v>0</v>
      </c>
      <c r="R83" s="96"/>
      <c r="S83" s="96"/>
      <c r="T83" s="96"/>
      <c r="U83" s="34">
        <f t="shared" si="63"/>
        <v>0</v>
      </c>
      <c r="V83" s="34">
        <f t="shared" si="64"/>
        <v>0</v>
      </c>
    </row>
    <row r="84" spans="1:22" ht="13.15" outlineLevel="2">
      <c r="A84" s="24"/>
      <c r="B84" s="27"/>
      <c r="C84" s="28" t="s">
        <v>101</v>
      </c>
      <c r="D84" s="27"/>
      <c r="E84" s="9"/>
      <c r="F84" s="96"/>
      <c r="G84" s="96"/>
      <c r="H84" s="96"/>
      <c r="I84" s="34">
        <f t="shared" si="60"/>
        <v>0</v>
      </c>
      <c r="J84" s="96"/>
      <c r="K84" s="96"/>
      <c r="L84" s="96"/>
      <c r="M84" s="34">
        <f t="shared" si="61"/>
        <v>0</v>
      </c>
      <c r="N84" s="96"/>
      <c r="O84" s="96"/>
      <c r="P84" s="96"/>
      <c r="Q84" s="34">
        <f t="shared" si="62"/>
        <v>0</v>
      </c>
      <c r="R84" s="96"/>
      <c r="S84" s="96"/>
      <c r="T84" s="96"/>
      <c r="U84" s="34">
        <f t="shared" si="63"/>
        <v>0</v>
      </c>
      <c r="V84" s="34">
        <f t="shared" si="64"/>
        <v>0</v>
      </c>
    </row>
    <row r="85" spans="1:22" ht="13.15" outlineLevel="2">
      <c r="A85" s="24"/>
      <c r="B85" s="27"/>
      <c r="C85" s="28" t="s">
        <v>41</v>
      </c>
      <c r="D85" s="27"/>
      <c r="E85" s="9">
        <v>0</v>
      </c>
      <c r="F85" s="96"/>
      <c r="G85" s="96"/>
      <c r="H85" s="96"/>
      <c r="I85" s="34">
        <f t="shared" si="60"/>
        <v>0</v>
      </c>
      <c r="J85" s="96"/>
      <c r="K85" s="96"/>
      <c r="L85" s="96"/>
      <c r="M85" s="34">
        <f t="shared" si="61"/>
        <v>0</v>
      </c>
      <c r="N85" s="96"/>
      <c r="O85" s="96"/>
      <c r="P85" s="96"/>
      <c r="Q85" s="34">
        <f t="shared" si="62"/>
        <v>0</v>
      </c>
      <c r="R85" s="96"/>
      <c r="S85" s="96"/>
      <c r="T85" s="96"/>
      <c r="U85" s="34">
        <f t="shared" si="63"/>
        <v>0</v>
      </c>
      <c r="V85" s="34">
        <f t="shared" si="64"/>
        <v>0</v>
      </c>
    </row>
    <row r="86" spans="1:22" ht="13.15" outlineLevel="2">
      <c r="A86" s="24"/>
      <c r="B86" s="27"/>
      <c r="C86" s="28" t="s">
        <v>114</v>
      </c>
      <c r="D86" s="27"/>
      <c r="E86" s="9">
        <v>0</v>
      </c>
      <c r="F86" s="96"/>
      <c r="G86" s="96"/>
      <c r="H86" s="96"/>
      <c r="I86" s="34">
        <f t="shared" si="60"/>
        <v>0</v>
      </c>
      <c r="J86" s="96"/>
      <c r="K86" s="96"/>
      <c r="L86" s="96"/>
      <c r="M86" s="34">
        <f t="shared" si="61"/>
        <v>0</v>
      </c>
      <c r="N86" s="96"/>
      <c r="O86" s="96"/>
      <c r="P86" s="96"/>
      <c r="Q86" s="34">
        <f t="shared" si="62"/>
        <v>0</v>
      </c>
      <c r="R86" s="96"/>
      <c r="S86" s="96"/>
      <c r="T86" s="96"/>
      <c r="U86" s="34">
        <f t="shared" si="63"/>
        <v>0</v>
      </c>
      <c r="V86" s="34">
        <f t="shared" si="64"/>
        <v>0</v>
      </c>
    </row>
    <row r="87" spans="1:22" ht="13.15" outlineLevel="2">
      <c r="A87" s="24"/>
      <c r="B87" s="27"/>
      <c r="C87" s="28" t="s">
        <v>105</v>
      </c>
      <c r="D87" s="27"/>
      <c r="E87" s="9">
        <v>0</v>
      </c>
      <c r="F87" s="96"/>
      <c r="G87" s="96"/>
      <c r="H87" s="96"/>
      <c r="I87" s="34">
        <f t="shared" si="60"/>
        <v>0</v>
      </c>
      <c r="J87" s="96"/>
      <c r="K87" s="96"/>
      <c r="L87" s="96"/>
      <c r="M87" s="34">
        <f t="shared" si="61"/>
        <v>0</v>
      </c>
      <c r="N87" s="96"/>
      <c r="O87" s="96"/>
      <c r="P87" s="96"/>
      <c r="Q87" s="34">
        <f t="shared" si="62"/>
        <v>0</v>
      </c>
      <c r="R87" s="96"/>
      <c r="S87" s="96"/>
      <c r="T87" s="96"/>
      <c r="U87" s="34">
        <f t="shared" si="63"/>
        <v>0</v>
      </c>
      <c r="V87" s="34">
        <f t="shared" si="64"/>
        <v>0</v>
      </c>
    </row>
    <row r="88" spans="1:22" ht="13.15" outlineLevel="1">
      <c r="A88" s="24"/>
      <c r="B88" s="30" t="s">
        <v>14</v>
      </c>
      <c r="C88" s="30"/>
      <c r="D88" s="30"/>
      <c r="E88" s="10"/>
      <c r="F88" s="45">
        <f t="shared" ref="F88:Q89" si="65">SUM(F80:F87)</f>
        <v>0</v>
      </c>
      <c r="G88" s="45">
        <f t="shared" si="65"/>
        <v>0</v>
      </c>
      <c r="H88" s="45">
        <f t="shared" ref="H88" si="66">SUM(H80:H87)</f>
        <v>0</v>
      </c>
      <c r="I88" s="35">
        <f t="shared" si="65"/>
        <v>0</v>
      </c>
      <c r="J88" s="45">
        <f t="shared" ref="J88:L88" si="67">SUM(J80:J87)</f>
        <v>0</v>
      </c>
      <c r="K88" s="45">
        <f t="shared" si="67"/>
        <v>0</v>
      </c>
      <c r="L88" s="45">
        <f t="shared" si="67"/>
        <v>0</v>
      </c>
      <c r="M88" s="35">
        <f t="shared" si="65"/>
        <v>0</v>
      </c>
      <c r="N88" s="45">
        <f t="shared" ref="N88:P88" si="68">SUM(N80:N87)</f>
        <v>0</v>
      </c>
      <c r="O88" s="45">
        <f t="shared" si="68"/>
        <v>0</v>
      </c>
      <c r="P88" s="45">
        <f t="shared" si="68"/>
        <v>0</v>
      </c>
      <c r="Q88" s="35">
        <f t="shared" si="65"/>
        <v>0</v>
      </c>
      <c r="R88" s="45">
        <f t="shared" ref="R88:T88" si="69">SUM(R80:R87)</f>
        <v>0</v>
      </c>
      <c r="S88" s="45">
        <f t="shared" si="69"/>
        <v>0</v>
      </c>
      <c r="T88" s="45">
        <f t="shared" si="69"/>
        <v>0</v>
      </c>
      <c r="U88" s="35">
        <f t="shared" ref="U88" si="70">SUM(U80:U87)</f>
        <v>0</v>
      </c>
      <c r="V88" s="35">
        <f t="shared" si="64"/>
        <v>0</v>
      </c>
    </row>
    <row r="89" spans="1:22" s="4" customFormat="1" ht="13.15" outlineLevel="1">
      <c r="A89" s="24"/>
      <c r="B89" s="24" t="s">
        <v>15</v>
      </c>
      <c r="C89" s="24"/>
      <c r="D89" s="24"/>
      <c r="E89" s="8">
        <v>0</v>
      </c>
      <c r="F89" s="44">
        <v>0</v>
      </c>
      <c r="G89" s="44">
        <v>0</v>
      </c>
      <c r="H89" s="44">
        <v>0</v>
      </c>
      <c r="I89" s="35">
        <f t="shared" si="65"/>
        <v>0</v>
      </c>
      <c r="J89" s="44">
        <v>0</v>
      </c>
      <c r="K89" s="44">
        <v>0</v>
      </c>
      <c r="L89" s="44">
        <v>0</v>
      </c>
      <c r="M89" s="35">
        <f t="shared" si="65"/>
        <v>0</v>
      </c>
      <c r="N89" s="44">
        <v>0</v>
      </c>
      <c r="O89" s="44">
        <v>0</v>
      </c>
      <c r="P89" s="44">
        <v>0</v>
      </c>
      <c r="Q89" s="35">
        <f t="shared" si="65"/>
        <v>0</v>
      </c>
      <c r="R89" s="44">
        <v>0</v>
      </c>
      <c r="S89" s="44">
        <v>0</v>
      </c>
      <c r="T89" s="44">
        <v>0</v>
      </c>
      <c r="U89" s="35">
        <v>0</v>
      </c>
      <c r="V89" s="35">
        <f t="shared" si="64"/>
        <v>0</v>
      </c>
    </row>
    <row r="90" spans="1:22" ht="13.15" outlineLevel="2">
      <c r="A90" s="24"/>
      <c r="B90" s="26" t="s">
        <v>16</v>
      </c>
      <c r="C90" s="27"/>
      <c r="D90" s="27"/>
      <c r="E90" s="9"/>
      <c r="F90" s="129"/>
      <c r="G90" s="129"/>
      <c r="H90" s="129"/>
      <c r="I90" s="34">
        <f t="shared" ref="I90:I96" si="71">SUM(F90:H90)</f>
        <v>0</v>
      </c>
      <c r="J90" s="129"/>
      <c r="K90" s="129"/>
      <c r="L90" s="129"/>
      <c r="M90" s="34">
        <f t="shared" ref="M90:M96" si="72">SUM(J90:L90)</f>
        <v>0</v>
      </c>
      <c r="N90" s="129"/>
      <c r="O90" s="129"/>
      <c r="P90" s="129"/>
      <c r="Q90" s="34">
        <f t="shared" ref="Q90:Q96" si="73">SUM(N90:P90)</f>
        <v>0</v>
      </c>
      <c r="R90" s="129"/>
      <c r="S90" s="129"/>
      <c r="T90" s="129"/>
      <c r="U90" s="34">
        <f t="shared" ref="U90:U96" si="74">SUM(R90:T90)</f>
        <v>0</v>
      </c>
      <c r="V90" s="34">
        <f t="shared" si="64"/>
        <v>0</v>
      </c>
    </row>
    <row r="91" spans="1:22" ht="13.15" outlineLevel="2">
      <c r="A91" s="24"/>
      <c r="B91" s="27"/>
      <c r="C91" s="28" t="s">
        <v>42</v>
      </c>
      <c r="D91" s="27"/>
      <c r="E91" s="9">
        <v>0</v>
      </c>
      <c r="F91" s="43"/>
      <c r="G91" s="43"/>
      <c r="H91" s="43"/>
      <c r="I91" s="34">
        <f t="shared" si="71"/>
        <v>0</v>
      </c>
      <c r="J91" s="43"/>
      <c r="K91" s="43"/>
      <c r="L91" s="43"/>
      <c r="M91" s="34">
        <f t="shared" si="72"/>
        <v>0</v>
      </c>
      <c r="N91" s="43"/>
      <c r="O91" s="43"/>
      <c r="P91" s="43"/>
      <c r="Q91" s="34">
        <f t="shared" si="73"/>
        <v>0</v>
      </c>
      <c r="R91" s="43"/>
      <c r="S91" s="43"/>
      <c r="T91" s="43"/>
      <c r="U91" s="34">
        <f t="shared" si="74"/>
        <v>0</v>
      </c>
      <c r="V91" s="34">
        <f t="shared" si="64"/>
        <v>0</v>
      </c>
    </row>
    <row r="92" spans="1:22" ht="13.15" outlineLevel="2">
      <c r="A92" s="24"/>
      <c r="B92" s="27"/>
      <c r="C92" s="28" t="s">
        <v>43</v>
      </c>
      <c r="D92" s="27"/>
      <c r="E92" s="9">
        <v>0</v>
      </c>
      <c r="F92" s="43"/>
      <c r="G92" s="43"/>
      <c r="H92" s="43"/>
      <c r="I92" s="34">
        <f t="shared" si="71"/>
        <v>0</v>
      </c>
      <c r="J92" s="43"/>
      <c r="K92" s="43"/>
      <c r="L92" s="43"/>
      <c r="M92" s="34">
        <f t="shared" si="72"/>
        <v>0</v>
      </c>
      <c r="N92" s="43"/>
      <c r="O92" s="43"/>
      <c r="P92" s="43"/>
      <c r="Q92" s="34">
        <f t="shared" si="73"/>
        <v>0</v>
      </c>
      <c r="R92" s="43"/>
      <c r="S92" s="43"/>
      <c r="T92" s="43"/>
      <c r="U92" s="34">
        <f t="shared" si="74"/>
        <v>0</v>
      </c>
      <c r="V92" s="34">
        <f t="shared" si="64"/>
        <v>0</v>
      </c>
    </row>
    <row r="93" spans="1:22" ht="13.15" outlineLevel="2">
      <c r="A93" s="24"/>
      <c r="B93" s="27"/>
      <c r="C93" s="28" t="s">
        <v>53</v>
      </c>
      <c r="D93" s="27"/>
      <c r="E93" s="9">
        <v>0</v>
      </c>
      <c r="F93" s="43"/>
      <c r="G93" s="43"/>
      <c r="H93" s="43"/>
      <c r="I93" s="34">
        <f t="shared" si="71"/>
        <v>0</v>
      </c>
      <c r="J93" s="43"/>
      <c r="K93" s="43"/>
      <c r="L93" s="43"/>
      <c r="M93" s="34">
        <f t="shared" si="72"/>
        <v>0</v>
      </c>
      <c r="N93" s="43"/>
      <c r="O93" s="43"/>
      <c r="P93" s="43"/>
      <c r="Q93" s="34">
        <f t="shared" si="73"/>
        <v>0</v>
      </c>
      <c r="R93" s="43"/>
      <c r="S93" s="43"/>
      <c r="T93" s="43"/>
      <c r="U93" s="34">
        <f t="shared" si="74"/>
        <v>0</v>
      </c>
      <c r="V93" s="34">
        <f t="shared" si="64"/>
        <v>0</v>
      </c>
    </row>
    <row r="94" spans="1:22" ht="13.15" outlineLevel="2">
      <c r="A94" s="24"/>
      <c r="B94" s="27"/>
      <c r="C94" s="28" t="s">
        <v>44</v>
      </c>
      <c r="D94" s="27"/>
      <c r="E94" s="9">
        <v>0</v>
      </c>
      <c r="F94" s="43"/>
      <c r="G94" s="43"/>
      <c r="H94" s="43"/>
      <c r="I94" s="34">
        <f t="shared" si="71"/>
        <v>0</v>
      </c>
      <c r="J94" s="43"/>
      <c r="K94" s="43"/>
      <c r="L94" s="43"/>
      <c r="M94" s="34">
        <f t="shared" si="72"/>
        <v>0</v>
      </c>
      <c r="N94" s="43"/>
      <c r="O94" s="43"/>
      <c r="P94" s="43"/>
      <c r="Q94" s="34">
        <f t="shared" si="73"/>
        <v>0</v>
      </c>
      <c r="R94" s="43"/>
      <c r="S94" s="43"/>
      <c r="T94" s="43"/>
      <c r="U94" s="34">
        <f t="shared" si="74"/>
        <v>0</v>
      </c>
      <c r="V94" s="34">
        <f t="shared" si="64"/>
        <v>0</v>
      </c>
    </row>
    <row r="95" spans="1:22" ht="13.15" outlineLevel="2">
      <c r="A95" s="24"/>
      <c r="B95" s="27"/>
      <c r="C95" s="28" t="s">
        <v>51</v>
      </c>
      <c r="D95" s="27"/>
      <c r="E95" s="9">
        <v>0</v>
      </c>
      <c r="F95" s="43"/>
      <c r="G95" s="43"/>
      <c r="H95" s="43"/>
      <c r="I95" s="34">
        <f t="shared" si="71"/>
        <v>0</v>
      </c>
      <c r="J95" s="43"/>
      <c r="K95" s="43"/>
      <c r="L95" s="43"/>
      <c r="M95" s="34">
        <f t="shared" si="72"/>
        <v>0</v>
      </c>
      <c r="N95" s="43"/>
      <c r="O95" s="43"/>
      <c r="P95" s="43"/>
      <c r="Q95" s="34">
        <f t="shared" si="73"/>
        <v>0</v>
      </c>
      <c r="R95" s="43"/>
      <c r="S95" s="43"/>
      <c r="T95" s="43"/>
      <c r="U95" s="34">
        <f t="shared" si="74"/>
        <v>0</v>
      </c>
      <c r="V95" s="34">
        <f t="shared" si="64"/>
        <v>0</v>
      </c>
    </row>
    <row r="96" spans="1:22" ht="13.15" outlineLevel="2">
      <c r="A96" s="24"/>
      <c r="B96" s="27"/>
      <c r="C96" s="28" t="s">
        <v>50</v>
      </c>
      <c r="D96" s="27"/>
      <c r="E96" s="9">
        <v>0</v>
      </c>
      <c r="F96" s="43"/>
      <c r="G96" s="43"/>
      <c r="H96" s="43"/>
      <c r="I96" s="34">
        <f t="shared" si="71"/>
        <v>0</v>
      </c>
      <c r="J96" s="43"/>
      <c r="K96" s="43"/>
      <c r="L96" s="43"/>
      <c r="M96" s="34">
        <f t="shared" si="72"/>
        <v>0</v>
      </c>
      <c r="N96" s="43"/>
      <c r="O96" s="43"/>
      <c r="P96" s="43"/>
      <c r="Q96" s="34">
        <f t="shared" si="73"/>
        <v>0</v>
      </c>
      <c r="R96" s="43"/>
      <c r="S96" s="43"/>
      <c r="T96" s="43"/>
      <c r="U96" s="34">
        <f t="shared" si="74"/>
        <v>0</v>
      </c>
      <c r="V96" s="34">
        <f t="shared" si="64"/>
        <v>0</v>
      </c>
    </row>
    <row r="97" spans="1:22" ht="13.15" outlineLevel="1">
      <c r="A97" s="24"/>
      <c r="B97" s="24" t="s">
        <v>17</v>
      </c>
      <c r="C97" s="24"/>
      <c r="D97" s="24"/>
      <c r="E97" s="8"/>
      <c r="F97" s="44">
        <f t="shared" ref="F97:G97" si="75">SUM(F91:F96)</f>
        <v>0</v>
      </c>
      <c r="G97" s="44">
        <f t="shared" si="75"/>
        <v>0</v>
      </c>
      <c r="H97" s="44">
        <f t="shared" ref="H97" si="76">SUM(H91:H96)</f>
        <v>0</v>
      </c>
      <c r="I97" s="35">
        <f>SUM(I91:I96)</f>
        <v>0</v>
      </c>
      <c r="J97" s="44">
        <f t="shared" ref="J97:L97" si="77">SUM(J91:J96)</f>
        <v>0</v>
      </c>
      <c r="K97" s="44">
        <f t="shared" si="77"/>
        <v>0</v>
      </c>
      <c r="L97" s="44">
        <f t="shared" si="77"/>
        <v>0</v>
      </c>
      <c r="M97" s="35">
        <f>SUM(M91:M96)</f>
        <v>0</v>
      </c>
      <c r="N97" s="44">
        <f t="shared" ref="N97:P97" si="78">SUM(N91:N96)</f>
        <v>0</v>
      </c>
      <c r="O97" s="44">
        <f t="shared" si="78"/>
        <v>0</v>
      </c>
      <c r="P97" s="44">
        <f t="shared" si="78"/>
        <v>0</v>
      </c>
      <c r="Q97" s="35">
        <f>SUM(Q91:Q96)</f>
        <v>0</v>
      </c>
      <c r="R97" s="44">
        <f t="shared" ref="R97:T97" si="79">SUM(R91:R96)</f>
        <v>0</v>
      </c>
      <c r="S97" s="44">
        <f t="shared" si="79"/>
        <v>0</v>
      </c>
      <c r="T97" s="44">
        <f t="shared" si="79"/>
        <v>0</v>
      </c>
      <c r="U97" s="35">
        <f t="shared" ref="U97" si="80">SUM(U91:U96)</f>
        <v>0</v>
      </c>
      <c r="V97" s="35">
        <f t="shared" si="64"/>
        <v>0</v>
      </c>
    </row>
    <row r="98" spans="1:22" ht="13.15" outlineLevel="2">
      <c r="A98" s="24"/>
      <c r="B98" s="26" t="s">
        <v>18</v>
      </c>
      <c r="C98" s="27"/>
      <c r="D98" s="27"/>
      <c r="E98" s="9"/>
      <c r="F98" s="129"/>
      <c r="G98" s="129"/>
      <c r="H98" s="129"/>
      <c r="I98" s="36"/>
      <c r="J98" s="129"/>
      <c r="K98" s="129"/>
      <c r="L98" s="129"/>
      <c r="M98" s="36"/>
      <c r="N98" s="129"/>
      <c r="O98" s="129"/>
      <c r="P98" s="129"/>
      <c r="Q98" s="36"/>
      <c r="R98" s="129"/>
      <c r="S98" s="129"/>
      <c r="T98" s="129"/>
      <c r="U98" s="36"/>
      <c r="V98" s="36"/>
    </row>
    <row r="99" spans="1:22" ht="13.15" outlineLevel="2">
      <c r="A99" s="24"/>
      <c r="B99" s="27"/>
      <c r="C99" s="28" t="s">
        <v>68</v>
      </c>
      <c r="D99" s="27"/>
      <c r="E99" s="9">
        <v>0</v>
      </c>
      <c r="F99" s="96"/>
      <c r="G99" s="96"/>
      <c r="H99" s="96"/>
      <c r="I99" s="34">
        <f t="shared" ref="I99:I105" si="81">SUM(F99:H99)</f>
        <v>0</v>
      </c>
      <c r="J99" s="96"/>
      <c r="K99" s="96"/>
      <c r="L99" s="96"/>
      <c r="M99" s="34">
        <f t="shared" ref="M99:M105" si="82">SUM(J99:L99)</f>
        <v>0</v>
      </c>
      <c r="N99" s="96"/>
      <c r="O99" s="96"/>
      <c r="P99" s="96"/>
      <c r="Q99" s="34">
        <f t="shared" ref="Q99:Q105" si="83">SUM(N99:P99)</f>
        <v>0</v>
      </c>
      <c r="R99" s="96"/>
      <c r="S99" s="96"/>
      <c r="T99" s="96"/>
      <c r="U99" s="34">
        <f t="shared" ref="U99:U105" si="84">SUM(R99:T99)</f>
        <v>0</v>
      </c>
      <c r="V99" s="34">
        <f t="shared" ref="V99:V106" si="85">I99+M99+Q99+U99</f>
        <v>0</v>
      </c>
    </row>
    <row r="100" spans="1:22" ht="13.15" outlineLevel="2">
      <c r="A100" s="24"/>
      <c r="B100" s="27"/>
      <c r="C100" s="28" t="s">
        <v>45</v>
      </c>
      <c r="D100" s="27"/>
      <c r="E100" s="9">
        <v>0</v>
      </c>
      <c r="F100" s="96"/>
      <c r="G100" s="96"/>
      <c r="H100" s="96"/>
      <c r="I100" s="34">
        <f t="shared" si="81"/>
        <v>0</v>
      </c>
      <c r="J100" s="96"/>
      <c r="K100" s="96"/>
      <c r="L100" s="96"/>
      <c r="M100" s="34">
        <f t="shared" si="82"/>
        <v>0</v>
      </c>
      <c r="N100" s="96"/>
      <c r="O100" s="96"/>
      <c r="P100" s="96"/>
      <c r="Q100" s="34">
        <f t="shared" si="83"/>
        <v>0</v>
      </c>
      <c r="R100" s="96"/>
      <c r="S100" s="96"/>
      <c r="T100" s="96"/>
      <c r="U100" s="34">
        <f t="shared" si="84"/>
        <v>0</v>
      </c>
      <c r="V100" s="34">
        <f t="shared" si="85"/>
        <v>0</v>
      </c>
    </row>
    <row r="101" spans="1:22" ht="13.15" outlineLevel="2">
      <c r="A101" s="24"/>
      <c r="B101" s="27"/>
      <c r="C101" s="28" t="s">
        <v>94</v>
      </c>
      <c r="D101" s="27"/>
      <c r="E101" s="9">
        <v>0</v>
      </c>
      <c r="F101" s="96"/>
      <c r="G101" s="96"/>
      <c r="H101" s="96"/>
      <c r="I101" s="34">
        <f t="shared" si="81"/>
        <v>0</v>
      </c>
      <c r="J101" s="96"/>
      <c r="K101" s="96"/>
      <c r="L101" s="96"/>
      <c r="M101" s="34">
        <f t="shared" si="82"/>
        <v>0</v>
      </c>
      <c r="N101" s="96"/>
      <c r="O101" s="96"/>
      <c r="P101" s="96"/>
      <c r="Q101" s="34">
        <f t="shared" si="83"/>
        <v>0</v>
      </c>
      <c r="R101" s="96"/>
      <c r="S101" s="96"/>
      <c r="T101" s="96"/>
      <c r="U101" s="34">
        <f t="shared" si="84"/>
        <v>0</v>
      </c>
      <c r="V101" s="34">
        <f t="shared" si="85"/>
        <v>0</v>
      </c>
    </row>
    <row r="102" spans="1:22" ht="13.15" outlineLevel="2">
      <c r="A102" s="24"/>
      <c r="B102" s="27"/>
      <c r="C102" s="28" t="s">
        <v>46</v>
      </c>
      <c r="D102" s="27"/>
      <c r="E102" s="9">
        <v>0</v>
      </c>
      <c r="F102" s="96"/>
      <c r="G102" s="96"/>
      <c r="H102" s="96"/>
      <c r="I102" s="34">
        <f t="shared" si="81"/>
        <v>0</v>
      </c>
      <c r="J102" s="96"/>
      <c r="K102" s="96"/>
      <c r="L102" s="96"/>
      <c r="M102" s="34">
        <f t="shared" si="82"/>
        <v>0</v>
      </c>
      <c r="N102" s="96"/>
      <c r="O102" s="96"/>
      <c r="P102" s="96"/>
      <c r="Q102" s="34">
        <f t="shared" si="83"/>
        <v>0</v>
      </c>
      <c r="R102" s="96"/>
      <c r="S102" s="96"/>
      <c r="T102" s="96"/>
      <c r="U102" s="34">
        <f t="shared" si="84"/>
        <v>0</v>
      </c>
      <c r="V102" s="34">
        <f t="shared" si="85"/>
        <v>0</v>
      </c>
    </row>
    <row r="103" spans="1:22" ht="13.15" outlineLevel="2">
      <c r="A103" s="24"/>
      <c r="B103" s="27"/>
      <c r="C103" s="28" t="s">
        <v>111</v>
      </c>
      <c r="D103" s="27"/>
      <c r="E103" s="9">
        <v>0</v>
      </c>
      <c r="F103" s="96"/>
      <c r="G103" s="96"/>
      <c r="H103" s="96"/>
      <c r="I103" s="34">
        <f t="shared" si="81"/>
        <v>0</v>
      </c>
      <c r="J103" s="96"/>
      <c r="K103" s="96"/>
      <c r="L103" s="96"/>
      <c r="M103" s="34">
        <f t="shared" si="82"/>
        <v>0</v>
      </c>
      <c r="N103" s="96"/>
      <c r="O103" s="96"/>
      <c r="P103" s="96"/>
      <c r="Q103" s="34">
        <f t="shared" si="83"/>
        <v>0</v>
      </c>
      <c r="R103" s="96"/>
      <c r="S103" s="96"/>
      <c r="T103" s="96"/>
      <c r="U103" s="34">
        <f t="shared" si="84"/>
        <v>0</v>
      </c>
      <c r="V103" s="34">
        <f t="shared" si="85"/>
        <v>0</v>
      </c>
    </row>
    <row r="104" spans="1:22" ht="13.15" outlineLevel="2">
      <c r="A104" s="24"/>
      <c r="B104" s="27"/>
      <c r="C104" s="28" t="s">
        <v>115</v>
      </c>
      <c r="D104" s="27"/>
      <c r="E104" s="9">
        <v>0</v>
      </c>
      <c r="F104" s="96"/>
      <c r="G104" s="96"/>
      <c r="H104" s="96"/>
      <c r="I104" s="34">
        <f t="shared" si="81"/>
        <v>0</v>
      </c>
      <c r="J104" s="96"/>
      <c r="K104" s="96"/>
      <c r="L104" s="96"/>
      <c r="M104" s="34">
        <f t="shared" si="82"/>
        <v>0</v>
      </c>
      <c r="N104" s="96"/>
      <c r="O104" s="96"/>
      <c r="P104" s="96"/>
      <c r="Q104" s="34">
        <f t="shared" si="83"/>
        <v>0</v>
      </c>
      <c r="R104" s="96"/>
      <c r="S104" s="96"/>
      <c r="T104" s="96"/>
      <c r="U104" s="34">
        <f t="shared" si="84"/>
        <v>0</v>
      </c>
      <c r="V104" s="34">
        <f t="shared" si="85"/>
        <v>0</v>
      </c>
    </row>
    <row r="105" spans="1:22" ht="13.15" outlineLevel="2">
      <c r="A105" s="24"/>
      <c r="B105" s="27"/>
      <c r="C105" s="28" t="s">
        <v>26</v>
      </c>
      <c r="D105" s="27"/>
      <c r="E105" s="9"/>
      <c r="F105" s="96"/>
      <c r="G105" s="96">
        <v>200000</v>
      </c>
      <c r="H105" s="96">
        <v>200000</v>
      </c>
      <c r="I105" s="34">
        <f t="shared" si="81"/>
        <v>400000</v>
      </c>
      <c r="J105" s="96">
        <v>200000</v>
      </c>
      <c r="K105" s="96">
        <v>200000</v>
      </c>
      <c r="L105" s="96">
        <v>200000</v>
      </c>
      <c r="M105" s="34">
        <f t="shared" si="82"/>
        <v>600000</v>
      </c>
      <c r="N105" s="96">
        <v>200000</v>
      </c>
      <c r="O105" s="96">
        <v>200000</v>
      </c>
      <c r="P105" s="96">
        <v>200000</v>
      </c>
      <c r="Q105" s="34">
        <f t="shared" si="83"/>
        <v>600000</v>
      </c>
      <c r="R105" s="96">
        <v>200000</v>
      </c>
      <c r="S105" s="96">
        <v>200000</v>
      </c>
      <c r="T105" s="96">
        <v>200000</v>
      </c>
      <c r="U105" s="34">
        <f t="shared" si="84"/>
        <v>600000</v>
      </c>
      <c r="V105" s="34">
        <f t="shared" si="85"/>
        <v>2200000</v>
      </c>
    </row>
    <row r="106" spans="1:22" ht="13.15" outlineLevel="1">
      <c r="A106" s="24"/>
      <c r="B106" s="29" t="s">
        <v>19</v>
      </c>
      <c r="C106" s="30"/>
      <c r="D106" s="30"/>
      <c r="E106" s="10"/>
      <c r="F106" s="45">
        <f>SUM(F99:F105)</f>
        <v>0</v>
      </c>
      <c r="G106" s="45">
        <f>SUM(G99:G105)</f>
        <v>200000</v>
      </c>
      <c r="H106" s="45">
        <f>SUM(H99:H105)</f>
        <v>200000</v>
      </c>
      <c r="I106" s="35">
        <f t="shared" ref="I106" si="86">SUM(I99:I105)</f>
        <v>400000</v>
      </c>
      <c r="J106" s="45">
        <f>SUM(J99:J105)</f>
        <v>200000</v>
      </c>
      <c r="K106" s="45">
        <f>SUM(K99:K105)</f>
        <v>200000</v>
      </c>
      <c r="L106" s="45">
        <f>SUM(L99:L105)</f>
        <v>200000</v>
      </c>
      <c r="M106" s="35">
        <f t="shared" ref="M106" si="87">SUM(M99:M105)</f>
        <v>600000</v>
      </c>
      <c r="N106" s="45">
        <f>SUM(N99:N105)</f>
        <v>200000</v>
      </c>
      <c r="O106" s="45">
        <f>SUM(O99:O105)</f>
        <v>200000</v>
      </c>
      <c r="P106" s="45">
        <f>SUM(P99:P105)</f>
        <v>200000</v>
      </c>
      <c r="Q106" s="35">
        <f t="shared" ref="Q106" si="88">SUM(Q99:Q105)</f>
        <v>600000</v>
      </c>
      <c r="R106" s="45">
        <f>SUM(R99:R105)</f>
        <v>200000</v>
      </c>
      <c r="S106" s="45">
        <f>SUM(S99:S105)</f>
        <v>200000</v>
      </c>
      <c r="T106" s="45">
        <f>SUM(T99:T105)</f>
        <v>200000</v>
      </c>
      <c r="U106" s="35">
        <f t="shared" ref="U106" si="89">SUM(U99:U105)</f>
        <v>600000</v>
      </c>
      <c r="V106" s="35">
        <f t="shared" si="85"/>
        <v>2200000</v>
      </c>
    </row>
    <row r="107" spans="1:22" ht="13.15" outlineLevel="2">
      <c r="A107" s="24"/>
      <c r="B107" s="26" t="s">
        <v>20</v>
      </c>
      <c r="C107" s="27"/>
      <c r="D107" s="27"/>
      <c r="E107" s="9"/>
      <c r="F107" s="129"/>
      <c r="G107" s="129"/>
      <c r="H107" s="129"/>
      <c r="I107" s="36"/>
      <c r="J107" s="129"/>
      <c r="K107" s="129"/>
      <c r="L107" s="129"/>
      <c r="M107" s="36"/>
      <c r="N107" s="129"/>
      <c r="O107" s="129"/>
      <c r="P107" s="129"/>
      <c r="Q107" s="36"/>
      <c r="R107" s="129"/>
      <c r="S107" s="129"/>
      <c r="T107" s="129"/>
      <c r="U107" s="36"/>
      <c r="V107" s="36"/>
    </row>
    <row r="108" spans="1:22" ht="13.15" outlineLevel="2">
      <c r="A108" s="24"/>
      <c r="B108" s="27"/>
      <c r="C108" s="28" t="s">
        <v>29</v>
      </c>
      <c r="D108" s="27"/>
      <c r="E108" s="9">
        <v>0</v>
      </c>
      <c r="F108" s="96"/>
      <c r="G108" s="96"/>
      <c r="H108" s="96"/>
      <c r="I108" s="34">
        <f t="shared" ref="I108:I112" si="90">SUM(F108:H108)</f>
        <v>0</v>
      </c>
      <c r="J108" s="96"/>
      <c r="K108" s="96"/>
      <c r="L108" s="96"/>
      <c r="M108" s="34">
        <f t="shared" ref="M108:M112" si="91">SUM(J108:L108)</f>
        <v>0</v>
      </c>
      <c r="N108" s="96"/>
      <c r="O108" s="96"/>
      <c r="P108" s="96"/>
      <c r="Q108" s="34">
        <f t="shared" ref="Q108:Q112" si="92">SUM(N108:P108)</f>
        <v>0</v>
      </c>
      <c r="R108" s="96"/>
      <c r="S108" s="96"/>
      <c r="T108" s="96"/>
      <c r="U108" s="34">
        <f t="shared" ref="U108:U112" si="93">SUM(R108:T108)</f>
        <v>0</v>
      </c>
      <c r="V108" s="34">
        <f t="shared" ref="V108:V115" si="94">I108+M108+Q108+U108</f>
        <v>0</v>
      </c>
    </row>
    <row r="109" spans="1:22" ht="13.15" outlineLevel="2">
      <c r="A109" s="24"/>
      <c r="B109" s="27"/>
      <c r="C109" s="28" t="s">
        <v>33</v>
      </c>
      <c r="D109" s="27"/>
      <c r="E109" s="9">
        <v>0</v>
      </c>
      <c r="F109" s="96"/>
      <c r="G109" s="96"/>
      <c r="H109" s="96"/>
      <c r="I109" s="34">
        <f t="shared" si="90"/>
        <v>0</v>
      </c>
      <c r="J109" s="96"/>
      <c r="K109" s="96"/>
      <c r="L109" s="96"/>
      <c r="M109" s="34">
        <f t="shared" si="91"/>
        <v>0</v>
      </c>
      <c r="N109" s="96"/>
      <c r="O109" s="96"/>
      <c r="P109" s="96"/>
      <c r="Q109" s="34">
        <f t="shared" si="92"/>
        <v>0</v>
      </c>
      <c r="R109" s="96"/>
      <c r="S109" s="96"/>
      <c r="T109" s="96"/>
      <c r="U109" s="34">
        <f t="shared" si="93"/>
        <v>0</v>
      </c>
      <c r="V109" s="34">
        <f t="shared" si="94"/>
        <v>0</v>
      </c>
    </row>
    <row r="110" spans="1:22" ht="13.15" outlineLevel="2">
      <c r="A110" s="24"/>
      <c r="B110" s="27"/>
      <c r="C110" s="28" t="s">
        <v>95</v>
      </c>
      <c r="D110" s="27"/>
      <c r="E110" s="9"/>
      <c r="F110" s="96"/>
      <c r="G110" s="96"/>
      <c r="H110" s="96"/>
      <c r="I110" s="34">
        <f t="shared" si="90"/>
        <v>0</v>
      </c>
      <c r="J110" s="96"/>
      <c r="K110" s="96"/>
      <c r="L110" s="96"/>
      <c r="M110" s="34">
        <f t="shared" si="91"/>
        <v>0</v>
      </c>
      <c r="N110" s="96"/>
      <c r="O110" s="96"/>
      <c r="P110" s="96"/>
      <c r="Q110" s="34">
        <f t="shared" si="92"/>
        <v>0</v>
      </c>
      <c r="R110" s="96"/>
      <c r="S110" s="96"/>
      <c r="T110" s="96"/>
      <c r="U110" s="34">
        <f t="shared" si="93"/>
        <v>0</v>
      </c>
      <c r="V110" s="34">
        <f t="shared" si="94"/>
        <v>0</v>
      </c>
    </row>
    <row r="111" spans="1:22" ht="13.15" outlineLevel="2">
      <c r="A111" s="24"/>
      <c r="B111" s="27"/>
      <c r="C111" s="28" t="s">
        <v>63</v>
      </c>
      <c r="D111" s="27"/>
      <c r="E111" s="9"/>
      <c r="F111" s="96"/>
      <c r="G111" s="96"/>
      <c r="H111" s="96"/>
      <c r="I111" s="34">
        <f t="shared" si="90"/>
        <v>0</v>
      </c>
      <c r="J111" s="96"/>
      <c r="K111" s="96"/>
      <c r="L111" s="96"/>
      <c r="M111" s="34">
        <f t="shared" si="91"/>
        <v>0</v>
      </c>
      <c r="N111" s="96"/>
      <c r="O111" s="96"/>
      <c r="P111" s="96"/>
      <c r="Q111" s="34">
        <f t="shared" si="92"/>
        <v>0</v>
      </c>
      <c r="R111" s="96"/>
      <c r="S111" s="96"/>
      <c r="T111" s="96"/>
      <c r="U111" s="34">
        <f t="shared" si="93"/>
        <v>0</v>
      </c>
      <c r="V111" s="34">
        <f t="shared" si="94"/>
        <v>0</v>
      </c>
    </row>
    <row r="112" spans="1:22" ht="13.15" outlineLevel="2">
      <c r="A112" s="24"/>
      <c r="B112" s="27"/>
      <c r="C112" s="28" t="s">
        <v>153</v>
      </c>
      <c r="D112" s="27"/>
      <c r="E112" s="9">
        <v>0</v>
      </c>
      <c r="F112" s="96"/>
      <c r="G112" s="96"/>
      <c r="H112" s="96"/>
      <c r="I112" s="34">
        <f t="shared" si="90"/>
        <v>0</v>
      </c>
      <c r="J112" s="96"/>
      <c r="K112" s="96"/>
      <c r="L112" s="96"/>
      <c r="M112" s="34">
        <f t="shared" si="91"/>
        <v>0</v>
      </c>
      <c r="N112" s="96"/>
      <c r="O112" s="96"/>
      <c r="P112" s="96"/>
      <c r="Q112" s="34">
        <f t="shared" si="92"/>
        <v>0</v>
      </c>
      <c r="R112" s="96"/>
      <c r="S112" s="96"/>
      <c r="T112" s="96"/>
      <c r="U112" s="34">
        <f t="shared" si="93"/>
        <v>0</v>
      </c>
      <c r="V112" s="34">
        <f t="shared" si="94"/>
        <v>0</v>
      </c>
    </row>
    <row r="113" spans="1:22" ht="13.15" outlineLevel="1">
      <c r="A113" s="24"/>
      <c r="B113" s="30" t="s">
        <v>21</v>
      </c>
      <c r="C113" s="30"/>
      <c r="D113" s="30"/>
      <c r="E113" s="10"/>
      <c r="F113" s="45">
        <f t="shared" ref="F113:U113" si="95">SUM(F108:F112)</f>
        <v>0</v>
      </c>
      <c r="G113" s="45">
        <f t="shared" si="95"/>
        <v>0</v>
      </c>
      <c r="H113" s="45">
        <f t="shared" si="95"/>
        <v>0</v>
      </c>
      <c r="I113" s="35">
        <f t="shared" si="95"/>
        <v>0</v>
      </c>
      <c r="J113" s="45">
        <f t="shared" si="95"/>
        <v>0</v>
      </c>
      <c r="K113" s="45">
        <f t="shared" si="95"/>
        <v>0</v>
      </c>
      <c r="L113" s="45">
        <f t="shared" si="95"/>
        <v>0</v>
      </c>
      <c r="M113" s="35">
        <f t="shared" si="95"/>
        <v>0</v>
      </c>
      <c r="N113" s="45">
        <f t="shared" si="95"/>
        <v>0</v>
      </c>
      <c r="O113" s="45">
        <f t="shared" si="95"/>
        <v>0</v>
      </c>
      <c r="P113" s="45">
        <f t="shared" si="95"/>
        <v>0</v>
      </c>
      <c r="Q113" s="35">
        <f t="shared" si="95"/>
        <v>0</v>
      </c>
      <c r="R113" s="45">
        <f t="shared" si="95"/>
        <v>0</v>
      </c>
      <c r="S113" s="45">
        <f t="shared" si="95"/>
        <v>0</v>
      </c>
      <c r="T113" s="45">
        <f t="shared" si="95"/>
        <v>0</v>
      </c>
      <c r="U113" s="35">
        <f t="shared" si="95"/>
        <v>0</v>
      </c>
      <c r="V113" s="35">
        <f t="shared" si="94"/>
        <v>0</v>
      </c>
    </row>
    <row r="114" spans="1:22" ht="13.15">
      <c r="A114" s="24"/>
      <c r="B114" s="24"/>
      <c r="C114" s="24"/>
      <c r="D114" s="24" t="s">
        <v>22</v>
      </c>
      <c r="E114" s="8"/>
      <c r="F114" s="44">
        <f>F88+F89+F97+F106+F113</f>
        <v>0</v>
      </c>
      <c r="G114" s="44">
        <f>G88+G89+G97+G106+G113</f>
        <v>200000</v>
      </c>
      <c r="H114" s="44">
        <f>H88+H89+H97+H106+H113</f>
        <v>200000</v>
      </c>
      <c r="I114" s="35">
        <f>I113+I106+I97+I89+I88</f>
        <v>400000</v>
      </c>
      <c r="J114" s="44">
        <f>J88+J89+J97+J106+J113</f>
        <v>200000</v>
      </c>
      <c r="K114" s="44">
        <f>K88+K89+K97+K106+K113</f>
        <v>200000</v>
      </c>
      <c r="L114" s="44">
        <f>L88+L89+L97+L106+L113</f>
        <v>200000</v>
      </c>
      <c r="M114" s="35">
        <f>M113+M106+M97+M89+M88</f>
        <v>600000</v>
      </c>
      <c r="N114" s="44">
        <f>N88+N89+N97+N106+N113</f>
        <v>200000</v>
      </c>
      <c r="O114" s="44">
        <f>O88+O89+O97+O106+O113</f>
        <v>200000</v>
      </c>
      <c r="P114" s="44">
        <f>P88+P89+P97+P106+P113</f>
        <v>200000</v>
      </c>
      <c r="Q114" s="35">
        <f>Q113+Q106+Q97+Q89+Q88</f>
        <v>600000</v>
      </c>
      <c r="R114" s="44">
        <f>R88+R89+R97+R106+R113</f>
        <v>200000</v>
      </c>
      <c r="S114" s="44">
        <f>S88+S89+S97+S106+S113</f>
        <v>200000</v>
      </c>
      <c r="T114" s="44">
        <f>T88+T89+T97+T106+T113</f>
        <v>200000</v>
      </c>
      <c r="U114" s="35">
        <f>U113+U106+U97+U89+U88</f>
        <v>600000</v>
      </c>
      <c r="V114" s="35">
        <f t="shared" si="94"/>
        <v>2200000</v>
      </c>
    </row>
    <row r="115" spans="1:22" ht="13.9">
      <c r="A115" s="11" t="s">
        <v>23</v>
      </c>
      <c r="B115" s="11"/>
      <c r="C115" s="11"/>
      <c r="D115" s="11"/>
      <c r="E115" s="12"/>
      <c r="F115" s="46">
        <f t="shared" ref="F115:U115" si="96">F114+F77</f>
        <v>15151000</v>
      </c>
      <c r="G115" s="46">
        <f t="shared" si="96"/>
        <v>14570000</v>
      </c>
      <c r="H115" s="46">
        <f t="shared" si="96"/>
        <v>14570000</v>
      </c>
      <c r="I115" s="109">
        <f t="shared" si="96"/>
        <v>44291000</v>
      </c>
      <c r="J115" s="46">
        <f t="shared" si="96"/>
        <v>14570000</v>
      </c>
      <c r="K115" s="46">
        <f t="shared" si="96"/>
        <v>14570000</v>
      </c>
      <c r="L115" s="46">
        <f t="shared" si="96"/>
        <v>14570000</v>
      </c>
      <c r="M115" s="109">
        <f t="shared" si="96"/>
        <v>43710000</v>
      </c>
      <c r="N115" s="46">
        <f t="shared" si="96"/>
        <v>14570000</v>
      </c>
      <c r="O115" s="46">
        <f t="shared" si="96"/>
        <v>14570000</v>
      </c>
      <c r="P115" s="46">
        <f t="shared" si="96"/>
        <v>14570000</v>
      </c>
      <c r="Q115" s="109">
        <f t="shared" si="96"/>
        <v>43710000</v>
      </c>
      <c r="R115" s="46">
        <f t="shared" si="96"/>
        <v>14570000</v>
      </c>
      <c r="S115" s="46">
        <f t="shared" si="96"/>
        <v>14570000</v>
      </c>
      <c r="T115" s="46">
        <f t="shared" si="96"/>
        <v>14570000</v>
      </c>
      <c r="U115" s="109">
        <f t="shared" si="96"/>
        <v>43710000</v>
      </c>
      <c r="V115" s="40">
        <f t="shared" si="94"/>
        <v>175421000</v>
      </c>
    </row>
    <row r="116" spans="1:22" ht="13.15" thickBot="1">
      <c r="A116" s="14"/>
      <c r="B116" s="14"/>
      <c r="C116" s="14"/>
      <c r="D116" s="14"/>
      <c r="E116" s="15"/>
      <c r="F116" s="47"/>
      <c r="G116" s="47"/>
      <c r="H116" s="47"/>
      <c r="I116" s="37"/>
      <c r="J116" s="47"/>
      <c r="K116" s="47"/>
      <c r="L116" s="47"/>
      <c r="M116" s="37"/>
      <c r="N116" s="47"/>
      <c r="O116" s="47"/>
      <c r="P116" s="47"/>
      <c r="Q116" s="37"/>
      <c r="R116" s="47"/>
      <c r="S116" s="47"/>
      <c r="T116" s="47"/>
      <c r="U116" s="37"/>
      <c r="V116" s="37"/>
    </row>
    <row r="117" spans="1:22">
      <c r="A117" s="7"/>
      <c r="B117" s="7"/>
      <c r="C117" s="7"/>
      <c r="D117" s="7"/>
      <c r="F117" s="13"/>
      <c r="G117" s="13"/>
      <c r="H117" s="13"/>
      <c r="J117" s="13"/>
      <c r="K117" s="13"/>
      <c r="L117" s="13"/>
      <c r="N117" s="13" t="s">
        <v>86</v>
      </c>
      <c r="O117" s="13"/>
      <c r="P117" s="13"/>
      <c r="R117" s="13"/>
      <c r="S117" s="13"/>
      <c r="T117" s="13"/>
    </row>
    <row r="118" spans="1:22" ht="13.15">
      <c r="D118" s="104"/>
      <c r="F118" s="39"/>
      <c r="G118" s="39"/>
      <c r="H118" s="39"/>
      <c r="J118" s="39"/>
      <c r="K118" s="39"/>
      <c r="L118" s="39"/>
      <c r="N118" s="39"/>
      <c r="O118" s="39"/>
      <c r="P118" s="39"/>
      <c r="R118" s="39"/>
      <c r="S118" s="39"/>
      <c r="T118" s="39"/>
    </row>
    <row r="119" spans="1:22">
      <c r="D119" s="106"/>
      <c r="F119" s="199"/>
      <c r="G119" s="200"/>
      <c r="H119" s="200"/>
      <c r="J119" s="163"/>
      <c r="O119" s="163"/>
      <c r="P119" s="163"/>
      <c r="R119" s="163"/>
      <c r="S119" s="163"/>
    </row>
    <row r="120" spans="1:22">
      <c r="D120" s="106"/>
      <c r="F120" s="189"/>
      <c r="G120" s="189"/>
      <c r="H120" s="189"/>
      <c r="J120" s="189"/>
      <c r="K120" s="189"/>
      <c r="L120" s="189"/>
      <c r="N120" s="189"/>
      <c r="O120" s="189"/>
      <c r="P120" s="189"/>
      <c r="R120" s="189"/>
      <c r="S120" s="189"/>
      <c r="T120" s="189"/>
    </row>
  </sheetData>
  <mergeCells count="15">
    <mergeCell ref="C24:D24"/>
    <mergeCell ref="C25:D25"/>
    <mergeCell ref="A26:D26"/>
    <mergeCell ref="A28:D28"/>
    <mergeCell ref="C29:D29"/>
    <mergeCell ref="A15:A25"/>
    <mergeCell ref="C15:D15"/>
    <mergeCell ref="C21:D21"/>
    <mergeCell ref="C22:D22"/>
    <mergeCell ref="C23:D23"/>
    <mergeCell ref="A3:D3"/>
    <mergeCell ref="A4:A11"/>
    <mergeCell ref="B5:B10"/>
    <mergeCell ref="A12:D12"/>
    <mergeCell ref="A14:D14"/>
  </mergeCells>
  <phoneticPr fontId="8" type="noConversion"/>
  <pageMargins left="0.59055118110236227" right="0.39370078740157483" top="0.78740157480314965" bottom="0.39370078740157483" header="0.31496062992125984" footer="0.51181102362204722"/>
  <pageSetup scale="10" fitToHeight="2" orientation="portrait" r:id="rId1"/>
  <headerFooter alignWithMargins="0">
    <oddHeader>&amp;L&amp;Z&amp;F&amp;A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U116"/>
  <sheetViews>
    <sheetView workbookViewId="0">
      <pane xSplit="4" ySplit="2" topLeftCell="E46" activePane="bottomRight" state="frozen"/>
      <selection pane="topRight" activeCell="E1" sqref="E1"/>
      <selection pane="bottomLeft" activeCell="A3" sqref="A3"/>
      <selection pane="bottomRight" activeCell="R34" sqref="R34:T34"/>
    </sheetView>
  </sheetViews>
  <sheetFormatPr defaultColWidth="8.87890625" defaultRowHeight="12.75" outlineLevelRow="2" outlineLevelCol="1"/>
  <cols>
    <col min="1" max="3" width="1.3515625" style="3" customWidth="1"/>
    <col min="4" max="4" width="21.1171875" style="3" customWidth="1"/>
    <col min="5" max="5" width="1.64453125" style="7" customWidth="1"/>
    <col min="6" max="6" width="10.234375" style="3" customWidth="1" outlineLevel="1"/>
    <col min="7" max="8" width="10.87890625" style="3" customWidth="1" outlineLevel="1"/>
    <col min="9" max="9" width="10.87890625" style="3" bestFit="1" customWidth="1"/>
    <col min="10" max="10" width="10.234375" style="3" customWidth="1" outlineLevel="1"/>
    <col min="11" max="12" width="10.87890625" style="3" customWidth="1" outlineLevel="1"/>
    <col min="13" max="13" width="10.87890625" style="3" bestFit="1" customWidth="1"/>
    <col min="14" max="14" width="10.234375" style="3" customWidth="1" outlineLevel="1"/>
    <col min="15" max="16" width="10.87890625" style="3" customWidth="1" outlineLevel="1"/>
    <col min="17" max="17" width="10.87890625" style="3" bestFit="1" customWidth="1"/>
    <col min="18" max="20" width="10.234375" style="3" customWidth="1" outlineLevel="1"/>
    <col min="21" max="22" width="10.87890625" style="3" bestFit="1" customWidth="1"/>
    <col min="23" max="16384" width="8.87890625" style="3"/>
  </cols>
  <sheetData>
    <row r="1" spans="1:47" ht="13.9" thickBot="1">
      <c r="A1" s="1"/>
      <c r="B1" s="1"/>
      <c r="C1" s="1"/>
      <c r="D1" s="38"/>
      <c r="E1" s="2"/>
      <c r="F1" s="18" t="s">
        <v>69</v>
      </c>
      <c r="G1" s="18" t="s">
        <v>70</v>
      </c>
      <c r="H1" s="18" t="s">
        <v>71</v>
      </c>
      <c r="I1" s="18" t="s">
        <v>72</v>
      </c>
      <c r="J1" s="18" t="s">
        <v>74</v>
      </c>
      <c r="K1" s="18" t="s">
        <v>75</v>
      </c>
      <c r="L1" s="18" t="s">
        <v>76</v>
      </c>
      <c r="M1" s="18" t="s">
        <v>77</v>
      </c>
      <c r="N1" s="18" t="s">
        <v>80</v>
      </c>
      <c r="O1" s="18" t="s">
        <v>81</v>
      </c>
      <c r="P1" s="18" t="s">
        <v>82</v>
      </c>
      <c r="Q1" s="18" t="s">
        <v>83</v>
      </c>
      <c r="R1" s="18" t="s">
        <v>88</v>
      </c>
      <c r="S1" s="18" t="s">
        <v>91</v>
      </c>
      <c r="T1" s="18" t="s">
        <v>92</v>
      </c>
      <c r="U1" s="18" t="s">
        <v>89</v>
      </c>
      <c r="V1" s="18">
        <v>2026</v>
      </c>
      <c r="AU1" s="4"/>
    </row>
    <row r="2" spans="1:47" ht="13.5" thickBot="1">
      <c r="A2" s="5"/>
      <c r="B2" s="5"/>
      <c r="C2" s="5"/>
      <c r="D2" s="6"/>
      <c r="E2" s="2"/>
      <c r="F2" s="110" t="s">
        <v>24</v>
      </c>
      <c r="G2" s="110" t="s">
        <v>24</v>
      </c>
      <c r="H2" s="110" t="s">
        <v>24</v>
      </c>
      <c r="I2" s="137" t="s">
        <v>25</v>
      </c>
      <c r="J2" s="110" t="s">
        <v>24</v>
      </c>
      <c r="K2" s="110" t="s">
        <v>24</v>
      </c>
      <c r="L2" s="110" t="s">
        <v>24</v>
      </c>
      <c r="M2" s="137" t="s">
        <v>25</v>
      </c>
      <c r="N2" s="110" t="s">
        <v>24</v>
      </c>
      <c r="O2" s="110" t="s">
        <v>24</v>
      </c>
      <c r="P2" s="110" t="s">
        <v>24</v>
      </c>
      <c r="Q2" s="137" t="s">
        <v>25</v>
      </c>
      <c r="R2" s="110" t="s">
        <v>24</v>
      </c>
      <c r="S2" s="110" t="s">
        <v>24</v>
      </c>
      <c r="T2" s="110" t="s">
        <v>24</v>
      </c>
      <c r="U2" s="137" t="s">
        <v>25</v>
      </c>
      <c r="V2" s="137" t="s">
        <v>25</v>
      </c>
    </row>
    <row r="3" spans="1:47" s="111" customFormat="1" ht="12.75" customHeight="1">
      <c r="A3" s="447" t="s">
        <v>159</v>
      </c>
      <c r="B3" s="448"/>
      <c r="C3" s="448"/>
      <c r="D3" s="449"/>
      <c r="E3" s="2"/>
      <c r="F3" s="133"/>
      <c r="G3" s="133"/>
      <c r="H3" s="133"/>
      <c r="I3" s="34"/>
      <c r="J3" s="133"/>
      <c r="K3" s="133"/>
      <c r="L3" s="133"/>
      <c r="M3" s="34"/>
      <c r="N3" s="133"/>
      <c r="O3" s="133"/>
      <c r="P3" s="133"/>
      <c r="Q3" s="34"/>
      <c r="R3" s="133"/>
      <c r="S3" s="133"/>
      <c r="T3" s="133"/>
      <c r="U3" s="34"/>
      <c r="V3" s="134"/>
    </row>
    <row r="4" spans="1:47" s="111" customFormat="1" ht="12.75" customHeight="1">
      <c r="A4" s="450"/>
      <c r="B4" s="112" t="s">
        <v>160</v>
      </c>
      <c r="C4" s="112"/>
      <c r="D4" s="113"/>
      <c r="E4" s="2"/>
      <c r="F4" s="43"/>
      <c r="G4" s="43"/>
      <c r="H4" s="43"/>
      <c r="I4" s="34"/>
      <c r="J4" s="43"/>
      <c r="K4" s="43"/>
      <c r="L4" s="43"/>
      <c r="M4" s="34"/>
      <c r="N4" s="43"/>
      <c r="O4" s="43"/>
      <c r="P4" s="43"/>
      <c r="Q4" s="34"/>
      <c r="R4" s="43"/>
      <c r="S4" s="43"/>
      <c r="T4" s="43"/>
      <c r="U4" s="34"/>
      <c r="V4" s="34"/>
    </row>
    <row r="5" spans="1:47" s="111" customFormat="1" ht="12.75" customHeight="1" outlineLevel="1">
      <c r="A5" s="450"/>
      <c r="B5" s="451"/>
      <c r="C5" s="114"/>
      <c r="D5" s="115" t="s">
        <v>161</v>
      </c>
      <c r="E5" s="7">
        <v>1</v>
      </c>
      <c r="F5" s="43"/>
      <c r="G5" s="43"/>
      <c r="H5" s="43"/>
      <c r="I5" s="34">
        <f t="shared" ref="I5:I10" si="0">H5+G5+F5</f>
        <v>0</v>
      </c>
      <c r="J5" s="43"/>
      <c r="K5" s="43"/>
      <c r="L5" s="43"/>
      <c r="M5" s="34">
        <f t="shared" ref="M5:M10" si="1">L5+K5+J5</f>
        <v>0</v>
      </c>
      <c r="N5" s="43"/>
      <c r="O5" s="43"/>
      <c r="P5" s="43"/>
      <c r="Q5" s="34">
        <f t="shared" ref="Q5:Q10" si="2">P5+O5+N5</f>
        <v>0</v>
      </c>
      <c r="R5" s="43"/>
      <c r="S5" s="43"/>
      <c r="T5" s="43"/>
      <c r="U5" s="34">
        <f t="shared" ref="U5:U10" si="3">T5+S5+R5</f>
        <v>0</v>
      </c>
      <c r="V5" s="34">
        <f t="shared" ref="V5:V10" si="4">U5+Q5+M5+I5</f>
        <v>0</v>
      </c>
    </row>
    <row r="6" spans="1:47" s="111" customFormat="1" ht="12.75" customHeight="1" outlineLevel="1">
      <c r="A6" s="450"/>
      <c r="B6" s="451"/>
      <c r="C6" s="116"/>
      <c r="D6" s="117" t="s">
        <v>162</v>
      </c>
      <c r="E6" s="7">
        <v>1</v>
      </c>
      <c r="F6" s="43"/>
      <c r="G6" s="43"/>
      <c r="H6" s="43"/>
      <c r="I6" s="34">
        <f t="shared" si="0"/>
        <v>0</v>
      </c>
      <c r="J6" s="43"/>
      <c r="K6" s="43"/>
      <c r="L6" s="43"/>
      <c r="M6" s="34">
        <f t="shared" si="1"/>
        <v>0</v>
      </c>
      <c r="N6" s="43"/>
      <c r="O6" s="43"/>
      <c r="P6" s="43"/>
      <c r="Q6" s="34">
        <f t="shared" si="2"/>
        <v>0</v>
      </c>
      <c r="R6" s="43"/>
      <c r="S6" s="43"/>
      <c r="T6" s="43"/>
      <c r="U6" s="34">
        <f t="shared" si="3"/>
        <v>0</v>
      </c>
      <c r="V6" s="34">
        <f t="shared" si="4"/>
        <v>0</v>
      </c>
    </row>
    <row r="7" spans="1:47" s="111" customFormat="1" ht="12.75" customHeight="1" outlineLevel="1">
      <c r="A7" s="450"/>
      <c r="B7" s="451"/>
      <c r="C7" s="116"/>
      <c r="D7" s="117" t="s">
        <v>163</v>
      </c>
      <c r="E7" s="7">
        <v>1</v>
      </c>
      <c r="F7" s="43"/>
      <c r="G7" s="43"/>
      <c r="H7" s="43"/>
      <c r="I7" s="34">
        <f t="shared" si="0"/>
        <v>0</v>
      </c>
      <c r="J7" s="43"/>
      <c r="K7" s="43"/>
      <c r="L7" s="43"/>
      <c r="M7" s="34">
        <f t="shared" si="1"/>
        <v>0</v>
      </c>
      <c r="N7" s="43"/>
      <c r="O7" s="43"/>
      <c r="P7" s="43"/>
      <c r="Q7" s="34">
        <f t="shared" si="2"/>
        <v>0</v>
      </c>
      <c r="R7" s="43"/>
      <c r="S7" s="43"/>
      <c r="T7" s="43"/>
      <c r="U7" s="34">
        <f t="shared" si="3"/>
        <v>0</v>
      </c>
      <c r="V7" s="34">
        <f t="shared" si="4"/>
        <v>0</v>
      </c>
    </row>
    <row r="8" spans="1:47" s="111" customFormat="1" ht="12.75" customHeight="1" outlineLevel="1">
      <c r="A8" s="450"/>
      <c r="B8" s="451"/>
      <c r="C8" s="116"/>
      <c r="D8" s="118" t="s">
        <v>164</v>
      </c>
      <c r="E8" s="7"/>
      <c r="F8" s="43"/>
      <c r="G8" s="43"/>
      <c r="H8" s="43"/>
      <c r="I8" s="34">
        <f t="shared" si="0"/>
        <v>0</v>
      </c>
      <c r="J8" s="43"/>
      <c r="K8" s="43"/>
      <c r="L8" s="43"/>
      <c r="M8" s="34">
        <f t="shared" si="1"/>
        <v>0</v>
      </c>
      <c r="N8" s="43"/>
      <c r="O8" s="43"/>
      <c r="P8" s="43"/>
      <c r="Q8" s="34">
        <f t="shared" si="2"/>
        <v>0</v>
      </c>
      <c r="R8" s="43"/>
      <c r="S8" s="43"/>
      <c r="T8" s="43"/>
      <c r="U8" s="34">
        <f t="shared" si="3"/>
        <v>0</v>
      </c>
      <c r="V8" s="34">
        <f t="shared" si="4"/>
        <v>0</v>
      </c>
    </row>
    <row r="9" spans="1:47" s="111" customFormat="1" ht="12.75" customHeight="1" outlineLevel="1">
      <c r="A9" s="450"/>
      <c r="B9" s="451"/>
      <c r="C9" s="116"/>
      <c r="D9" s="117" t="s">
        <v>166</v>
      </c>
      <c r="E9" s="7"/>
      <c r="F9" s="43">
        <v>0</v>
      </c>
      <c r="G9" s="43"/>
      <c r="H9" s="43"/>
      <c r="I9" s="34">
        <f t="shared" si="0"/>
        <v>0</v>
      </c>
      <c r="J9" s="43"/>
      <c r="K9" s="43"/>
      <c r="L9" s="43"/>
      <c r="M9" s="34">
        <f t="shared" si="1"/>
        <v>0</v>
      </c>
      <c r="N9" s="43"/>
      <c r="O9" s="43"/>
      <c r="P9" s="43"/>
      <c r="Q9" s="34">
        <f t="shared" si="2"/>
        <v>0</v>
      </c>
      <c r="R9" s="43"/>
      <c r="S9" s="43"/>
      <c r="T9" s="43"/>
      <c r="U9" s="34">
        <f t="shared" si="3"/>
        <v>0</v>
      </c>
      <c r="V9" s="34">
        <f t="shared" si="4"/>
        <v>0</v>
      </c>
    </row>
    <row r="10" spans="1:47" s="111" customFormat="1" ht="12.75" customHeight="1" outlineLevel="1">
      <c r="A10" s="450"/>
      <c r="B10" s="451"/>
      <c r="C10" s="116"/>
      <c r="D10" s="117" t="s">
        <v>165</v>
      </c>
      <c r="E10" s="7"/>
      <c r="F10" s="43">
        <v>0</v>
      </c>
      <c r="G10" s="43"/>
      <c r="H10" s="43"/>
      <c r="I10" s="34">
        <f t="shared" si="0"/>
        <v>0</v>
      </c>
      <c r="J10" s="43"/>
      <c r="K10" s="43"/>
      <c r="L10" s="43"/>
      <c r="M10" s="34">
        <f t="shared" si="1"/>
        <v>0</v>
      </c>
      <c r="N10" s="43"/>
      <c r="O10" s="43"/>
      <c r="P10" s="43"/>
      <c r="Q10" s="34">
        <f t="shared" si="2"/>
        <v>0</v>
      </c>
      <c r="R10" s="43"/>
      <c r="S10" s="43"/>
      <c r="T10" s="43"/>
      <c r="U10" s="34">
        <f t="shared" si="3"/>
        <v>0</v>
      </c>
      <c r="V10" s="34">
        <f t="shared" si="4"/>
        <v>0</v>
      </c>
    </row>
    <row r="11" spans="1:47" s="111" customFormat="1" ht="6.75" customHeight="1">
      <c r="A11" s="450"/>
      <c r="B11" s="4"/>
      <c r="C11" s="4"/>
      <c r="D11" s="119"/>
      <c r="E11" s="120"/>
      <c r="F11" s="43"/>
      <c r="G11" s="43"/>
      <c r="H11" s="43"/>
      <c r="I11" s="34"/>
      <c r="J11" s="43"/>
      <c r="K11" s="43"/>
      <c r="L11" s="43"/>
      <c r="M11" s="34"/>
      <c r="N11" s="43"/>
      <c r="O11" s="43"/>
      <c r="P11" s="43"/>
      <c r="Q11" s="34"/>
      <c r="R11" s="43"/>
      <c r="S11" s="43"/>
      <c r="T11" s="43"/>
      <c r="U11" s="34"/>
      <c r="V11" s="34"/>
    </row>
    <row r="12" spans="1:47" s="111" customFormat="1" ht="12.75" customHeight="1">
      <c r="A12" s="447" t="s">
        <v>167</v>
      </c>
      <c r="B12" s="448"/>
      <c r="C12" s="448"/>
      <c r="D12" s="449"/>
      <c r="E12" s="8"/>
      <c r="F12" s="44">
        <f t="shared" ref="F12:V12" si="5">SUM(F5:F10)</f>
        <v>0</v>
      </c>
      <c r="G12" s="44">
        <f t="shared" si="5"/>
        <v>0</v>
      </c>
      <c r="H12" s="44">
        <f t="shared" si="5"/>
        <v>0</v>
      </c>
      <c r="I12" s="35">
        <f t="shared" si="5"/>
        <v>0</v>
      </c>
      <c r="J12" s="44">
        <f t="shared" si="5"/>
        <v>0</v>
      </c>
      <c r="K12" s="44">
        <f t="shared" si="5"/>
        <v>0</v>
      </c>
      <c r="L12" s="44">
        <f t="shared" si="5"/>
        <v>0</v>
      </c>
      <c r="M12" s="35">
        <f t="shared" si="5"/>
        <v>0</v>
      </c>
      <c r="N12" s="44">
        <f t="shared" si="5"/>
        <v>0</v>
      </c>
      <c r="O12" s="44">
        <f t="shared" si="5"/>
        <v>0</v>
      </c>
      <c r="P12" s="44">
        <f t="shared" si="5"/>
        <v>0</v>
      </c>
      <c r="Q12" s="35">
        <f t="shared" si="5"/>
        <v>0</v>
      </c>
      <c r="R12" s="44">
        <f t="shared" si="5"/>
        <v>0</v>
      </c>
      <c r="S12" s="44">
        <f t="shared" si="5"/>
        <v>0</v>
      </c>
      <c r="T12" s="44">
        <f t="shared" si="5"/>
        <v>0</v>
      </c>
      <c r="U12" s="35">
        <f t="shared" si="5"/>
        <v>0</v>
      </c>
      <c r="V12" s="35">
        <f t="shared" si="5"/>
        <v>0</v>
      </c>
    </row>
    <row r="13" spans="1:47" s="111" customFormat="1" ht="5.25" customHeight="1">
      <c r="A13" s="121"/>
      <c r="B13" s="3"/>
      <c r="C13" s="3"/>
      <c r="D13" s="119"/>
      <c r="E13" s="4"/>
      <c r="F13" s="43"/>
      <c r="G13" s="43"/>
      <c r="H13" s="43"/>
      <c r="I13" s="34"/>
      <c r="J13" s="43"/>
      <c r="K13" s="43"/>
      <c r="L13" s="43"/>
      <c r="M13" s="34"/>
      <c r="N13" s="43"/>
      <c r="O13" s="43"/>
      <c r="P13" s="43"/>
      <c r="Q13" s="34"/>
      <c r="R13" s="43"/>
      <c r="S13" s="43"/>
      <c r="T13" s="43"/>
      <c r="U13" s="34"/>
      <c r="V13" s="34"/>
    </row>
    <row r="14" spans="1:47" s="111" customFormat="1" ht="12.75" customHeight="1">
      <c r="A14" s="452" t="s">
        <v>168</v>
      </c>
      <c r="B14" s="453"/>
      <c r="C14" s="453"/>
      <c r="D14" s="454"/>
      <c r="E14" s="7"/>
      <c r="F14" s="43"/>
      <c r="G14" s="43"/>
      <c r="H14" s="43"/>
      <c r="I14" s="34"/>
      <c r="J14" s="43"/>
      <c r="K14" s="43"/>
      <c r="L14" s="43"/>
      <c r="M14" s="34"/>
      <c r="N14" s="43"/>
      <c r="O14" s="43"/>
      <c r="P14" s="43"/>
      <c r="Q14" s="34"/>
      <c r="R14" s="43"/>
      <c r="S14" s="43"/>
      <c r="T14" s="43"/>
      <c r="U14" s="34"/>
      <c r="V14" s="34"/>
    </row>
    <row r="15" spans="1:47" s="111" customFormat="1" ht="12.75" customHeight="1" outlineLevel="1">
      <c r="A15" s="465"/>
      <c r="B15" s="3"/>
      <c r="C15" s="466" t="s">
        <v>169</v>
      </c>
      <c r="D15" s="467"/>
      <c r="E15" s="7"/>
      <c r="F15" s="43"/>
      <c r="G15" s="43"/>
      <c r="H15" s="43"/>
      <c r="I15" s="34"/>
      <c r="J15" s="43"/>
      <c r="K15" s="43"/>
      <c r="L15" s="43"/>
      <c r="M15" s="34"/>
      <c r="N15" s="43"/>
      <c r="O15" s="43"/>
      <c r="P15" s="43"/>
      <c r="Q15" s="34"/>
      <c r="R15" s="43"/>
      <c r="S15" s="43"/>
      <c r="T15" s="43"/>
      <c r="U15" s="34"/>
      <c r="V15" s="34"/>
    </row>
    <row r="16" spans="1:47" s="111" customFormat="1" ht="12.75" customHeight="1" outlineLevel="1">
      <c r="A16" s="465"/>
      <c r="B16" s="3"/>
      <c r="C16" s="116"/>
      <c r="D16" s="117" t="s">
        <v>170</v>
      </c>
      <c r="E16" s="7">
        <v>0</v>
      </c>
      <c r="F16" s="43"/>
      <c r="G16" s="43"/>
      <c r="H16" s="43"/>
      <c r="I16" s="34">
        <f t="shared" ref="I16:I22" si="6">H16+G16+F16</f>
        <v>0</v>
      </c>
      <c r="J16" s="43"/>
      <c r="K16" s="43"/>
      <c r="L16" s="43"/>
      <c r="M16" s="34">
        <f t="shared" ref="M16:M22" si="7">L16+K16+J16</f>
        <v>0</v>
      </c>
      <c r="N16" s="43"/>
      <c r="O16" s="43"/>
      <c r="P16" s="43"/>
      <c r="Q16" s="34">
        <f t="shared" ref="Q16:Q22" si="8">P16+O16+N16</f>
        <v>0</v>
      </c>
      <c r="R16" s="43"/>
      <c r="S16" s="43"/>
      <c r="T16" s="43"/>
      <c r="U16" s="34">
        <f t="shared" ref="U16:U25" si="9">T16+S16+R16</f>
        <v>0</v>
      </c>
      <c r="V16" s="34">
        <f t="shared" ref="V16:V25" si="10">U16+Q16+M16+I16</f>
        <v>0</v>
      </c>
    </row>
    <row r="17" spans="1:22" s="111" customFormat="1" ht="12.75" customHeight="1" outlineLevel="1">
      <c r="A17" s="465"/>
      <c r="B17" s="3"/>
      <c r="C17" s="116"/>
      <c r="D17" s="117" t="s">
        <v>172</v>
      </c>
      <c r="E17" s="7"/>
      <c r="F17" s="43"/>
      <c r="G17" s="43"/>
      <c r="H17" s="43"/>
      <c r="I17" s="34">
        <f t="shared" si="6"/>
        <v>0</v>
      </c>
      <c r="J17" s="43"/>
      <c r="K17" s="43"/>
      <c r="L17" s="43"/>
      <c r="M17" s="34">
        <f t="shared" si="7"/>
        <v>0</v>
      </c>
      <c r="N17" s="43"/>
      <c r="O17" s="43"/>
      <c r="P17" s="43"/>
      <c r="Q17" s="34">
        <f t="shared" si="8"/>
        <v>0</v>
      </c>
      <c r="R17" s="43"/>
      <c r="S17" s="43"/>
      <c r="T17" s="43"/>
      <c r="U17" s="34">
        <f t="shared" si="9"/>
        <v>0</v>
      </c>
      <c r="V17" s="34">
        <f t="shared" si="10"/>
        <v>0</v>
      </c>
    </row>
    <row r="18" spans="1:22" s="111" customFormat="1" ht="12.75" customHeight="1" outlineLevel="1">
      <c r="A18" s="465"/>
      <c r="B18" s="3"/>
      <c r="C18" s="116"/>
      <c r="D18" s="117" t="s">
        <v>294</v>
      </c>
      <c r="E18" s="7"/>
      <c r="F18" s="43"/>
      <c r="G18" s="43"/>
      <c r="H18" s="43"/>
      <c r="I18" s="34">
        <f t="shared" si="6"/>
        <v>0</v>
      </c>
      <c r="J18" s="43"/>
      <c r="K18" s="43"/>
      <c r="L18" s="43"/>
      <c r="M18" s="34">
        <f t="shared" si="7"/>
        <v>0</v>
      </c>
      <c r="N18" s="43"/>
      <c r="O18" s="43"/>
      <c r="P18" s="43"/>
      <c r="Q18" s="34">
        <f t="shared" si="8"/>
        <v>0</v>
      </c>
      <c r="R18" s="43"/>
      <c r="S18" s="43"/>
      <c r="T18" s="43"/>
      <c r="U18" s="34">
        <f t="shared" si="9"/>
        <v>0</v>
      </c>
      <c r="V18" s="34">
        <f t="shared" si="10"/>
        <v>0</v>
      </c>
    </row>
    <row r="19" spans="1:22" s="111" customFormat="1" ht="12.75" customHeight="1" outlineLevel="1">
      <c r="A19" s="465"/>
      <c r="B19" s="3"/>
      <c r="C19" s="116"/>
      <c r="D19" s="117" t="s">
        <v>173</v>
      </c>
      <c r="E19" s="7"/>
      <c r="F19" s="43"/>
      <c r="G19" s="43"/>
      <c r="H19" s="43"/>
      <c r="I19" s="34">
        <f t="shared" si="6"/>
        <v>0</v>
      </c>
      <c r="J19" s="43"/>
      <c r="K19" s="43"/>
      <c r="L19" s="43"/>
      <c r="M19" s="34">
        <f t="shared" si="7"/>
        <v>0</v>
      </c>
      <c r="N19" s="43"/>
      <c r="O19" s="43"/>
      <c r="P19" s="43"/>
      <c r="Q19" s="34">
        <f t="shared" si="8"/>
        <v>0</v>
      </c>
      <c r="R19" s="43"/>
      <c r="S19" s="43"/>
      <c r="T19" s="43"/>
      <c r="U19" s="34">
        <f t="shared" si="9"/>
        <v>0</v>
      </c>
      <c r="V19" s="34">
        <f t="shared" si="10"/>
        <v>0</v>
      </c>
    </row>
    <row r="20" spans="1:22" s="111" customFormat="1" ht="12.75" customHeight="1" outlineLevel="1">
      <c r="A20" s="465"/>
      <c r="B20" s="3"/>
      <c r="C20" s="116"/>
      <c r="D20" s="118" t="s">
        <v>174</v>
      </c>
      <c r="E20" s="7">
        <v>0</v>
      </c>
      <c r="F20" s="43"/>
      <c r="G20" s="43"/>
      <c r="H20" s="43"/>
      <c r="I20" s="34">
        <f t="shared" si="6"/>
        <v>0</v>
      </c>
      <c r="J20" s="43"/>
      <c r="K20" s="43"/>
      <c r="L20" s="43"/>
      <c r="M20" s="34">
        <f t="shared" si="7"/>
        <v>0</v>
      </c>
      <c r="N20" s="43"/>
      <c r="O20" s="43"/>
      <c r="P20" s="43"/>
      <c r="Q20" s="34">
        <f t="shared" si="8"/>
        <v>0</v>
      </c>
      <c r="R20" s="43"/>
      <c r="S20" s="43"/>
      <c r="T20" s="43"/>
      <c r="U20" s="34">
        <f t="shared" si="9"/>
        <v>0</v>
      </c>
      <c r="V20" s="34">
        <f t="shared" si="10"/>
        <v>0</v>
      </c>
    </row>
    <row r="21" spans="1:22" s="111" customFormat="1" ht="12.75" customHeight="1" outlineLevel="1">
      <c r="A21" s="465"/>
      <c r="B21" s="3"/>
      <c r="C21" s="468" t="s">
        <v>175</v>
      </c>
      <c r="D21" s="469"/>
      <c r="E21" s="7"/>
      <c r="F21" s="43"/>
      <c r="G21" s="43"/>
      <c r="H21" s="43"/>
      <c r="I21" s="34">
        <f t="shared" si="6"/>
        <v>0</v>
      </c>
      <c r="J21" s="43"/>
      <c r="K21" s="43"/>
      <c r="L21" s="43"/>
      <c r="M21" s="34">
        <f t="shared" si="7"/>
        <v>0</v>
      </c>
      <c r="N21" s="43"/>
      <c r="O21" s="43"/>
      <c r="P21" s="43"/>
      <c r="Q21" s="34">
        <f t="shared" si="8"/>
        <v>0</v>
      </c>
      <c r="R21" s="43"/>
      <c r="S21" s="43"/>
      <c r="T21" s="43"/>
      <c r="U21" s="34">
        <f t="shared" si="9"/>
        <v>0</v>
      </c>
      <c r="V21" s="34">
        <f t="shared" si="10"/>
        <v>0</v>
      </c>
    </row>
    <row r="22" spans="1:22" s="111" customFormat="1" ht="12.75" customHeight="1" outlineLevel="1">
      <c r="A22" s="465"/>
      <c r="B22" s="3"/>
      <c r="C22" s="468" t="s">
        <v>176</v>
      </c>
      <c r="D22" s="469"/>
      <c r="E22" s="7"/>
      <c r="F22" s="43"/>
      <c r="G22" s="43"/>
      <c r="H22" s="43"/>
      <c r="I22" s="34">
        <f t="shared" si="6"/>
        <v>0</v>
      </c>
      <c r="J22" s="43"/>
      <c r="K22" s="43"/>
      <c r="L22" s="43"/>
      <c r="M22" s="34">
        <f t="shared" si="7"/>
        <v>0</v>
      </c>
      <c r="N22" s="43"/>
      <c r="O22" s="43"/>
      <c r="P22" s="43"/>
      <c r="Q22" s="34">
        <f t="shared" si="8"/>
        <v>0</v>
      </c>
      <c r="R22" s="43"/>
      <c r="S22" s="43"/>
      <c r="T22" s="43"/>
      <c r="U22" s="34">
        <f t="shared" si="9"/>
        <v>0</v>
      </c>
      <c r="V22" s="34">
        <f t="shared" si="10"/>
        <v>0</v>
      </c>
    </row>
    <row r="23" spans="1:22" s="111" customFormat="1" ht="12.75" customHeight="1" outlineLevel="1">
      <c r="A23" s="465"/>
      <c r="B23" s="3"/>
      <c r="C23" s="457" t="s">
        <v>203</v>
      </c>
      <c r="D23" s="470"/>
      <c r="E23" s="7"/>
      <c r="F23" s="96"/>
      <c r="G23" s="96"/>
      <c r="H23" s="96"/>
      <c r="I23" s="34">
        <f>H23+G23+F23</f>
        <v>0</v>
      </c>
      <c r="J23" s="96"/>
      <c r="K23" s="96"/>
      <c r="L23" s="96"/>
      <c r="M23" s="34">
        <f>L23+K23+J23</f>
        <v>0</v>
      </c>
      <c r="N23" s="96"/>
      <c r="O23" s="96"/>
      <c r="P23" s="96"/>
      <c r="Q23" s="34">
        <f>P23+O23+N23</f>
        <v>0</v>
      </c>
      <c r="R23" s="96"/>
      <c r="S23" s="96"/>
      <c r="T23" s="96"/>
      <c r="U23" s="34">
        <f t="shared" si="9"/>
        <v>0</v>
      </c>
      <c r="V23" s="34">
        <f t="shared" si="10"/>
        <v>0</v>
      </c>
    </row>
    <row r="24" spans="1:22" s="111" customFormat="1" ht="12.75" customHeight="1" outlineLevel="1">
      <c r="A24" s="465"/>
      <c r="B24" s="3"/>
      <c r="C24" s="457" t="s">
        <v>184</v>
      </c>
      <c r="D24" s="458"/>
      <c r="E24" s="7"/>
      <c r="F24" s="96"/>
      <c r="G24" s="96"/>
      <c r="H24" s="96"/>
      <c r="I24" s="34">
        <f t="shared" ref="I24:I25" si="11">H24+G24+F24</f>
        <v>0</v>
      </c>
      <c r="J24" s="96"/>
      <c r="K24" s="96"/>
      <c r="L24" s="96"/>
      <c r="M24" s="34">
        <f t="shared" ref="M24:M25" si="12">L24+K24+J24</f>
        <v>0</v>
      </c>
      <c r="N24" s="96"/>
      <c r="O24" s="96"/>
      <c r="P24" s="96"/>
      <c r="Q24" s="34">
        <f t="shared" ref="Q24:Q25" si="13">P24+O24+N24</f>
        <v>0</v>
      </c>
      <c r="R24" s="96"/>
      <c r="S24" s="96"/>
      <c r="T24" s="96"/>
      <c r="U24" s="34">
        <f t="shared" si="9"/>
        <v>0</v>
      </c>
      <c r="V24" s="34">
        <f t="shared" si="10"/>
        <v>0</v>
      </c>
    </row>
    <row r="25" spans="1:22" s="111" customFormat="1" ht="12.75" customHeight="1" outlineLevel="1">
      <c r="A25" s="465"/>
      <c r="B25" s="3"/>
      <c r="C25" s="457" t="s">
        <v>183</v>
      </c>
      <c r="D25" s="458"/>
      <c r="E25" s="7">
        <v>0</v>
      </c>
      <c r="F25" s="43"/>
      <c r="G25" s="43"/>
      <c r="H25" s="96"/>
      <c r="I25" s="34">
        <f t="shared" si="11"/>
        <v>0</v>
      </c>
      <c r="J25" s="43"/>
      <c r="K25" s="43"/>
      <c r="L25" s="96"/>
      <c r="M25" s="34">
        <f t="shared" si="12"/>
        <v>0</v>
      </c>
      <c r="N25" s="43"/>
      <c r="O25" s="43"/>
      <c r="P25" s="96"/>
      <c r="Q25" s="34">
        <f t="shared" si="13"/>
        <v>0</v>
      </c>
      <c r="R25" s="43"/>
      <c r="S25" s="43"/>
      <c r="T25" s="96"/>
      <c r="U25" s="34">
        <f t="shared" si="9"/>
        <v>0</v>
      </c>
      <c r="V25" s="34">
        <f t="shared" si="10"/>
        <v>0</v>
      </c>
    </row>
    <row r="26" spans="1:22" s="111" customFormat="1" ht="12.75" customHeight="1">
      <c r="A26" s="459" t="s">
        <v>177</v>
      </c>
      <c r="B26" s="460"/>
      <c r="C26" s="460"/>
      <c r="D26" s="461"/>
      <c r="E26" s="8"/>
      <c r="F26" s="44">
        <f t="shared" ref="F26:V26" si="14">SUM(F16:F25)</f>
        <v>0</v>
      </c>
      <c r="G26" s="44">
        <f t="shared" si="14"/>
        <v>0</v>
      </c>
      <c r="H26" s="44">
        <f t="shared" si="14"/>
        <v>0</v>
      </c>
      <c r="I26" s="35">
        <f t="shared" si="14"/>
        <v>0</v>
      </c>
      <c r="J26" s="44">
        <f t="shared" si="14"/>
        <v>0</v>
      </c>
      <c r="K26" s="44">
        <f t="shared" si="14"/>
        <v>0</v>
      </c>
      <c r="L26" s="44">
        <f t="shared" si="14"/>
        <v>0</v>
      </c>
      <c r="M26" s="35">
        <f t="shared" si="14"/>
        <v>0</v>
      </c>
      <c r="N26" s="44">
        <f t="shared" si="14"/>
        <v>0</v>
      </c>
      <c r="O26" s="44">
        <f t="shared" si="14"/>
        <v>0</v>
      </c>
      <c r="P26" s="44">
        <f t="shared" si="14"/>
        <v>0</v>
      </c>
      <c r="Q26" s="35">
        <f t="shared" si="14"/>
        <v>0</v>
      </c>
      <c r="R26" s="44">
        <f t="shared" si="14"/>
        <v>0</v>
      </c>
      <c r="S26" s="44">
        <f t="shared" si="14"/>
        <v>0</v>
      </c>
      <c r="T26" s="44">
        <f t="shared" si="14"/>
        <v>0</v>
      </c>
      <c r="U26" s="35">
        <f t="shared" si="14"/>
        <v>0</v>
      </c>
      <c r="V26" s="35">
        <f t="shared" si="14"/>
        <v>0</v>
      </c>
    </row>
    <row r="27" spans="1:22" s="111" customFormat="1" ht="8.25" customHeight="1">
      <c r="A27" s="122"/>
      <c r="B27" s="123"/>
      <c r="C27" s="123"/>
      <c r="D27" s="124"/>
      <c r="E27" s="8"/>
      <c r="F27" s="43"/>
      <c r="G27" s="43"/>
      <c r="H27" s="43"/>
      <c r="I27" s="34"/>
      <c r="J27" s="43"/>
      <c r="K27" s="43"/>
      <c r="L27" s="43"/>
      <c r="M27" s="34"/>
      <c r="N27" s="43"/>
      <c r="O27" s="43"/>
      <c r="P27" s="43"/>
      <c r="Q27" s="34"/>
      <c r="R27" s="43"/>
      <c r="S27" s="43"/>
      <c r="T27" s="43"/>
      <c r="U27" s="34"/>
      <c r="V27" s="34"/>
    </row>
    <row r="28" spans="1:22" s="111" customFormat="1" ht="12.75" customHeight="1">
      <c r="A28" s="462" t="s">
        <v>178</v>
      </c>
      <c r="B28" s="463"/>
      <c r="C28" s="463"/>
      <c r="D28" s="464"/>
      <c r="E28" s="8"/>
      <c r="F28" s="43"/>
      <c r="G28" s="43"/>
      <c r="H28" s="43"/>
      <c r="I28" s="34"/>
      <c r="J28" s="43"/>
      <c r="K28" s="43"/>
      <c r="L28" s="43"/>
      <c r="M28" s="34"/>
      <c r="N28" s="43"/>
      <c r="O28" s="43"/>
      <c r="P28" s="43"/>
      <c r="Q28" s="34"/>
      <c r="R28" s="43"/>
      <c r="S28" s="43"/>
      <c r="T28" s="43"/>
      <c r="U28" s="34"/>
      <c r="V28" s="34"/>
    </row>
    <row r="29" spans="1:22" s="111" customFormat="1" ht="12.75" customHeight="1">
      <c r="A29" s="125"/>
      <c r="B29" s="4"/>
      <c r="C29" s="455" t="s">
        <v>179</v>
      </c>
      <c r="D29" s="456"/>
      <c r="E29" s="8"/>
      <c r="F29" s="44">
        <f t="shared" ref="F29:V29" si="15">F12-F26</f>
        <v>0</v>
      </c>
      <c r="G29" s="44">
        <f t="shared" si="15"/>
        <v>0</v>
      </c>
      <c r="H29" s="44">
        <f t="shared" si="15"/>
        <v>0</v>
      </c>
      <c r="I29" s="35">
        <f t="shared" si="15"/>
        <v>0</v>
      </c>
      <c r="J29" s="44">
        <f t="shared" si="15"/>
        <v>0</v>
      </c>
      <c r="K29" s="44">
        <f t="shared" si="15"/>
        <v>0</v>
      </c>
      <c r="L29" s="44">
        <f t="shared" si="15"/>
        <v>0</v>
      </c>
      <c r="M29" s="35">
        <f t="shared" si="15"/>
        <v>0</v>
      </c>
      <c r="N29" s="44">
        <f t="shared" si="15"/>
        <v>0</v>
      </c>
      <c r="O29" s="44">
        <f t="shared" si="15"/>
        <v>0</v>
      </c>
      <c r="P29" s="44">
        <f t="shared" si="15"/>
        <v>0</v>
      </c>
      <c r="Q29" s="35">
        <f t="shared" si="15"/>
        <v>0</v>
      </c>
      <c r="R29" s="44">
        <f t="shared" si="15"/>
        <v>0</v>
      </c>
      <c r="S29" s="44">
        <f t="shared" si="15"/>
        <v>0</v>
      </c>
      <c r="T29" s="44">
        <f t="shared" si="15"/>
        <v>0</v>
      </c>
      <c r="U29" s="35">
        <f t="shared" si="15"/>
        <v>0</v>
      </c>
      <c r="V29" s="35">
        <f t="shared" si="15"/>
        <v>0</v>
      </c>
    </row>
    <row r="30" spans="1:22" s="111" customFormat="1" ht="12.75" customHeight="1">
      <c r="A30" s="121"/>
      <c r="B30" s="3"/>
      <c r="C30" s="3"/>
      <c r="D30" s="118" t="s">
        <v>180</v>
      </c>
      <c r="E30" s="7"/>
      <c r="F30" s="126">
        <f t="shared" ref="F30:V30" si="16">IF(F12=0,0,F29/F12)</f>
        <v>0</v>
      </c>
      <c r="G30" s="126">
        <f t="shared" si="16"/>
        <v>0</v>
      </c>
      <c r="H30" s="126">
        <f t="shared" si="16"/>
        <v>0</v>
      </c>
      <c r="I30" s="127">
        <f t="shared" si="16"/>
        <v>0</v>
      </c>
      <c r="J30" s="126">
        <f t="shared" si="16"/>
        <v>0</v>
      </c>
      <c r="K30" s="126">
        <f t="shared" si="16"/>
        <v>0</v>
      </c>
      <c r="L30" s="126">
        <f t="shared" si="16"/>
        <v>0</v>
      </c>
      <c r="M30" s="127">
        <f t="shared" si="16"/>
        <v>0</v>
      </c>
      <c r="N30" s="126">
        <f t="shared" si="16"/>
        <v>0</v>
      </c>
      <c r="O30" s="126">
        <f t="shared" si="16"/>
        <v>0</v>
      </c>
      <c r="P30" s="126">
        <f t="shared" si="16"/>
        <v>0</v>
      </c>
      <c r="Q30" s="127">
        <f t="shared" si="16"/>
        <v>0</v>
      </c>
      <c r="R30" s="126">
        <f t="shared" si="16"/>
        <v>0</v>
      </c>
      <c r="S30" s="126">
        <f t="shared" si="16"/>
        <v>0</v>
      </c>
      <c r="T30" s="126">
        <f t="shared" si="16"/>
        <v>0</v>
      </c>
      <c r="U30" s="127">
        <f t="shared" si="16"/>
        <v>0</v>
      </c>
      <c r="V30" s="127">
        <f t="shared" si="16"/>
        <v>0</v>
      </c>
    </row>
    <row r="31" spans="1:22" ht="13.15" outlineLevel="1">
      <c r="A31" s="21" t="s">
        <v>49</v>
      </c>
      <c r="B31" s="22"/>
      <c r="C31" s="22"/>
      <c r="D31" s="22"/>
      <c r="F31" s="43"/>
      <c r="G31" s="43"/>
      <c r="H31" s="43"/>
      <c r="I31" s="34"/>
      <c r="J31" s="43"/>
      <c r="K31" s="43"/>
      <c r="L31" s="43"/>
      <c r="M31" s="34"/>
      <c r="N31" s="43"/>
      <c r="O31" s="43"/>
      <c r="P31" s="43"/>
      <c r="Q31" s="34"/>
      <c r="R31" s="43"/>
      <c r="S31" s="43"/>
      <c r="T31" s="43"/>
      <c r="U31" s="34"/>
      <c r="V31" s="34"/>
    </row>
    <row r="32" spans="1:22" ht="13.5" outlineLevel="2">
      <c r="A32" s="22"/>
      <c r="B32" s="22"/>
      <c r="C32" s="23" t="s">
        <v>37</v>
      </c>
      <c r="D32" s="24"/>
      <c r="E32" s="8"/>
      <c r="F32" s="43"/>
      <c r="G32" s="43"/>
      <c r="H32" s="43"/>
      <c r="I32" s="34"/>
      <c r="J32" s="43"/>
      <c r="K32" s="43"/>
      <c r="L32" s="43"/>
      <c r="M32" s="34"/>
      <c r="N32" s="43"/>
      <c r="O32" s="43"/>
      <c r="P32" s="43"/>
      <c r="Q32" s="34"/>
      <c r="R32" s="43"/>
      <c r="S32" s="43"/>
      <c r="T32" s="43"/>
      <c r="U32" s="34"/>
      <c r="V32" s="34"/>
    </row>
    <row r="33" spans="1:22" ht="13.15" outlineLevel="2">
      <c r="A33" s="22"/>
      <c r="B33" s="22"/>
      <c r="C33" s="22"/>
      <c r="D33" s="25" t="s">
        <v>27</v>
      </c>
      <c r="E33" s="7">
        <v>0</v>
      </c>
      <c r="F33" s="43">
        <v>10000000</v>
      </c>
      <c r="G33" s="43">
        <v>10000000</v>
      </c>
      <c r="H33" s="43">
        <v>10000000</v>
      </c>
      <c r="I33" s="34">
        <f>SUM(F33:H33)</f>
        <v>30000000</v>
      </c>
      <c r="J33" s="43">
        <v>10000000</v>
      </c>
      <c r="K33" s="43">
        <v>10000000</v>
      </c>
      <c r="L33" s="43">
        <v>10000000</v>
      </c>
      <c r="M33" s="34">
        <f>SUM(J33:L33)</f>
        <v>30000000</v>
      </c>
      <c r="N33" s="43">
        <v>10000000</v>
      </c>
      <c r="O33" s="43">
        <v>10000000</v>
      </c>
      <c r="P33" s="43">
        <v>10000000</v>
      </c>
      <c r="Q33" s="34">
        <f>SUM(N33:P33)</f>
        <v>30000000</v>
      </c>
      <c r="R33" s="43">
        <v>10000000</v>
      </c>
      <c r="S33" s="43">
        <v>10000000</v>
      </c>
      <c r="T33" s="43">
        <v>10000000</v>
      </c>
      <c r="U33" s="34">
        <f>SUM(R33:T33)</f>
        <v>30000000</v>
      </c>
      <c r="V33" s="34">
        <f t="shared" ref="V33:V37" si="17">I33+M33+Q33+U33</f>
        <v>120000000</v>
      </c>
    </row>
    <row r="34" spans="1:22" ht="13.15" outlineLevel="2">
      <c r="A34" s="22"/>
      <c r="B34" s="22"/>
      <c r="C34" s="22"/>
      <c r="D34" s="25" t="s">
        <v>73</v>
      </c>
      <c r="F34" s="43">
        <v>0</v>
      </c>
      <c r="G34" s="43">
        <v>0</v>
      </c>
      <c r="H34" s="43">
        <v>0</v>
      </c>
      <c r="I34" s="34">
        <f t="shared" ref="I34:I36" si="18">SUM(F34:H34)</f>
        <v>0</v>
      </c>
      <c r="J34" s="43">
        <v>0</v>
      </c>
      <c r="K34" s="43">
        <v>0</v>
      </c>
      <c r="L34" s="43">
        <v>0</v>
      </c>
      <c r="M34" s="34">
        <f t="shared" ref="M34:M36" si="19">SUM(J34:L34)</f>
        <v>0</v>
      </c>
      <c r="N34" s="43">
        <v>0</v>
      </c>
      <c r="O34" s="43">
        <v>0</v>
      </c>
      <c r="P34" s="43">
        <v>0</v>
      </c>
      <c r="Q34" s="34">
        <f t="shared" ref="Q34:Q36" si="20">SUM(N34:P34)</f>
        <v>0</v>
      </c>
      <c r="R34" s="43">
        <v>0</v>
      </c>
      <c r="S34" s="43">
        <v>0</v>
      </c>
      <c r="T34" s="43">
        <v>0</v>
      </c>
      <c r="U34" s="34">
        <f t="shared" ref="U34:U36" si="21">SUM(R34:T34)</f>
        <v>0</v>
      </c>
      <c r="V34" s="34">
        <f t="shared" si="17"/>
        <v>0</v>
      </c>
    </row>
    <row r="35" spans="1:22" ht="13.15" outlineLevel="2">
      <c r="A35" s="22"/>
      <c r="B35" s="22"/>
      <c r="C35" s="22"/>
      <c r="D35" s="25" t="s">
        <v>55</v>
      </c>
      <c r="E35" s="7">
        <v>0</v>
      </c>
      <c r="F35" s="43"/>
      <c r="G35" s="43"/>
      <c r="H35" s="43"/>
      <c r="I35" s="34">
        <f t="shared" si="18"/>
        <v>0</v>
      </c>
      <c r="J35" s="43"/>
      <c r="K35" s="43"/>
      <c r="L35" s="43"/>
      <c r="M35" s="34">
        <f t="shared" si="19"/>
        <v>0</v>
      </c>
      <c r="N35" s="43"/>
      <c r="O35" s="43"/>
      <c r="P35" s="43"/>
      <c r="Q35" s="34">
        <f t="shared" si="20"/>
        <v>0</v>
      </c>
      <c r="R35" s="43"/>
      <c r="S35" s="43"/>
      <c r="T35" s="43"/>
      <c r="U35" s="34">
        <f t="shared" si="21"/>
        <v>0</v>
      </c>
      <c r="V35" s="34">
        <f t="shared" si="17"/>
        <v>0</v>
      </c>
    </row>
    <row r="36" spans="1:22" ht="13.15" outlineLevel="2">
      <c r="A36" s="22"/>
      <c r="B36" s="22"/>
      <c r="C36" s="22"/>
      <c r="D36" s="25" t="s">
        <v>96</v>
      </c>
      <c r="E36" s="7">
        <v>0</v>
      </c>
      <c r="F36" s="43">
        <v>1000000</v>
      </c>
      <c r="G36" s="43">
        <v>1000000</v>
      </c>
      <c r="H36" s="43">
        <v>1000000</v>
      </c>
      <c r="I36" s="34">
        <f t="shared" si="18"/>
        <v>3000000</v>
      </c>
      <c r="J36" s="43">
        <v>1000000</v>
      </c>
      <c r="K36" s="43">
        <v>1000000</v>
      </c>
      <c r="L36" s="43">
        <v>1000000</v>
      </c>
      <c r="M36" s="34">
        <f t="shared" si="19"/>
        <v>3000000</v>
      </c>
      <c r="N36" s="43">
        <v>1000000</v>
      </c>
      <c r="O36" s="43">
        <v>1000000</v>
      </c>
      <c r="P36" s="43">
        <v>1000000</v>
      </c>
      <c r="Q36" s="34">
        <f t="shared" si="20"/>
        <v>3000000</v>
      </c>
      <c r="R36" s="43">
        <v>1000000</v>
      </c>
      <c r="S36" s="43">
        <v>1000000</v>
      </c>
      <c r="T36" s="43">
        <v>1000000</v>
      </c>
      <c r="U36" s="34">
        <f t="shared" si="21"/>
        <v>3000000</v>
      </c>
      <c r="V36" s="34">
        <f t="shared" si="17"/>
        <v>12000000</v>
      </c>
    </row>
    <row r="37" spans="1:22" ht="13.15" outlineLevel="1">
      <c r="A37" s="24"/>
      <c r="B37" s="24" t="s">
        <v>0</v>
      </c>
      <c r="C37" s="24"/>
      <c r="D37" s="24"/>
      <c r="E37" s="8"/>
      <c r="F37" s="44">
        <f t="shared" ref="F37:H37" si="22">SUM(F33:F36)</f>
        <v>11000000</v>
      </c>
      <c r="G37" s="44">
        <f t="shared" si="22"/>
        <v>11000000</v>
      </c>
      <c r="H37" s="44">
        <f t="shared" si="22"/>
        <v>11000000</v>
      </c>
      <c r="I37" s="35">
        <f t="shared" ref="I37:U37" si="23">SUM(I33:I36)</f>
        <v>33000000</v>
      </c>
      <c r="J37" s="44">
        <f t="shared" si="23"/>
        <v>11000000</v>
      </c>
      <c r="K37" s="44">
        <f t="shared" si="23"/>
        <v>11000000</v>
      </c>
      <c r="L37" s="44">
        <f t="shared" si="23"/>
        <v>11000000</v>
      </c>
      <c r="M37" s="35">
        <f t="shared" si="23"/>
        <v>33000000</v>
      </c>
      <c r="N37" s="44">
        <f t="shared" si="23"/>
        <v>11000000</v>
      </c>
      <c r="O37" s="44">
        <f t="shared" si="23"/>
        <v>11000000</v>
      </c>
      <c r="P37" s="44">
        <f t="shared" si="23"/>
        <v>11000000</v>
      </c>
      <c r="Q37" s="35">
        <f t="shared" si="23"/>
        <v>33000000</v>
      </c>
      <c r="R37" s="44">
        <f t="shared" si="23"/>
        <v>11000000</v>
      </c>
      <c r="S37" s="44">
        <f t="shared" si="23"/>
        <v>11000000</v>
      </c>
      <c r="T37" s="44">
        <f t="shared" si="23"/>
        <v>11000000</v>
      </c>
      <c r="U37" s="35">
        <f t="shared" si="23"/>
        <v>33000000</v>
      </c>
      <c r="V37" s="35">
        <f t="shared" si="17"/>
        <v>132000000</v>
      </c>
    </row>
    <row r="38" spans="1:22" ht="13.15" outlineLevel="2">
      <c r="A38" s="22"/>
      <c r="B38" s="22"/>
      <c r="C38" s="23" t="s">
        <v>38</v>
      </c>
      <c r="D38" s="22"/>
      <c r="F38" s="43"/>
      <c r="G38" s="43"/>
      <c r="H38" s="43"/>
      <c r="I38" s="34"/>
      <c r="J38" s="43"/>
      <c r="K38" s="43"/>
      <c r="L38" s="43"/>
      <c r="M38" s="34"/>
      <c r="N38" s="43"/>
      <c r="O38" s="43"/>
      <c r="P38" s="43"/>
      <c r="Q38" s="34"/>
      <c r="R38" s="43"/>
      <c r="S38" s="43"/>
      <c r="T38" s="43"/>
      <c r="U38" s="34"/>
      <c r="V38" s="34"/>
    </row>
    <row r="39" spans="1:22" ht="13.15" outlineLevel="2">
      <c r="A39" s="22"/>
      <c r="B39" s="22"/>
      <c r="C39" s="22"/>
      <c r="D39" s="25" t="s">
        <v>30</v>
      </c>
      <c r="E39" s="7">
        <v>0</v>
      </c>
      <c r="F39" s="43">
        <v>300000</v>
      </c>
      <c r="G39" s="43">
        <v>300000</v>
      </c>
      <c r="H39" s="43">
        <v>300000</v>
      </c>
      <c r="I39" s="34">
        <f t="shared" ref="I39:I50" si="24">SUM(F39:H39)</f>
        <v>900000</v>
      </c>
      <c r="J39" s="43">
        <v>300000</v>
      </c>
      <c r="K39" s="43">
        <v>300000</v>
      </c>
      <c r="L39" s="43">
        <v>300000</v>
      </c>
      <c r="M39" s="34">
        <f t="shared" ref="M39:M50" si="25">SUM(J39:L39)</f>
        <v>900000</v>
      </c>
      <c r="N39" s="43">
        <v>300000</v>
      </c>
      <c r="O39" s="43">
        <v>300000</v>
      </c>
      <c r="P39" s="43">
        <v>300000</v>
      </c>
      <c r="Q39" s="34">
        <f t="shared" ref="Q39:Q50" si="26">SUM(N39:P39)</f>
        <v>900000</v>
      </c>
      <c r="R39" s="43">
        <v>300000</v>
      </c>
      <c r="S39" s="43">
        <v>300000</v>
      </c>
      <c r="T39" s="43">
        <v>300000</v>
      </c>
      <c r="U39" s="34">
        <f t="shared" ref="U39:U50" si="27">SUM(R39:T39)</f>
        <v>900000</v>
      </c>
      <c r="V39" s="34">
        <f t="shared" ref="V39:V53" si="28">I39+M39+Q39+U39</f>
        <v>3600000</v>
      </c>
    </row>
    <row r="40" spans="1:22" ht="13.15" outlineLevel="2">
      <c r="A40" s="22"/>
      <c r="B40" s="22"/>
      <c r="C40" s="22"/>
      <c r="D40" s="25" t="s">
        <v>31</v>
      </c>
      <c r="E40" s="7">
        <v>0</v>
      </c>
      <c r="F40" s="43">
        <v>300000</v>
      </c>
      <c r="G40" s="43">
        <v>300000</v>
      </c>
      <c r="H40" s="43">
        <v>300000</v>
      </c>
      <c r="I40" s="34">
        <f t="shared" si="24"/>
        <v>900000</v>
      </c>
      <c r="J40" s="43">
        <v>300000</v>
      </c>
      <c r="K40" s="43">
        <v>300000</v>
      </c>
      <c r="L40" s="43">
        <v>300000</v>
      </c>
      <c r="M40" s="34">
        <f t="shared" si="25"/>
        <v>900000</v>
      </c>
      <c r="N40" s="43">
        <v>300000</v>
      </c>
      <c r="O40" s="43">
        <v>300000</v>
      </c>
      <c r="P40" s="43">
        <v>300000</v>
      </c>
      <c r="Q40" s="34">
        <f t="shared" si="26"/>
        <v>900000</v>
      </c>
      <c r="R40" s="43">
        <v>300000</v>
      </c>
      <c r="S40" s="43">
        <v>300000</v>
      </c>
      <c r="T40" s="43">
        <v>300000</v>
      </c>
      <c r="U40" s="34">
        <f t="shared" si="27"/>
        <v>900000</v>
      </c>
      <c r="V40" s="34">
        <f t="shared" si="28"/>
        <v>3600000</v>
      </c>
    </row>
    <row r="41" spans="1:22" ht="13.15" outlineLevel="2">
      <c r="A41" s="22"/>
      <c r="B41" s="22"/>
      <c r="C41" s="22"/>
      <c r="D41" s="25" t="s">
        <v>32</v>
      </c>
      <c r="E41" s="7">
        <v>0</v>
      </c>
      <c r="F41" s="43">
        <v>100000</v>
      </c>
      <c r="G41" s="43">
        <v>100000</v>
      </c>
      <c r="H41" s="43">
        <v>100000</v>
      </c>
      <c r="I41" s="34">
        <f t="shared" si="24"/>
        <v>300000</v>
      </c>
      <c r="J41" s="43">
        <v>100000</v>
      </c>
      <c r="K41" s="43">
        <v>100000</v>
      </c>
      <c r="L41" s="43">
        <v>100000</v>
      </c>
      <c r="M41" s="34">
        <f t="shared" si="25"/>
        <v>300000</v>
      </c>
      <c r="N41" s="43">
        <v>100000</v>
      </c>
      <c r="O41" s="43">
        <v>100000</v>
      </c>
      <c r="P41" s="43">
        <v>100000</v>
      </c>
      <c r="Q41" s="34">
        <f t="shared" si="26"/>
        <v>300000</v>
      </c>
      <c r="R41" s="43">
        <v>100000</v>
      </c>
      <c r="S41" s="43">
        <v>100000</v>
      </c>
      <c r="T41" s="43">
        <v>100000</v>
      </c>
      <c r="U41" s="34">
        <f t="shared" si="27"/>
        <v>300000</v>
      </c>
      <c r="V41" s="34">
        <f t="shared" si="28"/>
        <v>1200000</v>
      </c>
    </row>
    <row r="42" spans="1:22" ht="13.15" outlineLevel="2">
      <c r="A42" s="22"/>
      <c r="B42" s="22"/>
      <c r="C42" s="22"/>
      <c r="D42" s="25" t="s">
        <v>98</v>
      </c>
      <c r="E42" s="7">
        <v>0</v>
      </c>
      <c r="F42" s="43">
        <v>54000</v>
      </c>
      <c r="G42" s="43">
        <v>54000</v>
      </c>
      <c r="H42" s="43">
        <v>54000</v>
      </c>
      <c r="I42" s="34">
        <f t="shared" si="24"/>
        <v>162000</v>
      </c>
      <c r="J42" s="43">
        <v>54000</v>
      </c>
      <c r="K42" s="43">
        <v>54000</v>
      </c>
      <c r="L42" s="43">
        <v>54000</v>
      </c>
      <c r="M42" s="34">
        <f t="shared" si="25"/>
        <v>162000</v>
      </c>
      <c r="N42" s="43">
        <v>54000</v>
      </c>
      <c r="O42" s="43">
        <v>54000</v>
      </c>
      <c r="P42" s="43">
        <v>54000</v>
      </c>
      <c r="Q42" s="34">
        <f t="shared" si="26"/>
        <v>162000</v>
      </c>
      <c r="R42" s="43">
        <v>54000</v>
      </c>
      <c r="S42" s="43">
        <v>54000</v>
      </c>
      <c r="T42" s="43">
        <v>54000</v>
      </c>
      <c r="U42" s="34">
        <f t="shared" si="27"/>
        <v>162000</v>
      </c>
      <c r="V42" s="34">
        <f t="shared" si="28"/>
        <v>648000</v>
      </c>
    </row>
    <row r="43" spans="1:22" ht="13.15" outlineLevel="2">
      <c r="A43" s="22"/>
      <c r="B43" s="22"/>
      <c r="C43" s="22"/>
      <c r="D43" s="25" t="s">
        <v>56</v>
      </c>
      <c r="E43" s="7">
        <v>0</v>
      </c>
      <c r="F43" s="43">
        <v>43000</v>
      </c>
      <c r="G43" s="43">
        <v>43000</v>
      </c>
      <c r="H43" s="43">
        <v>43000</v>
      </c>
      <c r="I43" s="34">
        <f t="shared" si="24"/>
        <v>129000</v>
      </c>
      <c r="J43" s="43">
        <v>43000</v>
      </c>
      <c r="K43" s="43">
        <v>43000</v>
      </c>
      <c r="L43" s="43">
        <v>43000</v>
      </c>
      <c r="M43" s="34">
        <f t="shared" si="25"/>
        <v>129000</v>
      </c>
      <c r="N43" s="43">
        <v>43000</v>
      </c>
      <c r="O43" s="43">
        <v>43000</v>
      </c>
      <c r="P43" s="43">
        <v>43000</v>
      </c>
      <c r="Q43" s="34">
        <f t="shared" si="26"/>
        <v>129000</v>
      </c>
      <c r="R43" s="43">
        <v>43000</v>
      </c>
      <c r="S43" s="43">
        <v>43000</v>
      </c>
      <c r="T43" s="43">
        <v>43000</v>
      </c>
      <c r="U43" s="34">
        <f t="shared" si="27"/>
        <v>129000</v>
      </c>
      <c r="V43" s="34">
        <f t="shared" si="28"/>
        <v>516000</v>
      </c>
    </row>
    <row r="44" spans="1:22" ht="13.15" outlineLevel="2">
      <c r="A44" s="22"/>
      <c r="B44" s="22"/>
      <c r="C44" s="22"/>
      <c r="D44" s="25" t="s">
        <v>57</v>
      </c>
      <c r="F44" s="43">
        <v>81000</v>
      </c>
      <c r="G44" s="43">
        <v>81000</v>
      </c>
      <c r="H44" s="43">
        <v>81000</v>
      </c>
      <c r="I44" s="34">
        <f t="shared" si="24"/>
        <v>243000</v>
      </c>
      <c r="J44" s="43">
        <v>81000</v>
      </c>
      <c r="K44" s="43">
        <v>81000</v>
      </c>
      <c r="L44" s="43">
        <v>81000</v>
      </c>
      <c r="M44" s="34">
        <f t="shared" si="25"/>
        <v>243000</v>
      </c>
      <c r="N44" s="43">
        <v>81000</v>
      </c>
      <c r="O44" s="43">
        <v>81000</v>
      </c>
      <c r="P44" s="43">
        <v>81000</v>
      </c>
      <c r="Q44" s="34">
        <f t="shared" si="26"/>
        <v>243000</v>
      </c>
      <c r="R44" s="43">
        <v>81000</v>
      </c>
      <c r="S44" s="43">
        <v>81000</v>
      </c>
      <c r="T44" s="43">
        <v>81000</v>
      </c>
      <c r="U44" s="34">
        <f t="shared" si="27"/>
        <v>243000</v>
      </c>
      <c r="V44" s="34">
        <f t="shared" si="28"/>
        <v>972000</v>
      </c>
    </row>
    <row r="45" spans="1:22" ht="13.15" outlineLevel="2">
      <c r="A45" s="22"/>
      <c r="B45" s="22"/>
      <c r="C45" s="22"/>
      <c r="D45" s="25" t="s">
        <v>54</v>
      </c>
      <c r="E45" s="7">
        <v>0</v>
      </c>
      <c r="F45" s="43">
        <v>400000</v>
      </c>
      <c r="G45" s="43">
        <v>400000</v>
      </c>
      <c r="H45" s="43">
        <v>400000</v>
      </c>
      <c r="I45" s="34">
        <f t="shared" si="24"/>
        <v>1200000</v>
      </c>
      <c r="J45" s="43">
        <v>400000</v>
      </c>
      <c r="K45" s="43">
        <v>400000</v>
      </c>
      <c r="L45" s="43">
        <v>400000</v>
      </c>
      <c r="M45" s="34">
        <f t="shared" si="25"/>
        <v>1200000</v>
      </c>
      <c r="N45" s="43">
        <v>400000</v>
      </c>
      <c r="O45" s="43">
        <v>400000</v>
      </c>
      <c r="P45" s="43">
        <v>400000</v>
      </c>
      <c r="Q45" s="34">
        <f t="shared" si="26"/>
        <v>1200000</v>
      </c>
      <c r="R45" s="43">
        <v>400000</v>
      </c>
      <c r="S45" s="43">
        <v>400000</v>
      </c>
      <c r="T45" s="43">
        <v>400000</v>
      </c>
      <c r="U45" s="34">
        <f t="shared" si="27"/>
        <v>1200000</v>
      </c>
      <c r="V45" s="34">
        <f t="shared" si="28"/>
        <v>4800000</v>
      </c>
    </row>
    <row r="46" spans="1:22" ht="13.15" outlineLevel="2">
      <c r="A46" s="22"/>
      <c r="B46" s="22"/>
      <c r="C46" s="22"/>
      <c r="D46" s="25" t="s">
        <v>34</v>
      </c>
      <c r="E46" s="7">
        <v>0</v>
      </c>
      <c r="F46" s="43"/>
      <c r="G46" s="43"/>
      <c r="H46" s="43"/>
      <c r="I46" s="34">
        <f t="shared" si="24"/>
        <v>0</v>
      </c>
      <c r="J46" s="43"/>
      <c r="K46" s="43"/>
      <c r="L46" s="43"/>
      <c r="M46" s="34">
        <f t="shared" si="25"/>
        <v>0</v>
      </c>
      <c r="N46" s="43"/>
      <c r="O46" s="43"/>
      <c r="P46" s="43"/>
      <c r="Q46" s="34">
        <f t="shared" si="26"/>
        <v>0</v>
      </c>
      <c r="R46" s="43"/>
      <c r="S46" s="43"/>
      <c r="T46" s="43"/>
      <c r="U46" s="34">
        <f t="shared" si="27"/>
        <v>0</v>
      </c>
      <c r="V46" s="34">
        <f t="shared" si="28"/>
        <v>0</v>
      </c>
    </row>
    <row r="47" spans="1:22" ht="13.15" outlineLevel="2">
      <c r="A47" s="22"/>
      <c r="B47" s="22"/>
      <c r="C47" s="22"/>
      <c r="D47" s="25" t="s">
        <v>65</v>
      </c>
      <c r="E47" s="7">
        <v>0</v>
      </c>
      <c r="F47" s="43">
        <v>2432000</v>
      </c>
      <c r="G47" s="43">
        <v>2432000</v>
      </c>
      <c r="H47" s="43">
        <v>2432000</v>
      </c>
      <c r="I47" s="34">
        <f t="shared" si="24"/>
        <v>7296000</v>
      </c>
      <c r="J47" s="43">
        <v>2432000</v>
      </c>
      <c r="K47" s="43">
        <v>2432000</v>
      </c>
      <c r="L47" s="43">
        <v>2432000</v>
      </c>
      <c r="M47" s="34">
        <f t="shared" si="25"/>
        <v>7296000</v>
      </c>
      <c r="N47" s="43">
        <v>2432000</v>
      </c>
      <c r="O47" s="43">
        <v>2432000</v>
      </c>
      <c r="P47" s="43">
        <v>2432000</v>
      </c>
      <c r="Q47" s="34">
        <f t="shared" si="26"/>
        <v>7296000</v>
      </c>
      <c r="R47" s="43">
        <v>2432000</v>
      </c>
      <c r="S47" s="43">
        <v>2432000</v>
      </c>
      <c r="T47" s="43">
        <v>2432000</v>
      </c>
      <c r="U47" s="34">
        <f t="shared" si="27"/>
        <v>7296000</v>
      </c>
      <c r="V47" s="34">
        <f t="shared" si="28"/>
        <v>29184000</v>
      </c>
    </row>
    <row r="48" spans="1:22" ht="13.15" outlineLevel="2">
      <c r="A48" s="22"/>
      <c r="B48" s="22"/>
      <c r="C48" s="22"/>
      <c r="D48" s="25" t="s">
        <v>64</v>
      </c>
      <c r="E48" s="7">
        <v>0</v>
      </c>
      <c r="F48" s="43"/>
      <c r="G48" s="43"/>
      <c r="H48" s="43"/>
      <c r="I48" s="34">
        <f t="shared" si="24"/>
        <v>0</v>
      </c>
      <c r="J48" s="43"/>
      <c r="K48" s="43"/>
      <c r="L48" s="43"/>
      <c r="M48" s="34">
        <f t="shared" si="25"/>
        <v>0</v>
      </c>
      <c r="N48" s="43"/>
      <c r="O48" s="43"/>
      <c r="P48" s="43"/>
      <c r="Q48" s="34">
        <f t="shared" si="26"/>
        <v>0</v>
      </c>
      <c r="R48" s="43"/>
      <c r="S48" s="43"/>
      <c r="T48" s="43"/>
      <c r="U48" s="34">
        <f t="shared" si="27"/>
        <v>0</v>
      </c>
      <c r="V48" s="34">
        <f t="shared" si="28"/>
        <v>0</v>
      </c>
    </row>
    <row r="49" spans="1:22" ht="13.15" outlineLevel="2">
      <c r="A49" s="22"/>
      <c r="B49" s="22"/>
      <c r="C49" s="22"/>
      <c r="D49" s="25" t="s">
        <v>112</v>
      </c>
      <c r="F49" s="43">
        <v>90000</v>
      </c>
      <c r="G49" s="43">
        <v>90000</v>
      </c>
      <c r="H49" s="43">
        <v>90000</v>
      </c>
      <c r="I49" s="34">
        <f t="shared" si="24"/>
        <v>270000</v>
      </c>
      <c r="J49" s="43">
        <v>90000</v>
      </c>
      <c r="K49" s="43">
        <v>90000</v>
      </c>
      <c r="L49" s="43">
        <v>90000</v>
      </c>
      <c r="M49" s="34">
        <f t="shared" si="25"/>
        <v>270000</v>
      </c>
      <c r="N49" s="43">
        <v>90000</v>
      </c>
      <c r="O49" s="43">
        <v>90000</v>
      </c>
      <c r="P49" s="43">
        <v>90000</v>
      </c>
      <c r="Q49" s="34">
        <f t="shared" si="26"/>
        <v>270000</v>
      </c>
      <c r="R49" s="43">
        <v>90000</v>
      </c>
      <c r="S49" s="43">
        <v>90000</v>
      </c>
      <c r="T49" s="43">
        <v>90000</v>
      </c>
      <c r="U49" s="34">
        <f t="shared" si="27"/>
        <v>270000</v>
      </c>
      <c r="V49" s="34">
        <f t="shared" si="28"/>
        <v>1080000</v>
      </c>
    </row>
    <row r="50" spans="1:22" ht="13.15" outlineLevel="2">
      <c r="A50" s="22"/>
      <c r="B50" s="22"/>
      <c r="C50" s="22"/>
      <c r="D50" s="25" t="s">
        <v>119</v>
      </c>
      <c r="F50" s="43">
        <v>120000</v>
      </c>
      <c r="G50" s="43">
        <v>120000</v>
      </c>
      <c r="H50" s="43">
        <v>120000</v>
      </c>
      <c r="I50" s="34">
        <f t="shared" si="24"/>
        <v>360000</v>
      </c>
      <c r="J50" s="43">
        <v>120000</v>
      </c>
      <c r="K50" s="43">
        <v>120000</v>
      </c>
      <c r="L50" s="43">
        <v>120000</v>
      </c>
      <c r="M50" s="34">
        <f t="shared" si="25"/>
        <v>360000</v>
      </c>
      <c r="N50" s="43">
        <v>120000</v>
      </c>
      <c r="O50" s="43">
        <v>120000</v>
      </c>
      <c r="P50" s="43">
        <v>120000</v>
      </c>
      <c r="Q50" s="34">
        <f t="shared" si="26"/>
        <v>360000</v>
      </c>
      <c r="R50" s="43">
        <v>120000</v>
      </c>
      <c r="S50" s="43">
        <v>120000</v>
      </c>
      <c r="T50" s="43">
        <v>120000</v>
      </c>
      <c r="U50" s="34">
        <f t="shared" si="27"/>
        <v>360000</v>
      </c>
      <c r="V50" s="34">
        <f t="shared" si="28"/>
        <v>1440000</v>
      </c>
    </row>
    <row r="51" spans="1:22" ht="13.15" outlineLevel="1">
      <c r="A51" s="24"/>
      <c r="B51" s="24" t="s">
        <v>1</v>
      </c>
      <c r="C51" s="24"/>
      <c r="D51" s="24"/>
      <c r="E51" s="8"/>
      <c r="F51" s="44">
        <f>SUM(F39:F50)</f>
        <v>3920000</v>
      </c>
      <c r="G51" s="44">
        <f t="shared" ref="G51" si="29">SUM(G39:G50)</f>
        <v>3920000</v>
      </c>
      <c r="H51" s="44">
        <f t="shared" ref="H51" si="30">SUM(H39:H50)</f>
        <v>3920000</v>
      </c>
      <c r="I51" s="35">
        <f t="shared" ref="I51" si="31">SUM(I39:I49)</f>
        <v>11400000</v>
      </c>
      <c r="J51" s="44">
        <f t="shared" ref="J51:L51" si="32">SUM(J39:J50)</f>
        <v>3920000</v>
      </c>
      <c r="K51" s="44">
        <f t="shared" si="32"/>
        <v>3920000</v>
      </c>
      <c r="L51" s="44">
        <f t="shared" si="32"/>
        <v>3920000</v>
      </c>
      <c r="M51" s="35">
        <f t="shared" ref="M51" si="33">SUM(M39:M49)</f>
        <v>11400000</v>
      </c>
      <c r="N51" s="44">
        <f t="shared" ref="N51:P51" si="34">SUM(N39:N50)</f>
        <v>3920000</v>
      </c>
      <c r="O51" s="44">
        <f t="shared" si="34"/>
        <v>3920000</v>
      </c>
      <c r="P51" s="44">
        <f t="shared" si="34"/>
        <v>3920000</v>
      </c>
      <c r="Q51" s="35">
        <f t="shared" ref="Q51" si="35">SUM(Q39:Q49)</f>
        <v>11400000</v>
      </c>
      <c r="R51" s="44">
        <f t="shared" ref="R51:T51" si="36">SUM(R39:R50)</f>
        <v>3920000</v>
      </c>
      <c r="S51" s="44">
        <f t="shared" si="36"/>
        <v>3920000</v>
      </c>
      <c r="T51" s="44">
        <f t="shared" si="36"/>
        <v>3920000</v>
      </c>
      <c r="U51" s="35">
        <f t="shared" ref="U51" si="37">SUM(U39:U49)</f>
        <v>11400000</v>
      </c>
      <c r="V51" s="35">
        <f t="shared" si="28"/>
        <v>45600000</v>
      </c>
    </row>
    <row r="52" spans="1:22" ht="13.15" outlineLevel="1">
      <c r="A52" s="24"/>
      <c r="B52" s="24" t="s">
        <v>2</v>
      </c>
      <c r="C52" s="24"/>
      <c r="D52" s="24"/>
      <c r="E52" s="8"/>
      <c r="F52" s="44">
        <f>F37+F51</f>
        <v>14920000</v>
      </c>
      <c r="G52" s="44">
        <f>G37+G51</f>
        <v>14920000</v>
      </c>
      <c r="H52" s="44">
        <f>H37+H51</f>
        <v>14920000</v>
      </c>
      <c r="I52" s="35">
        <f>I51+I37</f>
        <v>44400000</v>
      </c>
      <c r="J52" s="44">
        <f>J37+J51</f>
        <v>14920000</v>
      </c>
      <c r="K52" s="44">
        <f>K37+K51</f>
        <v>14920000</v>
      </c>
      <c r="L52" s="44">
        <f>L37+L51</f>
        <v>14920000</v>
      </c>
      <c r="M52" s="35">
        <f>M51+M37</f>
        <v>44400000</v>
      </c>
      <c r="N52" s="44">
        <f>N37+N51</f>
        <v>14920000</v>
      </c>
      <c r="O52" s="44">
        <f>O37+O51</f>
        <v>14920000</v>
      </c>
      <c r="P52" s="44">
        <f>P37+P51</f>
        <v>14920000</v>
      </c>
      <c r="Q52" s="35">
        <f>Q51+Q37</f>
        <v>44400000</v>
      </c>
      <c r="R52" s="44">
        <f>R37+R51</f>
        <v>14920000</v>
      </c>
      <c r="S52" s="44">
        <f>S37+S51</f>
        <v>14920000</v>
      </c>
      <c r="T52" s="44">
        <f>T37+T51</f>
        <v>14920000</v>
      </c>
      <c r="U52" s="35">
        <f>U51+U37</f>
        <v>44400000</v>
      </c>
      <c r="V52" s="35">
        <f t="shared" si="28"/>
        <v>177600000</v>
      </c>
    </row>
    <row r="53" spans="1:22" s="4" customFormat="1" ht="13.15" outlineLevel="1">
      <c r="A53" s="24"/>
      <c r="B53" s="24" t="s">
        <v>3</v>
      </c>
      <c r="C53" s="24"/>
      <c r="D53" s="24"/>
      <c r="E53" s="8">
        <v>0</v>
      </c>
      <c r="F53" s="44">
        <v>0</v>
      </c>
      <c r="G53" s="44">
        <v>0</v>
      </c>
      <c r="H53" s="44">
        <v>0</v>
      </c>
      <c r="I53" s="35">
        <v>0</v>
      </c>
      <c r="J53" s="44">
        <v>0</v>
      </c>
      <c r="K53" s="44">
        <v>0</v>
      </c>
      <c r="L53" s="44">
        <v>0</v>
      </c>
      <c r="M53" s="35">
        <v>0</v>
      </c>
      <c r="N53" s="44">
        <v>0</v>
      </c>
      <c r="O53" s="44">
        <v>0</v>
      </c>
      <c r="P53" s="44">
        <v>0</v>
      </c>
      <c r="Q53" s="35">
        <v>0</v>
      </c>
      <c r="R53" s="44">
        <v>0</v>
      </c>
      <c r="S53" s="44">
        <v>0</v>
      </c>
      <c r="T53" s="44">
        <v>0</v>
      </c>
      <c r="U53" s="35">
        <v>0</v>
      </c>
      <c r="V53" s="35">
        <f t="shared" si="28"/>
        <v>0</v>
      </c>
    </row>
    <row r="54" spans="1:22" ht="13.5" outlineLevel="2">
      <c r="A54" s="22"/>
      <c r="B54" s="23" t="s">
        <v>39</v>
      </c>
      <c r="C54" s="22"/>
      <c r="D54" s="22"/>
      <c r="F54" s="44"/>
      <c r="G54" s="44"/>
      <c r="H54" s="44"/>
      <c r="I54" s="34"/>
      <c r="J54" s="44"/>
      <c r="K54" s="44"/>
      <c r="L54" s="44"/>
      <c r="M54" s="34"/>
      <c r="N54" s="44"/>
      <c r="O54" s="44"/>
      <c r="P54" s="44"/>
      <c r="Q54" s="34"/>
      <c r="R54" s="44"/>
      <c r="S54" s="44"/>
      <c r="T54" s="44"/>
      <c r="U54" s="34"/>
      <c r="V54" s="34"/>
    </row>
    <row r="55" spans="1:22" ht="13.15" outlineLevel="2">
      <c r="A55" s="22"/>
      <c r="B55" s="22"/>
      <c r="C55" s="25" t="s">
        <v>58</v>
      </c>
      <c r="D55" s="22"/>
      <c r="E55" s="7">
        <v>0</v>
      </c>
      <c r="F55" s="43"/>
      <c r="G55" s="43"/>
      <c r="H55" s="43"/>
      <c r="I55" s="34">
        <f t="shared" ref="I55:I65" si="38">SUM(F55:H55)</f>
        <v>0</v>
      </c>
      <c r="J55" s="43"/>
      <c r="K55" s="43"/>
      <c r="L55" s="43"/>
      <c r="M55" s="34">
        <f t="shared" ref="M55:M65" si="39">SUM(J55:L55)</f>
        <v>0</v>
      </c>
      <c r="N55" s="43"/>
      <c r="O55" s="43"/>
      <c r="P55" s="43"/>
      <c r="Q55" s="34">
        <f t="shared" ref="Q55:Q65" si="40">SUM(N55:P55)</f>
        <v>0</v>
      </c>
      <c r="R55" s="43"/>
      <c r="S55" s="43"/>
      <c r="T55" s="43"/>
      <c r="U55" s="34">
        <f t="shared" ref="U55:U65" si="41">SUM(R55:T55)</f>
        <v>0</v>
      </c>
      <c r="V55" s="34">
        <f t="shared" ref="V55:V66" si="42">I55+M55+Q55+U55</f>
        <v>0</v>
      </c>
    </row>
    <row r="56" spans="1:22" ht="13.15" outlineLevel="2">
      <c r="A56" s="22"/>
      <c r="B56" s="22"/>
      <c r="C56" s="25" t="s">
        <v>59</v>
      </c>
      <c r="D56" s="22"/>
      <c r="F56" s="43">
        <v>12000</v>
      </c>
      <c r="G56" s="43">
        <v>12000</v>
      </c>
      <c r="H56" s="43">
        <v>12000</v>
      </c>
      <c r="I56" s="34">
        <f t="shared" si="38"/>
        <v>36000</v>
      </c>
      <c r="J56" s="43">
        <v>12000</v>
      </c>
      <c r="K56" s="43">
        <v>12000</v>
      </c>
      <c r="L56" s="43">
        <v>12000</v>
      </c>
      <c r="M56" s="34">
        <f t="shared" si="39"/>
        <v>36000</v>
      </c>
      <c r="N56" s="43">
        <v>12000</v>
      </c>
      <c r="O56" s="43">
        <v>12000</v>
      </c>
      <c r="P56" s="43">
        <v>12000</v>
      </c>
      <c r="Q56" s="34">
        <f t="shared" si="40"/>
        <v>36000</v>
      </c>
      <c r="R56" s="43">
        <v>12000</v>
      </c>
      <c r="S56" s="43">
        <v>12000</v>
      </c>
      <c r="T56" s="43">
        <v>12000</v>
      </c>
      <c r="U56" s="34">
        <f t="shared" si="41"/>
        <v>36000</v>
      </c>
      <c r="V56" s="34">
        <f t="shared" si="42"/>
        <v>144000</v>
      </c>
    </row>
    <row r="57" spans="1:22" ht="13.15" outlineLevel="2">
      <c r="A57" s="22"/>
      <c r="B57" s="22"/>
      <c r="C57" s="25" t="s">
        <v>60</v>
      </c>
      <c r="D57" s="22"/>
      <c r="F57" s="43"/>
      <c r="G57" s="43"/>
      <c r="H57" s="43"/>
      <c r="I57" s="34">
        <f t="shared" si="38"/>
        <v>0</v>
      </c>
      <c r="J57" s="43"/>
      <c r="K57" s="43"/>
      <c r="L57" s="43"/>
      <c r="M57" s="34">
        <f t="shared" si="39"/>
        <v>0</v>
      </c>
      <c r="N57" s="43"/>
      <c r="O57" s="43"/>
      <c r="P57" s="43"/>
      <c r="Q57" s="34">
        <f t="shared" si="40"/>
        <v>0</v>
      </c>
      <c r="R57" s="43"/>
      <c r="S57" s="43"/>
      <c r="T57" s="43"/>
      <c r="U57" s="34">
        <f t="shared" si="41"/>
        <v>0</v>
      </c>
      <c r="V57" s="34">
        <f t="shared" si="42"/>
        <v>0</v>
      </c>
    </row>
    <row r="58" spans="1:22" ht="13.15" outlineLevel="2">
      <c r="A58" s="22"/>
      <c r="B58" s="22"/>
      <c r="C58" s="25" t="s">
        <v>61</v>
      </c>
      <c r="D58" s="22"/>
      <c r="F58" s="279">
        <v>104000</v>
      </c>
      <c r="G58" s="279">
        <v>104000</v>
      </c>
      <c r="H58" s="279">
        <v>104000</v>
      </c>
      <c r="I58" s="34">
        <f t="shared" si="38"/>
        <v>312000</v>
      </c>
      <c r="J58" s="279">
        <v>104000</v>
      </c>
      <c r="K58" s="279">
        <v>104000</v>
      </c>
      <c r="L58" s="279">
        <v>104000</v>
      </c>
      <c r="M58" s="34">
        <f t="shared" si="39"/>
        <v>312000</v>
      </c>
      <c r="N58" s="279">
        <v>104000</v>
      </c>
      <c r="O58" s="279">
        <v>104000</v>
      </c>
      <c r="P58" s="279">
        <v>104000</v>
      </c>
      <c r="Q58" s="34">
        <f t="shared" si="40"/>
        <v>312000</v>
      </c>
      <c r="R58" s="279">
        <v>104000</v>
      </c>
      <c r="S58" s="279">
        <v>104000</v>
      </c>
      <c r="T58" s="279">
        <v>104000</v>
      </c>
      <c r="U58" s="34">
        <f t="shared" si="41"/>
        <v>312000</v>
      </c>
      <c r="V58" s="34">
        <f t="shared" si="42"/>
        <v>1248000</v>
      </c>
    </row>
    <row r="59" spans="1:22" ht="13.15" outlineLevel="2">
      <c r="A59" s="22"/>
      <c r="B59" s="22"/>
      <c r="C59" s="25" t="s">
        <v>62</v>
      </c>
      <c r="D59" s="22"/>
      <c r="F59" s="43"/>
      <c r="G59" s="43"/>
      <c r="H59" s="43"/>
      <c r="I59" s="34">
        <f t="shared" si="38"/>
        <v>0</v>
      </c>
      <c r="J59" s="43"/>
      <c r="K59" s="43"/>
      <c r="L59" s="43"/>
      <c r="M59" s="34">
        <f t="shared" si="39"/>
        <v>0</v>
      </c>
      <c r="N59" s="43"/>
      <c r="O59" s="43"/>
      <c r="P59" s="43"/>
      <c r="Q59" s="34">
        <f t="shared" si="40"/>
        <v>0</v>
      </c>
      <c r="R59" s="43"/>
      <c r="S59" s="43"/>
      <c r="T59" s="43"/>
      <c r="U59" s="34">
        <f t="shared" si="41"/>
        <v>0</v>
      </c>
      <c r="V59" s="34">
        <f t="shared" si="42"/>
        <v>0</v>
      </c>
    </row>
    <row r="60" spans="1:22" ht="13.15" outlineLevel="2">
      <c r="A60" s="22"/>
      <c r="B60" s="22"/>
      <c r="C60" s="25" t="s">
        <v>118</v>
      </c>
      <c r="D60" s="22"/>
      <c r="F60" s="43">
        <v>11000</v>
      </c>
      <c r="G60" s="43">
        <v>11000</v>
      </c>
      <c r="H60" s="43">
        <v>11000</v>
      </c>
      <c r="I60" s="34">
        <f t="shared" si="38"/>
        <v>33000</v>
      </c>
      <c r="J60" s="43">
        <v>11000</v>
      </c>
      <c r="K60" s="43">
        <v>11000</v>
      </c>
      <c r="L60" s="43">
        <v>11000</v>
      </c>
      <c r="M60" s="34">
        <f t="shared" si="39"/>
        <v>33000</v>
      </c>
      <c r="N60" s="43">
        <v>11000</v>
      </c>
      <c r="O60" s="43">
        <v>11000</v>
      </c>
      <c r="P60" s="43">
        <v>11000</v>
      </c>
      <c r="Q60" s="34">
        <f t="shared" si="40"/>
        <v>33000</v>
      </c>
      <c r="R60" s="43">
        <v>11000</v>
      </c>
      <c r="S60" s="43">
        <v>11000</v>
      </c>
      <c r="T60" s="43">
        <v>11000</v>
      </c>
      <c r="U60" s="34">
        <f t="shared" si="41"/>
        <v>33000</v>
      </c>
      <c r="V60" s="34">
        <f t="shared" si="42"/>
        <v>132000</v>
      </c>
    </row>
    <row r="61" spans="1:22" ht="13.15" outlineLevel="2">
      <c r="A61" s="22"/>
      <c r="B61" s="22"/>
      <c r="C61" s="25" t="s">
        <v>157</v>
      </c>
      <c r="D61" s="22"/>
      <c r="F61" s="43"/>
      <c r="G61" s="43"/>
      <c r="H61" s="43"/>
      <c r="I61" s="34">
        <f t="shared" si="38"/>
        <v>0</v>
      </c>
      <c r="J61" s="43"/>
      <c r="K61" s="43"/>
      <c r="L61" s="43"/>
      <c r="M61" s="34">
        <f t="shared" si="39"/>
        <v>0</v>
      </c>
      <c r="N61" s="43"/>
      <c r="O61" s="43"/>
      <c r="P61" s="43"/>
      <c r="Q61" s="34">
        <f t="shared" si="40"/>
        <v>0</v>
      </c>
      <c r="R61" s="43"/>
      <c r="S61" s="43"/>
      <c r="T61" s="43"/>
      <c r="U61" s="34">
        <f t="shared" si="41"/>
        <v>0</v>
      </c>
      <c r="V61" s="34">
        <f t="shared" si="42"/>
        <v>0</v>
      </c>
    </row>
    <row r="62" spans="1:22" ht="13.15" outlineLevel="2">
      <c r="A62" s="22"/>
      <c r="B62" s="22"/>
      <c r="C62" s="25" t="s">
        <v>28</v>
      </c>
      <c r="D62" s="22"/>
      <c r="E62" s="7">
        <v>0</v>
      </c>
      <c r="F62" s="43"/>
      <c r="G62" s="43"/>
      <c r="H62" s="43"/>
      <c r="I62" s="34">
        <f t="shared" si="38"/>
        <v>0</v>
      </c>
      <c r="J62" s="43"/>
      <c r="K62" s="43"/>
      <c r="L62" s="43"/>
      <c r="M62" s="34">
        <f t="shared" si="39"/>
        <v>0</v>
      </c>
      <c r="N62" s="43"/>
      <c r="O62" s="43"/>
      <c r="P62" s="43"/>
      <c r="Q62" s="34">
        <f t="shared" si="40"/>
        <v>0</v>
      </c>
      <c r="R62" s="43"/>
      <c r="S62" s="43"/>
      <c r="T62" s="43"/>
      <c r="U62" s="34">
        <f t="shared" si="41"/>
        <v>0</v>
      </c>
      <c r="V62" s="34">
        <f t="shared" si="42"/>
        <v>0</v>
      </c>
    </row>
    <row r="63" spans="1:22" ht="13.15" outlineLevel="2">
      <c r="A63" s="22"/>
      <c r="B63" s="22"/>
      <c r="C63" s="25" t="s">
        <v>35</v>
      </c>
      <c r="D63" s="22"/>
      <c r="E63" s="7">
        <v>0</v>
      </c>
      <c r="F63" s="43"/>
      <c r="G63" s="43"/>
      <c r="H63" s="43"/>
      <c r="I63" s="34">
        <f t="shared" si="38"/>
        <v>0</v>
      </c>
      <c r="J63" s="43"/>
      <c r="K63" s="43"/>
      <c r="L63" s="43"/>
      <c r="M63" s="34">
        <f t="shared" si="39"/>
        <v>0</v>
      </c>
      <c r="N63" s="43"/>
      <c r="O63" s="43"/>
      <c r="P63" s="43"/>
      <c r="Q63" s="34">
        <f t="shared" si="40"/>
        <v>0</v>
      </c>
      <c r="R63" s="43"/>
      <c r="S63" s="43"/>
      <c r="T63" s="43"/>
      <c r="U63" s="34">
        <f t="shared" si="41"/>
        <v>0</v>
      </c>
      <c r="V63" s="34">
        <f t="shared" si="42"/>
        <v>0</v>
      </c>
    </row>
    <row r="64" spans="1:22" ht="13.15" outlineLevel="2">
      <c r="A64" s="22"/>
      <c r="B64" s="22"/>
      <c r="C64" s="25" t="s">
        <v>52</v>
      </c>
      <c r="D64" s="22"/>
      <c r="E64" s="7">
        <v>0</v>
      </c>
      <c r="F64" s="43"/>
      <c r="G64" s="43"/>
      <c r="H64" s="43"/>
      <c r="I64" s="34">
        <f t="shared" si="38"/>
        <v>0</v>
      </c>
      <c r="J64" s="43"/>
      <c r="K64" s="43"/>
      <c r="L64" s="43"/>
      <c r="M64" s="34">
        <f t="shared" si="39"/>
        <v>0</v>
      </c>
      <c r="N64" s="43"/>
      <c r="O64" s="43"/>
      <c r="P64" s="43"/>
      <c r="Q64" s="34">
        <f t="shared" si="40"/>
        <v>0</v>
      </c>
      <c r="R64" s="43"/>
      <c r="S64" s="43"/>
      <c r="T64" s="43"/>
      <c r="U64" s="34">
        <f t="shared" si="41"/>
        <v>0</v>
      </c>
      <c r="V64" s="34">
        <f t="shared" si="42"/>
        <v>0</v>
      </c>
    </row>
    <row r="65" spans="1:22" ht="13.5" outlineLevel="2">
      <c r="A65" s="22"/>
      <c r="B65" s="22"/>
      <c r="C65" s="25" t="s">
        <v>36</v>
      </c>
      <c r="D65" s="22"/>
      <c r="E65" s="7">
        <v>0</v>
      </c>
      <c r="F65" s="44"/>
      <c r="G65" s="44"/>
      <c r="H65" s="44"/>
      <c r="I65" s="34">
        <f t="shared" si="38"/>
        <v>0</v>
      </c>
      <c r="J65" s="44"/>
      <c r="K65" s="44"/>
      <c r="L65" s="44"/>
      <c r="M65" s="34">
        <f t="shared" si="39"/>
        <v>0</v>
      </c>
      <c r="N65" s="44"/>
      <c r="O65" s="44"/>
      <c r="P65" s="44"/>
      <c r="Q65" s="34">
        <f t="shared" si="40"/>
        <v>0</v>
      </c>
      <c r="R65" s="44"/>
      <c r="S65" s="44"/>
      <c r="T65" s="44"/>
      <c r="U65" s="34">
        <f t="shared" si="41"/>
        <v>0</v>
      </c>
      <c r="V65" s="34">
        <f t="shared" si="42"/>
        <v>0</v>
      </c>
    </row>
    <row r="66" spans="1:22" ht="13.15" outlineLevel="1">
      <c r="A66" s="24"/>
      <c r="B66" s="24" t="s">
        <v>4</v>
      </c>
      <c r="C66" s="24"/>
      <c r="D66" s="24"/>
      <c r="E66" s="8"/>
      <c r="F66" s="44">
        <f t="shared" ref="F66" si="43">SUM(F55:F65)</f>
        <v>127000</v>
      </c>
      <c r="G66" s="44">
        <f t="shared" ref="G66" si="44">SUM(G55:G65)</f>
        <v>127000</v>
      </c>
      <c r="H66" s="44">
        <f t="shared" ref="H66" si="45">SUM(H55:H65)</f>
        <v>127000</v>
      </c>
      <c r="I66" s="35">
        <f t="shared" ref="I66:L66" si="46">SUM(I55:I65)</f>
        <v>381000</v>
      </c>
      <c r="J66" s="44">
        <f t="shared" si="46"/>
        <v>127000</v>
      </c>
      <c r="K66" s="44">
        <f t="shared" si="46"/>
        <v>127000</v>
      </c>
      <c r="L66" s="44">
        <f t="shared" si="46"/>
        <v>127000</v>
      </c>
      <c r="M66" s="35">
        <f t="shared" ref="M66:P66" si="47">SUM(M55:M65)</f>
        <v>381000</v>
      </c>
      <c r="N66" s="44">
        <f t="shared" si="47"/>
        <v>127000</v>
      </c>
      <c r="O66" s="44">
        <f t="shared" si="47"/>
        <v>127000</v>
      </c>
      <c r="P66" s="44">
        <f t="shared" si="47"/>
        <v>127000</v>
      </c>
      <c r="Q66" s="35">
        <f t="shared" ref="Q66:T66" si="48">SUM(Q55:Q65)</f>
        <v>381000</v>
      </c>
      <c r="R66" s="44">
        <f t="shared" si="48"/>
        <v>127000</v>
      </c>
      <c r="S66" s="44">
        <f t="shared" si="48"/>
        <v>127000</v>
      </c>
      <c r="T66" s="44">
        <f t="shared" si="48"/>
        <v>127000</v>
      </c>
      <c r="U66" s="35">
        <f t="shared" ref="U66" si="49">SUM(U55:U65)</f>
        <v>381000</v>
      </c>
      <c r="V66" s="35">
        <f t="shared" si="42"/>
        <v>1524000</v>
      </c>
    </row>
    <row r="67" spans="1:22" ht="13.15" outlineLevel="2">
      <c r="A67" s="24"/>
      <c r="B67" s="26" t="s">
        <v>5</v>
      </c>
      <c r="C67" s="27"/>
      <c r="D67" s="27"/>
      <c r="E67" s="9"/>
      <c r="F67" s="43"/>
      <c r="G67" s="43"/>
      <c r="H67" s="43"/>
      <c r="I67" s="36"/>
      <c r="J67" s="43"/>
      <c r="K67" s="43"/>
      <c r="L67" s="43"/>
      <c r="M67" s="36"/>
      <c r="N67" s="43"/>
      <c r="O67" s="43"/>
      <c r="P67" s="43"/>
      <c r="Q67" s="36"/>
      <c r="R67" s="43"/>
      <c r="S67" s="43"/>
      <c r="T67" s="43"/>
      <c r="U67" s="36"/>
      <c r="V67" s="35" t="s">
        <v>86</v>
      </c>
    </row>
    <row r="68" spans="1:22" ht="13.15" outlineLevel="2">
      <c r="A68" s="24"/>
      <c r="B68" s="27"/>
      <c r="C68" s="28" t="s">
        <v>47</v>
      </c>
      <c r="D68" s="27"/>
      <c r="E68" s="9">
        <v>0</v>
      </c>
      <c r="F68" s="43">
        <f>65000-23000+110000</f>
        <v>152000</v>
      </c>
      <c r="G68" s="43">
        <f>65000-23000+110000</f>
        <v>152000</v>
      </c>
      <c r="H68" s="43">
        <f>65000-23000+110000</f>
        <v>152000</v>
      </c>
      <c r="I68" s="34">
        <f t="shared" ref="I68:I70" si="50">SUM(F68:H68)</f>
        <v>456000</v>
      </c>
      <c r="J68" s="43">
        <f>65000-23000+110000</f>
        <v>152000</v>
      </c>
      <c r="K68" s="43">
        <f>65000-23000+110000</f>
        <v>152000</v>
      </c>
      <c r="L68" s="43">
        <f>65000-23000+110000</f>
        <v>152000</v>
      </c>
      <c r="M68" s="34">
        <f t="shared" ref="M68:M70" si="51">SUM(J68:L68)</f>
        <v>456000</v>
      </c>
      <c r="N68" s="43">
        <f>65000-23000+110000</f>
        <v>152000</v>
      </c>
      <c r="O68" s="43">
        <f>65000-23000+110000</f>
        <v>152000</v>
      </c>
      <c r="P68" s="43">
        <f>65000-23000+110000</f>
        <v>152000</v>
      </c>
      <c r="Q68" s="34">
        <f t="shared" ref="Q68:Q70" si="52">SUM(N68:P68)</f>
        <v>456000</v>
      </c>
      <c r="R68" s="43">
        <f>65000-23000+110000</f>
        <v>152000</v>
      </c>
      <c r="S68" s="43">
        <f>65000-23000+110000</f>
        <v>152000</v>
      </c>
      <c r="T68" s="43">
        <f>65000-23000+110000</f>
        <v>152000</v>
      </c>
      <c r="U68" s="34">
        <f t="shared" ref="U68:U70" si="53">SUM(R68:T68)</f>
        <v>456000</v>
      </c>
      <c r="V68" s="34">
        <f>I68+M68+Q68+U68</f>
        <v>1824000</v>
      </c>
    </row>
    <row r="69" spans="1:22" ht="13.15" outlineLevel="2">
      <c r="A69" s="24"/>
      <c r="B69" s="27"/>
      <c r="C69" s="28" t="s">
        <v>48</v>
      </c>
      <c r="D69" s="27"/>
      <c r="E69" s="9">
        <v>0</v>
      </c>
      <c r="F69" s="43"/>
      <c r="G69" s="43"/>
      <c r="H69" s="43"/>
      <c r="I69" s="34">
        <f t="shared" si="50"/>
        <v>0</v>
      </c>
      <c r="J69" s="43"/>
      <c r="K69" s="43"/>
      <c r="L69" s="43"/>
      <c r="M69" s="34">
        <f t="shared" si="51"/>
        <v>0</v>
      </c>
      <c r="N69" s="43"/>
      <c r="O69" s="43"/>
      <c r="P69" s="43"/>
      <c r="Q69" s="34">
        <f t="shared" si="52"/>
        <v>0</v>
      </c>
      <c r="R69" s="43"/>
      <c r="S69" s="43"/>
      <c r="T69" s="43"/>
      <c r="U69" s="34">
        <f t="shared" si="53"/>
        <v>0</v>
      </c>
      <c r="V69" s="34">
        <f>I69+M69+Q69+U69</f>
        <v>0</v>
      </c>
    </row>
    <row r="70" spans="1:22" ht="13.15" outlineLevel="2">
      <c r="A70" s="24"/>
      <c r="B70" s="27"/>
      <c r="C70" s="28" t="s">
        <v>26</v>
      </c>
      <c r="D70" s="27"/>
      <c r="E70" s="9">
        <v>0</v>
      </c>
      <c r="F70" s="43"/>
      <c r="G70" s="43"/>
      <c r="H70" s="43"/>
      <c r="I70" s="34">
        <f t="shared" si="50"/>
        <v>0</v>
      </c>
      <c r="J70" s="43"/>
      <c r="K70" s="43"/>
      <c r="L70" s="43"/>
      <c r="M70" s="34">
        <f t="shared" si="51"/>
        <v>0</v>
      </c>
      <c r="N70" s="43"/>
      <c r="O70" s="43"/>
      <c r="P70" s="43"/>
      <c r="Q70" s="34">
        <f t="shared" si="52"/>
        <v>0</v>
      </c>
      <c r="R70" s="43"/>
      <c r="S70" s="43"/>
      <c r="T70" s="43"/>
      <c r="U70" s="34">
        <f t="shared" si="53"/>
        <v>0</v>
      </c>
      <c r="V70" s="34">
        <f>I70+M70+Q70+U70</f>
        <v>0</v>
      </c>
    </row>
    <row r="71" spans="1:22" ht="13.15" outlineLevel="1">
      <c r="A71" s="24"/>
      <c r="B71" s="29" t="s">
        <v>6</v>
      </c>
      <c r="C71" s="30"/>
      <c r="D71" s="30"/>
      <c r="E71" s="10"/>
      <c r="F71" s="45">
        <f>SUM(F68:F70)</f>
        <v>152000</v>
      </c>
      <c r="G71" s="45">
        <f>SUM(G68:G70)</f>
        <v>152000</v>
      </c>
      <c r="H71" s="45">
        <f>SUM(H68:H70)</f>
        <v>152000</v>
      </c>
      <c r="I71" s="35">
        <f t="shared" ref="I71" si="54">SUM(I68:I70)</f>
        <v>456000</v>
      </c>
      <c r="J71" s="45">
        <f>SUM(J68:J70)</f>
        <v>152000</v>
      </c>
      <c r="K71" s="45">
        <f>SUM(K68:K70)</f>
        <v>152000</v>
      </c>
      <c r="L71" s="45">
        <f>SUM(L68:L70)</f>
        <v>152000</v>
      </c>
      <c r="M71" s="35">
        <f t="shared" ref="M71" si="55">SUM(M68:M70)</f>
        <v>456000</v>
      </c>
      <c r="N71" s="45">
        <f>SUM(N68:N70)</f>
        <v>152000</v>
      </c>
      <c r="O71" s="45">
        <f>SUM(O68:O70)</f>
        <v>152000</v>
      </c>
      <c r="P71" s="45">
        <f>SUM(P68:P70)</f>
        <v>152000</v>
      </c>
      <c r="Q71" s="35">
        <f t="shared" ref="Q71" si="56">SUM(Q68:Q70)</f>
        <v>456000</v>
      </c>
      <c r="R71" s="45">
        <f>SUM(R68:R70)</f>
        <v>152000</v>
      </c>
      <c r="S71" s="45">
        <f>SUM(S68:S70)</f>
        <v>152000</v>
      </c>
      <c r="T71" s="45">
        <f>SUM(T68:T70)</f>
        <v>152000</v>
      </c>
      <c r="U71" s="35">
        <f t="shared" ref="U71" si="57">SUM(U68:U70)</f>
        <v>456000</v>
      </c>
      <c r="V71" s="35">
        <f>I71+M71+Q71+U71</f>
        <v>1824000</v>
      </c>
    </row>
    <row r="72" spans="1:22" ht="13.15" outlineLevel="2">
      <c r="A72" s="24"/>
      <c r="B72" s="26" t="s">
        <v>7</v>
      </c>
      <c r="C72" s="27"/>
      <c r="D72" s="27"/>
      <c r="E72" s="9"/>
      <c r="F72" s="43"/>
      <c r="G72" s="43"/>
      <c r="H72" s="43"/>
      <c r="I72" s="36"/>
      <c r="J72" s="43"/>
      <c r="K72" s="43"/>
      <c r="L72" s="43"/>
      <c r="M72" s="36"/>
      <c r="N72" s="43"/>
      <c r="O72" s="43"/>
      <c r="P72" s="43"/>
      <c r="Q72" s="36"/>
      <c r="R72" s="43"/>
      <c r="S72" s="43"/>
      <c r="T72" s="43"/>
      <c r="U72" s="36"/>
      <c r="V72" s="36"/>
    </row>
    <row r="73" spans="1:22" ht="13.15" outlineLevel="2">
      <c r="A73" s="24"/>
      <c r="B73" s="27"/>
      <c r="C73" s="28" t="s">
        <v>40</v>
      </c>
      <c r="D73" s="27"/>
      <c r="E73" s="9">
        <v>0</v>
      </c>
      <c r="F73" s="43"/>
      <c r="G73" s="43"/>
      <c r="H73" s="43"/>
      <c r="I73" s="34">
        <f t="shared" ref="I73:I75" si="58">SUM(F73:H73)</f>
        <v>0</v>
      </c>
      <c r="J73" s="43"/>
      <c r="K73" s="43"/>
      <c r="L73" s="43"/>
      <c r="M73" s="34">
        <f t="shared" ref="M73:M75" si="59">SUM(J73:L73)</f>
        <v>0</v>
      </c>
      <c r="N73" s="43"/>
      <c r="O73" s="43"/>
      <c r="P73" s="43"/>
      <c r="Q73" s="34">
        <f t="shared" ref="Q73:Q75" si="60">SUM(N73:P73)</f>
        <v>0</v>
      </c>
      <c r="R73" s="43"/>
      <c r="S73" s="43"/>
      <c r="T73" s="43"/>
      <c r="U73" s="34">
        <f t="shared" ref="U73:U75" si="61">SUM(R73:T73)</f>
        <v>0</v>
      </c>
      <c r="V73" s="34">
        <f>I73+M73+Q73+U73</f>
        <v>0</v>
      </c>
    </row>
    <row r="74" spans="1:22" ht="13.15" outlineLevel="2">
      <c r="A74" s="24"/>
      <c r="B74" s="27"/>
      <c r="C74" s="27" t="s">
        <v>8</v>
      </c>
      <c r="D74" s="27"/>
      <c r="E74" s="9">
        <v>0</v>
      </c>
      <c r="F74" s="43"/>
      <c r="G74" s="43"/>
      <c r="H74" s="43"/>
      <c r="I74" s="34">
        <f t="shared" si="58"/>
        <v>0</v>
      </c>
      <c r="J74" s="43"/>
      <c r="K74" s="43"/>
      <c r="L74" s="43"/>
      <c r="M74" s="34">
        <f t="shared" si="59"/>
        <v>0</v>
      </c>
      <c r="N74" s="43"/>
      <c r="O74" s="43"/>
      <c r="P74" s="43"/>
      <c r="Q74" s="34">
        <f t="shared" si="60"/>
        <v>0</v>
      </c>
      <c r="R74" s="43"/>
      <c r="S74" s="43"/>
      <c r="T74" s="43"/>
      <c r="U74" s="34">
        <f t="shared" si="61"/>
        <v>0</v>
      </c>
      <c r="V74" s="34">
        <f>I74+M74+Q74+U74</f>
        <v>0</v>
      </c>
    </row>
    <row r="75" spans="1:22" ht="13.15" outlineLevel="2">
      <c r="A75" s="24"/>
      <c r="B75" s="27"/>
      <c r="C75" s="27" t="s">
        <v>9</v>
      </c>
      <c r="D75" s="27"/>
      <c r="E75" s="9">
        <v>0</v>
      </c>
      <c r="F75" s="43"/>
      <c r="G75" s="43"/>
      <c r="H75" s="43"/>
      <c r="I75" s="34">
        <f t="shared" si="58"/>
        <v>0</v>
      </c>
      <c r="J75" s="43"/>
      <c r="K75" s="43"/>
      <c r="L75" s="43"/>
      <c r="M75" s="34">
        <f t="shared" si="59"/>
        <v>0</v>
      </c>
      <c r="N75" s="43"/>
      <c r="O75" s="43"/>
      <c r="P75" s="43"/>
      <c r="Q75" s="34">
        <f t="shared" si="60"/>
        <v>0</v>
      </c>
      <c r="R75" s="43"/>
      <c r="S75" s="43"/>
      <c r="T75" s="43"/>
      <c r="U75" s="34">
        <f t="shared" si="61"/>
        <v>0</v>
      </c>
      <c r="V75" s="34">
        <f>I75+M75+Q75+U75</f>
        <v>0</v>
      </c>
    </row>
    <row r="76" spans="1:22" ht="13.15" outlineLevel="1">
      <c r="A76" s="24"/>
      <c r="B76" s="29" t="s">
        <v>10</v>
      </c>
      <c r="C76" s="30"/>
      <c r="D76" s="30"/>
      <c r="E76" s="10"/>
      <c r="F76" s="45">
        <f t="shared" ref="F76:G76" si="62">SUM(F73:F75)</f>
        <v>0</v>
      </c>
      <c r="G76" s="45">
        <f t="shared" si="62"/>
        <v>0</v>
      </c>
      <c r="H76" s="45">
        <f t="shared" ref="H76" si="63">SUM(H73:H75)</f>
        <v>0</v>
      </c>
      <c r="I76" s="35">
        <f t="shared" ref="I76" si="64">SUM(I73:I75)</f>
        <v>0</v>
      </c>
      <c r="J76" s="45">
        <f t="shared" ref="J76:L76" si="65">SUM(J73:J75)</f>
        <v>0</v>
      </c>
      <c r="K76" s="45">
        <f t="shared" si="65"/>
        <v>0</v>
      </c>
      <c r="L76" s="45">
        <f t="shared" si="65"/>
        <v>0</v>
      </c>
      <c r="M76" s="35">
        <f t="shared" ref="M76" si="66">SUM(M73:M75)</f>
        <v>0</v>
      </c>
      <c r="N76" s="45">
        <f t="shared" ref="N76:P76" si="67">SUM(N73:N75)</f>
        <v>0</v>
      </c>
      <c r="O76" s="45">
        <f t="shared" si="67"/>
        <v>0</v>
      </c>
      <c r="P76" s="45">
        <f t="shared" si="67"/>
        <v>0</v>
      </c>
      <c r="Q76" s="35">
        <f t="shared" ref="Q76" si="68">SUM(Q73:Q75)</f>
        <v>0</v>
      </c>
      <c r="R76" s="45">
        <f t="shared" ref="R76:T76" si="69">SUM(R73:R75)</f>
        <v>0</v>
      </c>
      <c r="S76" s="45">
        <f t="shared" si="69"/>
        <v>0</v>
      </c>
      <c r="T76" s="45">
        <f t="shared" si="69"/>
        <v>0</v>
      </c>
      <c r="U76" s="35">
        <f t="shared" ref="U76" si="70">SUM(U73:U75)</f>
        <v>0</v>
      </c>
      <c r="V76" s="35">
        <f>I76+M76+Q76+U76</f>
        <v>0</v>
      </c>
    </row>
    <row r="77" spans="1:22" ht="13.15">
      <c r="A77" s="31"/>
      <c r="B77" s="32"/>
      <c r="C77" s="31"/>
      <c r="D77" s="32" t="s">
        <v>11</v>
      </c>
      <c r="E77" s="9"/>
      <c r="F77" s="44">
        <f>F52+F53+F66+F71+F76</f>
        <v>15199000</v>
      </c>
      <c r="G77" s="44">
        <f>G52+G53+G66+G71+G76</f>
        <v>15199000</v>
      </c>
      <c r="H77" s="44">
        <f>H52+H53+H66+H71+H76</f>
        <v>15199000</v>
      </c>
      <c r="I77" s="35">
        <f>I76+I71+I66+I53+I52</f>
        <v>45237000</v>
      </c>
      <c r="J77" s="44">
        <f>J52+J53+J66+J71+J76</f>
        <v>15199000</v>
      </c>
      <c r="K77" s="44">
        <f>K52+K53+K66+K71+K76</f>
        <v>15199000</v>
      </c>
      <c r="L77" s="44">
        <f>L52+L53+L66+L71+L76</f>
        <v>15199000</v>
      </c>
      <c r="M77" s="35">
        <f>M76+M71+M66+M53+M52</f>
        <v>45237000</v>
      </c>
      <c r="N77" s="44">
        <f>N52+N53+N66+N71+N76</f>
        <v>15199000</v>
      </c>
      <c r="O77" s="44">
        <f>O52+O53+O66+O71+O76</f>
        <v>15199000</v>
      </c>
      <c r="P77" s="44">
        <f>P52+P53+P66+P71+P76</f>
        <v>15199000</v>
      </c>
      <c r="Q77" s="35">
        <f>Q76+Q71+Q66+Q53+Q52</f>
        <v>45237000</v>
      </c>
      <c r="R77" s="44">
        <f>R52+R53+R66+R71+R76</f>
        <v>15199000</v>
      </c>
      <c r="S77" s="44">
        <f>S52+S53+S66+S71+S76</f>
        <v>15199000</v>
      </c>
      <c r="T77" s="44">
        <f>T52+T53+T66+T71+T76</f>
        <v>15199000</v>
      </c>
      <c r="U77" s="35">
        <f>U76+U71+U66+U53+U52</f>
        <v>45237000</v>
      </c>
      <c r="V77" s="35">
        <f>I77+M77+Q77+U77</f>
        <v>180948000</v>
      </c>
    </row>
    <row r="78" spans="1:22" ht="13.15" outlineLevel="1">
      <c r="A78" s="32" t="s">
        <v>12</v>
      </c>
      <c r="B78" s="32"/>
      <c r="C78" s="33"/>
      <c r="D78" s="33"/>
      <c r="E78" s="9"/>
      <c r="F78" s="43"/>
      <c r="G78" s="43"/>
      <c r="H78" s="43"/>
      <c r="I78" s="35"/>
      <c r="J78" s="43"/>
      <c r="K78" s="43"/>
      <c r="L78" s="43"/>
      <c r="M78" s="35"/>
      <c r="N78" s="43"/>
      <c r="O78" s="43"/>
      <c r="P78" s="43"/>
      <c r="Q78" s="35"/>
      <c r="R78" s="43"/>
      <c r="S78" s="43"/>
      <c r="T78" s="43"/>
      <c r="U78" s="35"/>
      <c r="V78" s="35"/>
    </row>
    <row r="79" spans="1:22" ht="13.15" outlineLevel="2">
      <c r="A79" s="24"/>
      <c r="B79" s="26" t="s">
        <v>13</v>
      </c>
      <c r="C79" s="27"/>
      <c r="D79" s="27"/>
      <c r="E79" s="9"/>
      <c r="F79" s="44"/>
      <c r="G79" s="44"/>
      <c r="H79" s="44"/>
      <c r="I79" s="36"/>
      <c r="J79" s="44"/>
      <c r="K79" s="44"/>
      <c r="L79" s="44"/>
      <c r="M79" s="36"/>
      <c r="N79" s="44"/>
      <c r="O79" s="44"/>
      <c r="P79" s="44"/>
      <c r="Q79" s="36"/>
      <c r="R79" s="44"/>
      <c r="S79" s="44"/>
      <c r="T79" s="44"/>
      <c r="U79" s="36"/>
      <c r="V79" s="36"/>
    </row>
    <row r="80" spans="1:22" ht="13.15" outlineLevel="2">
      <c r="A80" s="24"/>
      <c r="B80" s="27"/>
      <c r="C80" s="28" t="s">
        <v>66</v>
      </c>
      <c r="D80" s="27"/>
      <c r="E80" s="9">
        <v>0</v>
      </c>
      <c r="F80" s="43">
        <v>5300000</v>
      </c>
      <c r="G80" s="43">
        <v>5300000</v>
      </c>
      <c r="H80" s="43">
        <v>5300000</v>
      </c>
      <c r="I80" s="34">
        <f t="shared" ref="I80:I87" si="71">SUM(F80:H80)</f>
        <v>15900000</v>
      </c>
      <c r="J80" s="43">
        <v>5300000</v>
      </c>
      <c r="K80" s="43">
        <v>5300000</v>
      </c>
      <c r="L80" s="43">
        <v>5300000</v>
      </c>
      <c r="M80" s="34">
        <f t="shared" ref="M80:M87" si="72">SUM(J80:L80)</f>
        <v>15900000</v>
      </c>
      <c r="N80" s="43">
        <v>5300000</v>
      </c>
      <c r="O80" s="43">
        <v>5300000</v>
      </c>
      <c r="P80" s="43">
        <v>5300000</v>
      </c>
      <c r="Q80" s="34">
        <f t="shared" ref="Q80:Q87" si="73">SUM(N80:P80)</f>
        <v>15900000</v>
      </c>
      <c r="R80" s="43">
        <v>5300000</v>
      </c>
      <c r="S80" s="43">
        <v>5300000</v>
      </c>
      <c r="T80" s="43">
        <v>5300000</v>
      </c>
      <c r="U80" s="34">
        <f t="shared" ref="U80:U87" si="74">SUM(R80:T80)</f>
        <v>15900000</v>
      </c>
      <c r="V80" s="34">
        <f t="shared" ref="V80:V97" si="75">I80+M80+Q80+U80</f>
        <v>63600000</v>
      </c>
    </row>
    <row r="81" spans="1:22" ht="13.15" outlineLevel="2">
      <c r="A81" s="24"/>
      <c r="B81" s="27"/>
      <c r="C81" s="28" t="s">
        <v>67</v>
      </c>
      <c r="D81" s="27"/>
      <c r="E81" s="9">
        <v>0</v>
      </c>
      <c r="F81" s="43">
        <f>1085000+280000+4470000</f>
        <v>5835000</v>
      </c>
      <c r="G81" s="43">
        <f>1085000+280000+4470000</f>
        <v>5835000</v>
      </c>
      <c r="H81" s="43">
        <f>1085000+280000+4470000</f>
        <v>5835000</v>
      </c>
      <c r="I81" s="34">
        <f t="shared" si="71"/>
        <v>17505000</v>
      </c>
      <c r="J81" s="43">
        <f>1085000+280000+4470000</f>
        <v>5835000</v>
      </c>
      <c r="K81" s="43">
        <f>1085000+280000+4470000</f>
        <v>5835000</v>
      </c>
      <c r="L81" s="43">
        <f>1085000+280000+4470000</f>
        <v>5835000</v>
      </c>
      <c r="M81" s="34">
        <f t="shared" si="72"/>
        <v>17505000</v>
      </c>
      <c r="N81" s="43">
        <f>1085000+280000+4470000</f>
        <v>5835000</v>
      </c>
      <c r="O81" s="43">
        <f>1085000+280000+4470000</f>
        <v>5835000</v>
      </c>
      <c r="P81" s="43">
        <f>1085000+280000+4470000</f>
        <v>5835000</v>
      </c>
      <c r="Q81" s="34">
        <f t="shared" si="73"/>
        <v>17505000</v>
      </c>
      <c r="R81" s="43">
        <f>1085000+280000+4470000</f>
        <v>5835000</v>
      </c>
      <c r="S81" s="43">
        <f>1085000+280000+4470000</f>
        <v>5835000</v>
      </c>
      <c r="T81" s="43">
        <f>1085000+280000+4470000</f>
        <v>5835000</v>
      </c>
      <c r="U81" s="34">
        <f t="shared" si="74"/>
        <v>17505000</v>
      </c>
      <c r="V81" s="34">
        <f t="shared" si="75"/>
        <v>70020000</v>
      </c>
    </row>
    <row r="82" spans="1:22" ht="13.15" outlineLevel="2">
      <c r="A82" s="24"/>
      <c r="B82" s="27"/>
      <c r="C82" s="28" t="s">
        <v>100</v>
      </c>
      <c r="D82" s="27"/>
      <c r="E82" s="9">
        <v>0</v>
      </c>
      <c r="F82" s="43">
        <v>1570000</v>
      </c>
      <c r="G82" s="43">
        <v>1570000</v>
      </c>
      <c r="H82" s="43">
        <v>1570000</v>
      </c>
      <c r="I82" s="34">
        <f t="shared" si="71"/>
        <v>4710000</v>
      </c>
      <c r="J82" s="43">
        <v>1570000</v>
      </c>
      <c r="K82" s="43">
        <v>1570000</v>
      </c>
      <c r="L82" s="43">
        <v>1570000</v>
      </c>
      <c r="M82" s="34">
        <f t="shared" si="72"/>
        <v>4710000</v>
      </c>
      <c r="N82" s="43">
        <v>1570000</v>
      </c>
      <c r="O82" s="43">
        <v>1570000</v>
      </c>
      <c r="P82" s="43">
        <v>1570000</v>
      </c>
      <c r="Q82" s="34">
        <f t="shared" si="73"/>
        <v>4710000</v>
      </c>
      <c r="R82" s="43">
        <v>1570000</v>
      </c>
      <c r="S82" s="43">
        <v>1570000</v>
      </c>
      <c r="T82" s="43">
        <v>1570000</v>
      </c>
      <c r="U82" s="34">
        <f t="shared" si="74"/>
        <v>4710000</v>
      </c>
      <c r="V82" s="34">
        <f t="shared" si="75"/>
        <v>18840000</v>
      </c>
    </row>
    <row r="83" spans="1:22" ht="13.15" outlineLevel="2">
      <c r="A83" s="24"/>
      <c r="B83" s="27"/>
      <c r="C83" s="28" t="s">
        <v>99</v>
      </c>
      <c r="D83" s="27"/>
      <c r="E83" s="9"/>
      <c r="F83" s="43">
        <v>3848000</v>
      </c>
      <c r="G83" s="43">
        <v>3848000</v>
      </c>
      <c r="H83" s="43">
        <v>3848000</v>
      </c>
      <c r="I83" s="34">
        <f t="shared" si="71"/>
        <v>11544000</v>
      </c>
      <c r="J83" s="43">
        <v>3848000</v>
      </c>
      <c r="K83" s="43">
        <v>3848000</v>
      </c>
      <c r="L83" s="43">
        <v>3848000</v>
      </c>
      <c r="M83" s="34">
        <f t="shared" si="72"/>
        <v>11544000</v>
      </c>
      <c r="N83" s="43">
        <v>3848000</v>
      </c>
      <c r="O83" s="43">
        <v>3848000</v>
      </c>
      <c r="P83" s="43">
        <v>3848000</v>
      </c>
      <c r="Q83" s="34">
        <f t="shared" si="73"/>
        <v>11544000</v>
      </c>
      <c r="R83" s="43">
        <v>3848000</v>
      </c>
      <c r="S83" s="43">
        <v>3848000</v>
      </c>
      <c r="T83" s="43">
        <v>3848000</v>
      </c>
      <c r="U83" s="34">
        <f t="shared" si="74"/>
        <v>11544000</v>
      </c>
      <c r="V83" s="34">
        <f t="shared" si="75"/>
        <v>46176000</v>
      </c>
    </row>
    <row r="84" spans="1:22" ht="13.15" outlineLevel="2">
      <c r="A84" s="24"/>
      <c r="B84" s="27"/>
      <c r="C84" s="28" t="s">
        <v>101</v>
      </c>
      <c r="D84" s="27"/>
      <c r="E84" s="9"/>
      <c r="F84" s="43">
        <f>100000+140000</f>
        <v>240000</v>
      </c>
      <c r="G84" s="43">
        <f>100000+140000</f>
        <v>240000</v>
      </c>
      <c r="H84" s="43">
        <f>100000+140000</f>
        <v>240000</v>
      </c>
      <c r="I84" s="34">
        <f t="shared" si="71"/>
        <v>720000</v>
      </c>
      <c r="J84" s="43">
        <f>100000+140000</f>
        <v>240000</v>
      </c>
      <c r="K84" s="43">
        <f>100000+140000</f>
        <v>240000</v>
      </c>
      <c r="L84" s="43">
        <f>100000+140000</f>
        <v>240000</v>
      </c>
      <c r="M84" s="34">
        <f t="shared" si="72"/>
        <v>720000</v>
      </c>
      <c r="N84" s="43">
        <f>100000+140000</f>
        <v>240000</v>
      </c>
      <c r="O84" s="43">
        <f>100000+140000</f>
        <v>240000</v>
      </c>
      <c r="P84" s="43">
        <f>100000+140000</f>
        <v>240000</v>
      </c>
      <c r="Q84" s="34">
        <f t="shared" si="73"/>
        <v>720000</v>
      </c>
      <c r="R84" s="43">
        <f>100000+140000</f>
        <v>240000</v>
      </c>
      <c r="S84" s="43">
        <f>100000+140000</f>
        <v>240000</v>
      </c>
      <c r="T84" s="43">
        <f>100000+140000</f>
        <v>240000</v>
      </c>
      <c r="U84" s="34">
        <f t="shared" si="74"/>
        <v>720000</v>
      </c>
      <c r="V84" s="34">
        <f t="shared" si="75"/>
        <v>2880000</v>
      </c>
    </row>
    <row r="85" spans="1:22" ht="13.15" outlineLevel="2">
      <c r="A85" s="24"/>
      <c r="B85" s="27"/>
      <c r="C85" s="28" t="s">
        <v>41</v>
      </c>
      <c r="D85" s="27"/>
      <c r="E85" s="9">
        <v>0</v>
      </c>
      <c r="F85" s="43">
        <v>196000</v>
      </c>
      <c r="G85" s="43">
        <v>196000</v>
      </c>
      <c r="H85" s="43">
        <v>196000</v>
      </c>
      <c r="I85" s="34">
        <f t="shared" si="71"/>
        <v>588000</v>
      </c>
      <c r="J85" s="43">
        <v>196000</v>
      </c>
      <c r="K85" s="43">
        <v>196000</v>
      </c>
      <c r="L85" s="43">
        <v>196000</v>
      </c>
      <c r="M85" s="34">
        <f t="shared" si="72"/>
        <v>588000</v>
      </c>
      <c r="N85" s="43">
        <v>196000</v>
      </c>
      <c r="O85" s="43">
        <v>196000</v>
      </c>
      <c r="P85" s="43">
        <v>196000</v>
      </c>
      <c r="Q85" s="34">
        <f t="shared" si="73"/>
        <v>588000</v>
      </c>
      <c r="R85" s="43">
        <v>196000</v>
      </c>
      <c r="S85" s="43">
        <v>196000</v>
      </c>
      <c r="T85" s="43">
        <v>196000</v>
      </c>
      <c r="U85" s="34">
        <f t="shared" si="74"/>
        <v>588000</v>
      </c>
      <c r="V85" s="34">
        <f t="shared" si="75"/>
        <v>2352000</v>
      </c>
    </row>
    <row r="86" spans="1:22" ht="13.15" outlineLevel="2">
      <c r="A86" s="24"/>
      <c r="B86" s="27"/>
      <c r="C86" s="28" t="s">
        <v>114</v>
      </c>
      <c r="D86" s="27"/>
      <c r="E86" s="9">
        <v>0</v>
      </c>
      <c r="F86" s="43">
        <v>863000</v>
      </c>
      <c r="G86" s="43">
        <v>863000</v>
      </c>
      <c r="H86" s="43">
        <v>863000</v>
      </c>
      <c r="I86" s="34">
        <f t="shared" si="71"/>
        <v>2589000</v>
      </c>
      <c r="J86" s="43">
        <v>863000</v>
      </c>
      <c r="K86" s="43">
        <v>863000</v>
      </c>
      <c r="L86" s="43">
        <v>863000</v>
      </c>
      <c r="M86" s="34">
        <f t="shared" si="72"/>
        <v>2589000</v>
      </c>
      <c r="N86" s="43">
        <v>863000</v>
      </c>
      <c r="O86" s="43">
        <v>863000</v>
      </c>
      <c r="P86" s="43">
        <v>863000</v>
      </c>
      <c r="Q86" s="34">
        <f t="shared" si="73"/>
        <v>2589000</v>
      </c>
      <c r="R86" s="43">
        <v>863000</v>
      </c>
      <c r="S86" s="43">
        <v>863000</v>
      </c>
      <c r="T86" s="43">
        <v>863000</v>
      </c>
      <c r="U86" s="34">
        <f t="shared" si="74"/>
        <v>2589000</v>
      </c>
      <c r="V86" s="34">
        <f t="shared" si="75"/>
        <v>10356000</v>
      </c>
    </row>
    <row r="87" spans="1:22" ht="13.15" outlineLevel="2">
      <c r="A87" s="24"/>
      <c r="B87" s="27"/>
      <c r="C87" s="28" t="s">
        <v>105</v>
      </c>
      <c r="D87" s="27"/>
      <c r="E87" s="9">
        <v>0</v>
      </c>
      <c r="F87" s="43"/>
      <c r="G87" s="43"/>
      <c r="H87" s="43"/>
      <c r="I87" s="34">
        <f t="shared" si="71"/>
        <v>0</v>
      </c>
      <c r="J87" s="43"/>
      <c r="K87" s="43"/>
      <c r="L87" s="43"/>
      <c r="M87" s="34">
        <f t="shared" si="72"/>
        <v>0</v>
      </c>
      <c r="N87" s="43"/>
      <c r="O87" s="43"/>
      <c r="P87" s="43"/>
      <c r="Q87" s="34">
        <f t="shared" si="73"/>
        <v>0</v>
      </c>
      <c r="R87" s="43"/>
      <c r="S87" s="43"/>
      <c r="T87" s="43"/>
      <c r="U87" s="34">
        <f t="shared" si="74"/>
        <v>0</v>
      </c>
      <c r="V87" s="34">
        <f t="shared" si="75"/>
        <v>0</v>
      </c>
    </row>
    <row r="88" spans="1:22" ht="13.15" outlineLevel="1">
      <c r="A88" s="24"/>
      <c r="B88" s="30" t="s">
        <v>14</v>
      </c>
      <c r="C88" s="30"/>
      <c r="D88" s="30"/>
      <c r="E88" s="10"/>
      <c r="F88" s="45">
        <f t="shared" ref="F88:G88" si="76">SUM(F80:F87)</f>
        <v>17852000</v>
      </c>
      <c r="G88" s="45">
        <f t="shared" si="76"/>
        <v>17852000</v>
      </c>
      <c r="H88" s="45">
        <f t="shared" ref="H88" si="77">SUM(H80:H87)</f>
        <v>17852000</v>
      </c>
      <c r="I88" s="35">
        <f t="shared" ref="I88" si="78">SUM(I80:I87)</f>
        <v>53556000</v>
      </c>
      <c r="J88" s="45">
        <f t="shared" ref="J88:L88" si="79">SUM(J80:J87)</f>
        <v>17852000</v>
      </c>
      <c r="K88" s="45">
        <f t="shared" si="79"/>
        <v>17852000</v>
      </c>
      <c r="L88" s="45">
        <f t="shared" si="79"/>
        <v>17852000</v>
      </c>
      <c r="M88" s="35">
        <f t="shared" ref="M88" si="80">SUM(M80:M87)</f>
        <v>53556000</v>
      </c>
      <c r="N88" s="45">
        <f t="shared" ref="N88:P88" si="81">SUM(N80:N87)</f>
        <v>17852000</v>
      </c>
      <c r="O88" s="45">
        <f t="shared" si="81"/>
        <v>17852000</v>
      </c>
      <c r="P88" s="45">
        <f t="shared" si="81"/>
        <v>17852000</v>
      </c>
      <c r="Q88" s="35">
        <f t="shared" ref="Q88" si="82">SUM(Q80:Q87)</f>
        <v>53556000</v>
      </c>
      <c r="R88" s="45">
        <f t="shared" ref="R88:T88" si="83">SUM(R80:R87)</f>
        <v>17852000</v>
      </c>
      <c r="S88" s="45">
        <f t="shared" si="83"/>
        <v>17852000</v>
      </c>
      <c r="T88" s="45">
        <f t="shared" si="83"/>
        <v>17852000</v>
      </c>
      <c r="U88" s="35">
        <f t="shared" ref="U88" si="84">SUM(U80:U87)</f>
        <v>53556000</v>
      </c>
      <c r="V88" s="35">
        <f t="shared" si="75"/>
        <v>214224000</v>
      </c>
    </row>
    <row r="89" spans="1:22" s="4" customFormat="1" ht="13.15" outlineLevel="1">
      <c r="A89" s="24"/>
      <c r="B89" s="24" t="s">
        <v>15</v>
      </c>
      <c r="C89" s="24"/>
      <c r="D89" s="24"/>
      <c r="E89" s="8">
        <v>0</v>
      </c>
      <c r="F89" s="44">
        <v>0</v>
      </c>
      <c r="G89" s="44">
        <v>0</v>
      </c>
      <c r="H89" s="44">
        <v>0</v>
      </c>
      <c r="I89" s="35">
        <v>0</v>
      </c>
      <c r="J89" s="44">
        <v>0</v>
      </c>
      <c r="K89" s="44">
        <v>0</v>
      </c>
      <c r="L89" s="44">
        <v>0</v>
      </c>
      <c r="M89" s="35">
        <v>0</v>
      </c>
      <c r="N89" s="44">
        <v>0</v>
      </c>
      <c r="O89" s="44">
        <v>0</v>
      </c>
      <c r="P89" s="44">
        <v>0</v>
      </c>
      <c r="Q89" s="35">
        <v>0</v>
      </c>
      <c r="R89" s="44">
        <v>0</v>
      </c>
      <c r="S89" s="44">
        <v>0</v>
      </c>
      <c r="T89" s="44">
        <v>0</v>
      </c>
      <c r="U89" s="35">
        <v>0</v>
      </c>
      <c r="V89" s="35">
        <f t="shared" si="75"/>
        <v>0</v>
      </c>
    </row>
    <row r="90" spans="1:22" ht="13.15" outlineLevel="2">
      <c r="A90" s="24"/>
      <c r="B90" s="26" t="s">
        <v>16</v>
      </c>
      <c r="C90" s="27"/>
      <c r="D90" s="27"/>
      <c r="E90" s="9"/>
      <c r="F90" s="43"/>
      <c r="G90" s="43"/>
      <c r="H90" s="43"/>
      <c r="I90" s="36"/>
      <c r="J90" s="43"/>
      <c r="K90" s="43"/>
      <c r="L90" s="43"/>
      <c r="M90" s="36"/>
      <c r="N90" s="43"/>
      <c r="O90" s="43"/>
      <c r="P90" s="43"/>
      <c r="Q90" s="36"/>
      <c r="R90" s="43"/>
      <c r="S90" s="43"/>
      <c r="T90" s="43"/>
      <c r="U90" s="36"/>
      <c r="V90" s="34">
        <f t="shared" si="75"/>
        <v>0</v>
      </c>
    </row>
    <row r="91" spans="1:22" ht="13.15" outlineLevel="2">
      <c r="A91" s="24"/>
      <c r="B91" s="27"/>
      <c r="C91" s="28" t="s">
        <v>42</v>
      </c>
      <c r="D91" s="27"/>
      <c r="E91" s="9">
        <v>0</v>
      </c>
      <c r="F91" s="43">
        <v>710000</v>
      </c>
      <c r="G91" s="43">
        <v>710000</v>
      </c>
      <c r="H91" s="43">
        <v>710000</v>
      </c>
      <c r="I91" s="34">
        <f t="shared" ref="I91:I96" si="85">SUM(F91:H91)</f>
        <v>2130000</v>
      </c>
      <c r="J91" s="43">
        <v>710000</v>
      </c>
      <c r="K91" s="43">
        <v>710000</v>
      </c>
      <c r="L91" s="43">
        <v>710000</v>
      </c>
      <c r="M91" s="34">
        <f t="shared" ref="M91:M96" si="86">SUM(J91:L91)</f>
        <v>2130000</v>
      </c>
      <c r="N91" s="43">
        <v>710000</v>
      </c>
      <c r="O91" s="43">
        <v>710000</v>
      </c>
      <c r="P91" s="43">
        <v>710000</v>
      </c>
      <c r="Q91" s="34">
        <f t="shared" ref="Q91:Q96" si="87">SUM(N91:P91)</f>
        <v>2130000</v>
      </c>
      <c r="R91" s="43">
        <v>710000</v>
      </c>
      <c r="S91" s="43">
        <v>710000</v>
      </c>
      <c r="T91" s="43">
        <v>710000</v>
      </c>
      <c r="U91" s="34">
        <f t="shared" ref="U91:U96" si="88">SUM(R91:T91)</f>
        <v>2130000</v>
      </c>
      <c r="V91" s="34">
        <f t="shared" si="75"/>
        <v>8520000</v>
      </c>
    </row>
    <row r="92" spans="1:22" ht="13.15" outlineLevel="2">
      <c r="A92" s="24"/>
      <c r="B92" s="27"/>
      <c r="C92" s="28" t="s">
        <v>43</v>
      </c>
      <c r="D92" s="27"/>
      <c r="E92" s="9">
        <v>0</v>
      </c>
      <c r="F92" s="43">
        <v>633000</v>
      </c>
      <c r="G92" s="43">
        <v>633000</v>
      </c>
      <c r="H92" s="43">
        <v>633000</v>
      </c>
      <c r="I92" s="34">
        <f t="shared" si="85"/>
        <v>1899000</v>
      </c>
      <c r="J92" s="43">
        <v>633000</v>
      </c>
      <c r="K92" s="43">
        <v>633000</v>
      </c>
      <c r="L92" s="43">
        <v>633000</v>
      </c>
      <c r="M92" s="34">
        <f t="shared" si="86"/>
        <v>1899000</v>
      </c>
      <c r="N92" s="43">
        <v>633000</v>
      </c>
      <c r="O92" s="43">
        <v>633000</v>
      </c>
      <c r="P92" s="43">
        <v>633000</v>
      </c>
      <c r="Q92" s="34">
        <f t="shared" si="87"/>
        <v>1899000</v>
      </c>
      <c r="R92" s="43">
        <v>633000</v>
      </c>
      <c r="S92" s="43">
        <v>633000</v>
      </c>
      <c r="T92" s="43">
        <v>633000</v>
      </c>
      <c r="U92" s="34">
        <f t="shared" si="88"/>
        <v>1899000</v>
      </c>
      <c r="V92" s="34">
        <f t="shared" si="75"/>
        <v>7596000</v>
      </c>
    </row>
    <row r="93" spans="1:22" ht="13.15" outlineLevel="2">
      <c r="A93" s="24"/>
      <c r="B93" s="27"/>
      <c r="C93" s="28" t="s">
        <v>53</v>
      </c>
      <c r="D93" s="27"/>
      <c r="E93" s="9">
        <v>0</v>
      </c>
      <c r="F93" s="43">
        <v>43000</v>
      </c>
      <c r="G93" s="43">
        <v>43000</v>
      </c>
      <c r="H93" s="43">
        <v>43000</v>
      </c>
      <c r="I93" s="34">
        <f t="shared" si="85"/>
        <v>129000</v>
      </c>
      <c r="J93" s="43">
        <v>43000</v>
      </c>
      <c r="K93" s="43">
        <v>43000</v>
      </c>
      <c r="L93" s="43">
        <v>43000</v>
      </c>
      <c r="M93" s="34">
        <f t="shared" si="86"/>
        <v>129000</v>
      </c>
      <c r="N93" s="43">
        <v>43000</v>
      </c>
      <c r="O93" s="43">
        <v>43000</v>
      </c>
      <c r="P93" s="43">
        <v>43000</v>
      </c>
      <c r="Q93" s="34">
        <f t="shared" si="87"/>
        <v>129000</v>
      </c>
      <c r="R93" s="43">
        <v>43000</v>
      </c>
      <c r="S93" s="43">
        <v>43000</v>
      </c>
      <c r="T93" s="43">
        <v>43000</v>
      </c>
      <c r="U93" s="34">
        <f t="shared" si="88"/>
        <v>129000</v>
      </c>
      <c r="V93" s="34">
        <f t="shared" si="75"/>
        <v>516000</v>
      </c>
    </row>
    <row r="94" spans="1:22" ht="13.15" outlineLevel="2">
      <c r="A94" s="24"/>
      <c r="B94" s="27"/>
      <c r="C94" s="28" t="s">
        <v>44</v>
      </c>
      <c r="D94" s="27"/>
      <c r="E94" s="9">
        <v>0</v>
      </c>
      <c r="F94" s="43">
        <v>5000</v>
      </c>
      <c r="G94" s="43">
        <v>5000</v>
      </c>
      <c r="H94" s="43">
        <v>5000</v>
      </c>
      <c r="I94" s="34">
        <f t="shared" si="85"/>
        <v>15000</v>
      </c>
      <c r="J94" s="43">
        <v>5000</v>
      </c>
      <c r="K94" s="43">
        <v>5000</v>
      </c>
      <c r="L94" s="43">
        <v>5000</v>
      </c>
      <c r="M94" s="34">
        <f t="shared" si="86"/>
        <v>15000</v>
      </c>
      <c r="N94" s="43">
        <v>5000</v>
      </c>
      <c r="O94" s="43">
        <v>5000</v>
      </c>
      <c r="P94" s="43">
        <v>5000</v>
      </c>
      <c r="Q94" s="34">
        <f t="shared" si="87"/>
        <v>15000</v>
      </c>
      <c r="R94" s="43">
        <v>5000</v>
      </c>
      <c r="S94" s="43">
        <v>5000</v>
      </c>
      <c r="T94" s="43">
        <v>5000</v>
      </c>
      <c r="U94" s="34">
        <f t="shared" si="88"/>
        <v>15000</v>
      </c>
      <c r="V94" s="34">
        <f t="shared" si="75"/>
        <v>60000</v>
      </c>
    </row>
    <row r="95" spans="1:22" ht="13.15" outlineLevel="2">
      <c r="A95" s="24"/>
      <c r="B95" s="27"/>
      <c r="C95" s="28" t="s">
        <v>51</v>
      </c>
      <c r="D95" s="27"/>
      <c r="E95" s="9">
        <v>0</v>
      </c>
      <c r="F95" s="43"/>
      <c r="G95" s="43"/>
      <c r="H95" s="43"/>
      <c r="I95" s="34">
        <f t="shared" si="85"/>
        <v>0</v>
      </c>
      <c r="J95" s="43"/>
      <c r="K95" s="43"/>
      <c r="L95" s="43"/>
      <c r="M95" s="34">
        <f t="shared" si="86"/>
        <v>0</v>
      </c>
      <c r="N95" s="43"/>
      <c r="O95" s="43"/>
      <c r="P95" s="43"/>
      <c r="Q95" s="34">
        <f t="shared" si="87"/>
        <v>0</v>
      </c>
      <c r="R95" s="43"/>
      <c r="S95" s="43"/>
      <c r="T95" s="43"/>
      <c r="U95" s="34">
        <f t="shared" si="88"/>
        <v>0</v>
      </c>
      <c r="V95" s="34">
        <f t="shared" si="75"/>
        <v>0</v>
      </c>
    </row>
    <row r="96" spans="1:22" ht="13.15" outlineLevel="2">
      <c r="A96" s="24"/>
      <c r="B96" s="27"/>
      <c r="C96" s="28" t="s">
        <v>50</v>
      </c>
      <c r="D96" s="27"/>
      <c r="E96" s="9">
        <v>0</v>
      </c>
      <c r="F96" s="43">
        <v>3300000</v>
      </c>
      <c r="G96" s="43">
        <v>3300000</v>
      </c>
      <c r="H96" s="43">
        <v>3300000</v>
      </c>
      <c r="I96" s="34">
        <f t="shared" si="85"/>
        <v>9900000</v>
      </c>
      <c r="J96" s="43">
        <v>3300000</v>
      </c>
      <c r="K96" s="43">
        <v>3300000</v>
      </c>
      <c r="L96" s="43">
        <v>3300000</v>
      </c>
      <c r="M96" s="34">
        <f t="shared" si="86"/>
        <v>9900000</v>
      </c>
      <c r="N96" s="43">
        <v>3300000</v>
      </c>
      <c r="O96" s="43">
        <v>3300000</v>
      </c>
      <c r="P96" s="43">
        <v>3300000</v>
      </c>
      <c r="Q96" s="34">
        <f t="shared" si="87"/>
        <v>9900000</v>
      </c>
      <c r="R96" s="43">
        <v>3300000</v>
      </c>
      <c r="S96" s="43">
        <v>3300000</v>
      </c>
      <c r="T96" s="43">
        <v>3300000</v>
      </c>
      <c r="U96" s="34">
        <f t="shared" si="88"/>
        <v>9900000</v>
      </c>
      <c r="V96" s="34">
        <f t="shared" si="75"/>
        <v>39600000</v>
      </c>
    </row>
    <row r="97" spans="1:22" ht="13.15" outlineLevel="1">
      <c r="A97" s="24"/>
      <c r="B97" s="24" t="s">
        <v>17</v>
      </c>
      <c r="C97" s="24"/>
      <c r="D97" s="24"/>
      <c r="E97" s="8"/>
      <c r="F97" s="44">
        <f t="shared" ref="F97:G97" si="89">SUM(F91:F96)</f>
        <v>4691000</v>
      </c>
      <c r="G97" s="44">
        <f t="shared" si="89"/>
        <v>4691000</v>
      </c>
      <c r="H97" s="44">
        <f t="shared" ref="H97" si="90">SUM(H91:H96)</f>
        <v>4691000</v>
      </c>
      <c r="I97" s="35">
        <f t="shared" ref="I97:L97" si="91">SUM(I91:I96)</f>
        <v>14073000</v>
      </c>
      <c r="J97" s="44">
        <f t="shared" si="91"/>
        <v>4691000</v>
      </c>
      <c r="K97" s="44">
        <f t="shared" si="91"/>
        <v>4691000</v>
      </c>
      <c r="L97" s="44">
        <f t="shared" si="91"/>
        <v>4691000</v>
      </c>
      <c r="M97" s="35">
        <f t="shared" ref="M97:P97" si="92">SUM(M91:M96)</f>
        <v>14073000</v>
      </c>
      <c r="N97" s="44">
        <f t="shared" si="92"/>
        <v>4691000</v>
      </c>
      <c r="O97" s="44">
        <f t="shared" si="92"/>
        <v>4691000</v>
      </c>
      <c r="P97" s="44">
        <f t="shared" si="92"/>
        <v>4691000</v>
      </c>
      <c r="Q97" s="35">
        <f t="shared" ref="Q97:T97" si="93">SUM(Q91:Q96)</f>
        <v>14073000</v>
      </c>
      <c r="R97" s="44">
        <f t="shared" si="93"/>
        <v>4691000</v>
      </c>
      <c r="S97" s="44">
        <f t="shared" si="93"/>
        <v>4691000</v>
      </c>
      <c r="T97" s="44">
        <f t="shared" si="93"/>
        <v>4691000</v>
      </c>
      <c r="U97" s="35">
        <f t="shared" ref="U97" si="94">SUM(U91:U96)</f>
        <v>14073000</v>
      </c>
      <c r="V97" s="35">
        <f t="shared" si="75"/>
        <v>56292000</v>
      </c>
    </row>
    <row r="98" spans="1:22" ht="13.15" outlineLevel="2">
      <c r="A98" s="24"/>
      <c r="B98" s="26" t="s">
        <v>18</v>
      </c>
      <c r="C98" s="27"/>
      <c r="D98" s="27"/>
      <c r="E98" s="9"/>
      <c r="F98" s="43"/>
      <c r="G98" s="43"/>
      <c r="H98" s="43"/>
      <c r="I98" s="36"/>
      <c r="J98" s="43"/>
      <c r="K98" s="43"/>
      <c r="L98" s="43"/>
      <c r="M98" s="36"/>
      <c r="N98" s="43"/>
      <c r="O98" s="43"/>
      <c r="P98" s="43"/>
      <c r="Q98" s="36"/>
      <c r="R98" s="43"/>
      <c r="S98" s="43"/>
      <c r="T98" s="43"/>
      <c r="U98" s="36"/>
      <c r="V98" s="36"/>
    </row>
    <row r="99" spans="1:22" ht="13.15" outlineLevel="2">
      <c r="A99" s="24"/>
      <c r="B99" s="27"/>
      <c r="C99" s="28" t="s">
        <v>68</v>
      </c>
      <c r="D99" s="27"/>
      <c r="E99" s="9">
        <v>0</v>
      </c>
      <c r="F99" s="43"/>
      <c r="G99" s="43"/>
      <c r="H99" s="43"/>
      <c r="I99" s="34">
        <f t="shared" ref="I99:I105" si="95">SUM(F99:H99)</f>
        <v>0</v>
      </c>
      <c r="J99" s="43"/>
      <c r="K99" s="43"/>
      <c r="L99" s="43"/>
      <c r="M99" s="34">
        <f t="shared" ref="M99:M105" si="96">SUM(J99:L99)</f>
        <v>0</v>
      </c>
      <c r="N99" s="43"/>
      <c r="O99" s="43"/>
      <c r="P99" s="43"/>
      <c r="Q99" s="34">
        <f t="shared" ref="Q99:Q105" si="97">SUM(N99:P99)</f>
        <v>0</v>
      </c>
      <c r="R99" s="43"/>
      <c r="S99" s="43"/>
      <c r="T99" s="43"/>
      <c r="U99" s="34">
        <f t="shared" ref="U99:U105" si="98">SUM(R99:T99)</f>
        <v>0</v>
      </c>
      <c r="V99" s="34">
        <f t="shared" ref="V99:V106" si="99">I99+M99+Q99+U99</f>
        <v>0</v>
      </c>
    </row>
    <row r="100" spans="1:22" ht="13.15" outlineLevel="2">
      <c r="A100" s="24"/>
      <c r="B100" s="27"/>
      <c r="C100" s="28" t="s">
        <v>45</v>
      </c>
      <c r="D100" s="27"/>
      <c r="E100" s="9">
        <v>0</v>
      </c>
      <c r="F100" s="43">
        <v>370000</v>
      </c>
      <c r="G100" s="43">
        <v>370000</v>
      </c>
      <c r="H100" s="43">
        <v>370000</v>
      </c>
      <c r="I100" s="34">
        <f t="shared" si="95"/>
        <v>1110000</v>
      </c>
      <c r="J100" s="43">
        <v>370000</v>
      </c>
      <c r="K100" s="43">
        <v>370000</v>
      </c>
      <c r="L100" s="43">
        <v>370000</v>
      </c>
      <c r="M100" s="34">
        <f t="shared" si="96"/>
        <v>1110000</v>
      </c>
      <c r="N100" s="43">
        <v>370000</v>
      </c>
      <c r="O100" s="43">
        <v>370000</v>
      </c>
      <c r="P100" s="43">
        <v>370000</v>
      </c>
      <c r="Q100" s="34">
        <f t="shared" si="97"/>
        <v>1110000</v>
      </c>
      <c r="R100" s="43">
        <v>370000</v>
      </c>
      <c r="S100" s="43">
        <v>370000</v>
      </c>
      <c r="T100" s="43">
        <v>370000</v>
      </c>
      <c r="U100" s="34">
        <f t="shared" si="98"/>
        <v>1110000</v>
      </c>
      <c r="V100" s="34">
        <f t="shared" si="99"/>
        <v>4440000</v>
      </c>
    </row>
    <row r="101" spans="1:22" ht="13.15" outlineLevel="2">
      <c r="A101" s="24"/>
      <c r="B101" s="27"/>
      <c r="C101" s="28" t="s">
        <v>94</v>
      </c>
      <c r="D101" s="27"/>
      <c r="E101" s="9">
        <v>0</v>
      </c>
      <c r="F101" s="43"/>
      <c r="G101" s="43"/>
      <c r="H101" s="43"/>
      <c r="I101" s="34">
        <f t="shared" si="95"/>
        <v>0</v>
      </c>
      <c r="J101" s="43"/>
      <c r="K101" s="43"/>
      <c r="L101" s="43"/>
      <c r="M101" s="34">
        <f t="shared" si="96"/>
        <v>0</v>
      </c>
      <c r="N101" s="43"/>
      <c r="O101" s="43"/>
      <c r="P101" s="43"/>
      <c r="Q101" s="34">
        <f t="shared" si="97"/>
        <v>0</v>
      </c>
      <c r="R101" s="43"/>
      <c r="S101" s="43"/>
      <c r="T101" s="43"/>
      <c r="U101" s="34">
        <f t="shared" si="98"/>
        <v>0</v>
      </c>
      <c r="V101" s="34">
        <f t="shared" si="99"/>
        <v>0</v>
      </c>
    </row>
    <row r="102" spans="1:22" ht="13.15" outlineLevel="2">
      <c r="A102" s="24"/>
      <c r="B102" s="27"/>
      <c r="C102" s="28" t="s">
        <v>46</v>
      </c>
      <c r="D102" s="27"/>
      <c r="E102" s="9">
        <v>0</v>
      </c>
      <c r="F102" s="43"/>
      <c r="G102" s="43"/>
      <c r="H102" s="43"/>
      <c r="I102" s="34">
        <f t="shared" si="95"/>
        <v>0</v>
      </c>
      <c r="J102" s="43"/>
      <c r="K102" s="43"/>
      <c r="L102" s="43"/>
      <c r="M102" s="34">
        <f t="shared" si="96"/>
        <v>0</v>
      </c>
      <c r="N102" s="43"/>
      <c r="O102" s="43"/>
      <c r="P102" s="43"/>
      <c r="Q102" s="34">
        <f t="shared" si="97"/>
        <v>0</v>
      </c>
      <c r="R102" s="43"/>
      <c r="S102" s="43"/>
      <c r="T102" s="43"/>
      <c r="U102" s="34">
        <f t="shared" si="98"/>
        <v>0</v>
      </c>
      <c r="V102" s="34">
        <f t="shared" si="99"/>
        <v>0</v>
      </c>
    </row>
    <row r="103" spans="1:22" ht="13.15" outlineLevel="2">
      <c r="A103" s="24"/>
      <c r="B103" s="27"/>
      <c r="C103" s="28" t="s">
        <v>111</v>
      </c>
      <c r="D103" s="27"/>
      <c r="E103" s="9">
        <v>0</v>
      </c>
      <c r="F103" s="43">
        <f>38000+112000</f>
        <v>150000</v>
      </c>
      <c r="G103" s="43">
        <f>38000+112000</f>
        <v>150000</v>
      </c>
      <c r="H103" s="43">
        <f>38000+112000</f>
        <v>150000</v>
      </c>
      <c r="I103" s="34">
        <f t="shared" si="95"/>
        <v>450000</v>
      </c>
      <c r="J103" s="43">
        <f>38000+112000</f>
        <v>150000</v>
      </c>
      <c r="K103" s="43">
        <f>38000+112000</f>
        <v>150000</v>
      </c>
      <c r="L103" s="43">
        <f>38000+112000</f>
        <v>150000</v>
      </c>
      <c r="M103" s="34">
        <f t="shared" si="96"/>
        <v>450000</v>
      </c>
      <c r="N103" s="43">
        <f>38000+112000</f>
        <v>150000</v>
      </c>
      <c r="O103" s="43">
        <f>38000+112000</f>
        <v>150000</v>
      </c>
      <c r="P103" s="43">
        <f>38000+112000</f>
        <v>150000</v>
      </c>
      <c r="Q103" s="34">
        <f t="shared" si="97"/>
        <v>450000</v>
      </c>
      <c r="R103" s="43">
        <f>38000+112000</f>
        <v>150000</v>
      </c>
      <c r="S103" s="43">
        <f>38000+112000</f>
        <v>150000</v>
      </c>
      <c r="T103" s="43">
        <f>38000+112000</f>
        <v>150000</v>
      </c>
      <c r="U103" s="34">
        <f t="shared" si="98"/>
        <v>450000</v>
      </c>
      <c r="V103" s="34">
        <f t="shared" si="99"/>
        <v>1800000</v>
      </c>
    </row>
    <row r="104" spans="1:22" ht="13.15" outlineLevel="2">
      <c r="A104" s="24"/>
      <c r="B104" s="27"/>
      <c r="C104" s="28" t="s">
        <v>115</v>
      </c>
      <c r="D104" s="27"/>
      <c r="E104" s="9">
        <v>0</v>
      </c>
      <c r="F104" s="43"/>
      <c r="G104" s="43"/>
      <c r="H104" s="43"/>
      <c r="I104" s="34">
        <f t="shared" si="95"/>
        <v>0</v>
      </c>
      <c r="J104" s="43"/>
      <c r="K104" s="43"/>
      <c r="L104" s="43"/>
      <c r="M104" s="34">
        <f t="shared" si="96"/>
        <v>0</v>
      </c>
      <c r="N104" s="43"/>
      <c r="O104" s="43"/>
      <c r="P104" s="43"/>
      <c r="Q104" s="34">
        <f t="shared" si="97"/>
        <v>0</v>
      </c>
      <c r="R104" s="43"/>
      <c r="S104" s="43"/>
      <c r="T104" s="43"/>
      <c r="U104" s="34">
        <f t="shared" si="98"/>
        <v>0</v>
      </c>
      <c r="V104" s="34">
        <f t="shared" si="99"/>
        <v>0</v>
      </c>
    </row>
    <row r="105" spans="1:22" ht="13.15" outlineLevel="2">
      <c r="A105" s="24"/>
      <c r="B105" s="27"/>
      <c r="C105" s="28" t="s">
        <v>26</v>
      </c>
      <c r="D105" s="27"/>
      <c r="E105" s="9"/>
      <c r="F105" s="43">
        <v>1745000</v>
      </c>
      <c r="G105" s="43">
        <v>1745000</v>
      </c>
      <c r="H105" s="43">
        <v>1745000</v>
      </c>
      <c r="I105" s="34">
        <f t="shared" si="95"/>
        <v>5235000</v>
      </c>
      <c r="J105" s="43">
        <v>1745000</v>
      </c>
      <c r="K105" s="43">
        <v>1745000</v>
      </c>
      <c r="L105" s="43">
        <v>1745000</v>
      </c>
      <c r="M105" s="34">
        <f t="shared" si="96"/>
        <v>5235000</v>
      </c>
      <c r="N105" s="43">
        <v>1745000</v>
      </c>
      <c r="O105" s="43">
        <v>1745000</v>
      </c>
      <c r="P105" s="43">
        <v>1745000</v>
      </c>
      <c r="Q105" s="34">
        <f t="shared" si="97"/>
        <v>5235000</v>
      </c>
      <c r="R105" s="43">
        <v>1745000</v>
      </c>
      <c r="S105" s="43">
        <v>1745000</v>
      </c>
      <c r="T105" s="43">
        <v>1745000</v>
      </c>
      <c r="U105" s="34">
        <f t="shared" si="98"/>
        <v>5235000</v>
      </c>
      <c r="V105" s="34">
        <f t="shared" si="99"/>
        <v>20940000</v>
      </c>
    </row>
    <row r="106" spans="1:22" ht="13.15" outlineLevel="1">
      <c r="A106" s="24"/>
      <c r="B106" s="29" t="s">
        <v>19</v>
      </c>
      <c r="C106" s="30"/>
      <c r="D106" s="30"/>
      <c r="E106" s="10"/>
      <c r="F106" s="45">
        <f t="shared" ref="F106" si="100">SUM(F99:F105)</f>
        <v>2265000</v>
      </c>
      <c r="G106" s="45">
        <f t="shared" ref="G106:H106" si="101">SUM(G99:G105)</f>
        <v>2265000</v>
      </c>
      <c r="H106" s="45">
        <f t="shared" si="101"/>
        <v>2265000</v>
      </c>
      <c r="I106" s="35">
        <f t="shared" ref="I106:J106" si="102">SUM(I99:I105)</f>
        <v>6795000</v>
      </c>
      <c r="J106" s="45">
        <f t="shared" si="102"/>
        <v>2265000</v>
      </c>
      <c r="K106" s="45">
        <f t="shared" ref="K106:L106" si="103">SUM(K99:K105)</f>
        <v>2265000</v>
      </c>
      <c r="L106" s="45">
        <f t="shared" si="103"/>
        <v>2265000</v>
      </c>
      <c r="M106" s="35">
        <f t="shared" ref="M106:N106" si="104">SUM(M99:M105)</f>
        <v>6795000</v>
      </c>
      <c r="N106" s="45">
        <f t="shared" si="104"/>
        <v>2265000</v>
      </c>
      <c r="O106" s="45">
        <f t="shared" ref="O106:P106" si="105">SUM(O99:O105)</f>
        <v>2265000</v>
      </c>
      <c r="P106" s="45">
        <f t="shared" si="105"/>
        <v>2265000</v>
      </c>
      <c r="Q106" s="35">
        <f t="shared" ref="Q106:R106" si="106">SUM(Q99:Q105)</f>
        <v>6795000</v>
      </c>
      <c r="R106" s="45">
        <f t="shared" si="106"/>
        <v>2265000</v>
      </c>
      <c r="S106" s="45">
        <f t="shared" ref="S106:T106" si="107">SUM(S99:S105)</f>
        <v>2265000</v>
      </c>
      <c r="T106" s="45">
        <f t="shared" si="107"/>
        <v>2265000</v>
      </c>
      <c r="U106" s="35">
        <f t="shared" ref="U106" si="108">SUM(U99:U105)</f>
        <v>6795000</v>
      </c>
      <c r="V106" s="35">
        <f t="shared" si="99"/>
        <v>27180000</v>
      </c>
    </row>
    <row r="107" spans="1:22" ht="13.15" outlineLevel="2">
      <c r="A107" s="24"/>
      <c r="B107" s="26" t="s">
        <v>20</v>
      </c>
      <c r="C107" s="27"/>
      <c r="D107" s="27"/>
      <c r="E107" s="9"/>
      <c r="F107" s="43"/>
      <c r="G107" s="43"/>
      <c r="H107" s="43"/>
      <c r="I107" s="36"/>
      <c r="J107" s="43"/>
      <c r="K107" s="43"/>
      <c r="L107" s="43"/>
      <c r="M107" s="36"/>
      <c r="N107" s="43"/>
      <c r="O107" s="43"/>
      <c r="P107" s="43"/>
      <c r="Q107" s="36"/>
      <c r="R107" s="43"/>
      <c r="S107" s="43"/>
      <c r="T107" s="43"/>
      <c r="U107" s="36"/>
      <c r="V107" s="36"/>
    </row>
    <row r="108" spans="1:22" ht="13.15" outlineLevel="2">
      <c r="A108" s="24"/>
      <c r="B108" s="27"/>
      <c r="C108" s="28" t="s">
        <v>29</v>
      </c>
      <c r="D108" s="27"/>
      <c r="E108" s="9">
        <v>0</v>
      </c>
      <c r="F108" s="43"/>
      <c r="G108" s="43"/>
      <c r="H108" s="43"/>
      <c r="I108" s="34">
        <f t="shared" ref="I108:I112" si="109">SUM(F108:H108)</f>
        <v>0</v>
      </c>
      <c r="J108" s="43"/>
      <c r="K108" s="43"/>
      <c r="L108" s="43"/>
      <c r="M108" s="34">
        <f t="shared" ref="M108:M112" si="110">SUM(J108:L108)</f>
        <v>0</v>
      </c>
      <c r="N108" s="43"/>
      <c r="O108" s="43"/>
      <c r="P108" s="43"/>
      <c r="Q108" s="34">
        <f t="shared" ref="Q108:Q112" si="111">SUM(N108:P108)</f>
        <v>0</v>
      </c>
      <c r="R108" s="43"/>
      <c r="S108" s="43"/>
      <c r="T108" s="43"/>
      <c r="U108" s="34">
        <f t="shared" ref="U108:U112" si="112">SUM(R108:T108)</f>
        <v>0</v>
      </c>
      <c r="V108" s="34">
        <f t="shared" ref="V108:V115" si="113">I108+M108+Q108+U108</f>
        <v>0</v>
      </c>
    </row>
    <row r="109" spans="1:22" ht="13.15" outlineLevel="2">
      <c r="A109" s="24"/>
      <c r="B109" s="27"/>
      <c r="C109" s="28" t="s">
        <v>33</v>
      </c>
      <c r="D109" s="27"/>
      <c r="E109" s="9">
        <v>0</v>
      </c>
      <c r="F109" s="43"/>
      <c r="G109" s="43"/>
      <c r="H109" s="43"/>
      <c r="I109" s="34">
        <f t="shared" si="109"/>
        <v>0</v>
      </c>
      <c r="J109" s="43"/>
      <c r="K109" s="43"/>
      <c r="L109" s="43"/>
      <c r="M109" s="34">
        <f t="shared" si="110"/>
        <v>0</v>
      </c>
      <c r="N109" s="43"/>
      <c r="O109" s="43"/>
      <c r="P109" s="43"/>
      <c r="Q109" s="34">
        <f t="shared" si="111"/>
        <v>0</v>
      </c>
      <c r="R109" s="43"/>
      <c r="S109" s="43"/>
      <c r="T109" s="43"/>
      <c r="U109" s="34">
        <f t="shared" si="112"/>
        <v>0</v>
      </c>
      <c r="V109" s="34">
        <f t="shared" si="113"/>
        <v>0</v>
      </c>
    </row>
    <row r="110" spans="1:22" ht="13.15" outlineLevel="2">
      <c r="A110" s="24"/>
      <c r="B110" s="27"/>
      <c r="C110" s="28" t="s">
        <v>95</v>
      </c>
      <c r="D110" s="27"/>
      <c r="E110" s="9"/>
      <c r="F110" s="43"/>
      <c r="G110" s="43"/>
      <c r="H110" s="43"/>
      <c r="I110" s="34">
        <f t="shared" si="109"/>
        <v>0</v>
      </c>
      <c r="J110" s="43"/>
      <c r="K110" s="43"/>
      <c r="L110" s="43"/>
      <c r="M110" s="34">
        <f t="shared" si="110"/>
        <v>0</v>
      </c>
      <c r="N110" s="43"/>
      <c r="O110" s="43"/>
      <c r="P110" s="43"/>
      <c r="Q110" s="34">
        <f t="shared" si="111"/>
        <v>0</v>
      </c>
      <c r="R110" s="43"/>
      <c r="S110" s="43"/>
      <c r="T110" s="43"/>
      <c r="U110" s="34">
        <f t="shared" si="112"/>
        <v>0</v>
      </c>
      <c r="V110" s="34">
        <f t="shared" si="113"/>
        <v>0</v>
      </c>
    </row>
    <row r="111" spans="1:22" ht="13.15" outlineLevel="2">
      <c r="A111" s="24"/>
      <c r="B111" s="27"/>
      <c r="C111" s="28" t="s">
        <v>63</v>
      </c>
      <c r="D111" s="27"/>
      <c r="E111" s="9"/>
      <c r="F111" s="43">
        <v>0</v>
      </c>
      <c r="G111" s="43"/>
      <c r="H111" s="43"/>
      <c r="I111" s="34">
        <f t="shared" si="109"/>
        <v>0</v>
      </c>
      <c r="J111" s="43"/>
      <c r="K111" s="43"/>
      <c r="L111" s="43"/>
      <c r="M111" s="34">
        <f t="shared" si="110"/>
        <v>0</v>
      </c>
      <c r="N111" s="43"/>
      <c r="O111" s="43"/>
      <c r="P111" s="43"/>
      <c r="Q111" s="34">
        <f t="shared" si="111"/>
        <v>0</v>
      </c>
      <c r="R111" s="43"/>
      <c r="S111" s="43"/>
      <c r="T111" s="43"/>
      <c r="U111" s="34">
        <f t="shared" si="112"/>
        <v>0</v>
      </c>
      <c r="V111" s="34">
        <f t="shared" si="113"/>
        <v>0</v>
      </c>
    </row>
    <row r="112" spans="1:22" ht="13.15" outlineLevel="2">
      <c r="A112" s="24"/>
      <c r="B112" s="27"/>
      <c r="C112" s="28" t="s">
        <v>153</v>
      </c>
      <c r="D112" s="27"/>
      <c r="E112" s="9">
        <v>0</v>
      </c>
      <c r="F112" s="43"/>
      <c r="G112" s="43"/>
      <c r="H112" s="43"/>
      <c r="I112" s="34">
        <f t="shared" si="109"/>
        <v>0</v>
      </c>
      <c r="J112" s="43"/>
      <c r="K112" s="43"/>
      <c r="L112" s="43"/>
      <c r="M112" s="34">
        <f t="shared" si="110"/>
        <v>0</v>
      </c>
      <c r="N112" s="43"/>
      <c r="O112" s="43"/>
      <c r="P112" s="43"/>
      <c r="Q112" s="34">
        <f t="shared" si="111"/>
        <v>0</v>
      </c>
      <c r="R112" s="43"/>
      <c r="S112" s="43"/>
      <c r="T112" s="43"/>
      <c r="U112" s="34">
        <f t="shared" si="112"/>
        <v>0</v>
      </c>
      <c r="V112" s="34">
        <f t="shared" si="113"/>
        <v>0</v>
      </c>
    </row>
    <row r="113" spans="1:22" ht="13.15" outlineLevel="1">
      <c r="A113" s="24"/>
      <c r="B113" s="30" t="s">
        <v>21</v>
      </c>
      <c r="C113" s="30"/>
      <c r="D113" s="30"/>
      <c r="E113" s="10"/>
      <c r="F113" s="45">
        <f t="shared" ref="F113:U113" si="114">SUM(F108:F112)</f>
        <v>0</v>
      </c>
      <c r="G113" s="45">
        <f t="shared" si="114"/>
        <v>0</v>
      </c>
      <c r="H113" s="45">
        <f t="shared" si="114"/>
        <v>0</v>
      </c>
      <c r="I113" s="35">
        <f t="shared" si="114"/>
        <v>0</v>
      </c>
      <c r="J113" s="45">
        <f t="shared" si="114"/>
        <v>0</v>
      </c>
      <c r="K113" s="45">
        <f t="shared" si="114"/>
        <v>0</v>
      </c>
      <c r="L113" s="45">
        <f t="shared" si="114"/>
        <v>0</v>
      </c>
      <c r="M113" s="35">
        <f t="shared" si="114"/>
        <v>0</v>
      </c>
      <c r="N113" s="45">
        <f t="shared" si="114"/>
        <v>0</v>
      </c>
      <c r="O113" s="45">
        <f t="shared" si="114"/>
        <v>0</v>
      </c>
      <c r="P113" s="45">
        <f t="shared" si="114"/>
        <v>0</v>
      </c>
      <c r="Q113" s="35">
        <f t="shared" si="114"/>
        <v>0</v>
      </c>
      <c r="R113" s="45">
        <f t="shared" si="114"/>
        <v>0</v>
      </c>
      <c r="S113" s="45">
        <f t="shared" si="114"/>
        <v>0</v>
      </c>
      <c r="T113" s="45">
        <f t="shared" si="114"/>
        <v>0</v>
      </c>
      <c r="U113" s="35">
        <f t="shared" si="114"/>
        <v>0</v>
      </c>
      <c r="V113" s="35">
        <f t="shared" si="113"/>
        <v>0</v>
      </c>
    </row>
    <row r="114" spans="1:22" ht="13.15">
      <c r="A114" s="24"/>
      <c r="B114" s="24"/>
      <c r="C114" s="24"/>
      <c r="D114" s="24" t="s">
        <v>22</v>
      </c>
      <c r="E114" s="8"/>
      <c r="F114" s="44">
        <f>F88+F89+F97+F106+F113</f>
        <v>24808000</v>
      </c>
      <c r="G114" s="44">
        <f>G88+G89+G97+G106+G113</f>
        <v>24808000</v>
      </c>
      <c r="H114" s="44">
        <f>H88+H89+H97+H106+H113</f>
        <v>24808000</v>
      </c>
      <c r="I114" s="35">
        <f>I113+I106+I97+I89+I88</f>
        <v>74424000</v>
      </c>
      <c r="J114" s="44">
        <f>J88+J89+J97+J106+J113</f>
        <v>24808000</v>
      </c>
      <c r="K114" s="44">
        <f>K88+K89+K97+K106+K113</f>
        <v>24808000</v>
      </c>
      <c r="L114" s="44">
        <f>L88+L89+L97+L106+L113</f>
        <v>24808000</v>
      </c>
      <c r="M114" s="35">
        <f>M113+M106+M97+M89+M88</f>
        <v>74424000</v>
      </c>
      <c r="N114" s="44">
        <f>N88+N89+N97+N106+N113</f>
        <v>24808000</v>
      </c>
      <c r="O114" s="44">
        <f>O88+O89+O97+O106+O113</f>
        <v>24808000</v>
      </c>
      <c r="P114" s="44">
        <f>P88+P89+P97+P106+P113</f>
        <v>24808000</v>
      </c>
      <c r="Q114" s="35">
        <f>Q113+Q106+Q97+Q89+Q88</f>
        <v>74424000</v>
      </c>
      <c r="R114" s="44">
        <f>R88+R89+R97+R106+R113</f>
        <v>24808000</v>
      </c>
      <c r="S114" s="44">
        <f>S88+S89+S97+S106+S113</f>
        <v>24808000</v>
      </c>
      <c r="T114" s="44">
        <f>T88+T89+T97+T106+T113</f>
        <v>24808000</v>
      </c>
      <c r="U114" s="35">
        <f>U113+U106+U97+U89+U88</f>
        <v>74424000</v>
      </c>
      <c r="V114" s="35">
        <f t="shared" si="113"/>
        <v>297696000</v>
      </c>
    </row>
    <row r="115" spans="1:22" ht="13.9">
      <c r="A115" s="11" t="s">
        <v>23</v>
      </c>
      <c r="B115" s="11"/>
      <c r="C115" s="11"/>
      <c r="D115" s="11"/>
      <c r="E115" s="12"/>
      <c r="F115" s="46">
        <f t="shared" ref="F115:U115" si="115">F114+F77</f>
        <v>40007000</v>
      </c>
      <c r="G115" s="46">
        <f t="shared" si="115"/>
        <v>40007000</v>
      </c>
      <c r="H115" s="46">
        <f t="shared" si="115"/>
        <v>40007000</v>
      </c>
      <c r="I115" s="109">
        <f t="shared" si="115"/>
        <v>119661000</v>
      </c>
      <c r="J115" s="46">
        <f t="shared" si="115"/>
        <v>40007000</v>
      </c>
      <c r="K115" s="46">
        <f t="shared" si="115"/>
        <v>40007000</v>
      </c>
      <c r="L115" s="46">
        <f t="shared" si="115"/>
        <v>40007000</v>
      </c>
      <c r="M115" s="109">
        <f t="shared" si="115"/>
        <v>119661000</v>
      </c>
      <c r="N115" s="46">
        <f t="shared" si="115"/>
        <v>40007000</v>
      </c>
      <c r="O115" s="46">
        <f t="shared" si="115"/>
        <v>40007000</v>
      </c>
      <c r="P115" s="46">
        <f t="shared" si="115"/>
        <v>40007000</v>
      </c>
      <c r="Q115" s="109">
        <f t="shared" si="115"/>
        <v>119661000</v>
      </c>
      <c r="R115" s="46">
        <f t="shared" si="115"/>
        <v>40007000</v>
      </c>
      <c r="S115" s="46">
        <f t="shared" si="115"/>
        <v>40007000</v>
      </c>
      <c r="T115" s="46">
        <f t="shared" si="115"/>
        <v>40007000</v>
      </c>
      <c r="U115" s="109">
        <f t="shared" si="115"/>
        <v>119661000</v>
      </c>
      <c r="V115" s="40">
        <f t="shared" si="113"/>
        <v>478644000</v>
      </c>
    </row>
    <row r="116" spans="1:22" ht="13.15" thickBot="1">
      <c r="A116" s="14"/>
      <c r="B116" s="14"/>
      <c r="C116" s="14"/>
      <c r="D116" s="14"/>
      <c r="E116" s="15"/>
      <c r="F116" s="47"/>
      <c r="G116" s="47"/>
      <c r="H116" s="47"/>
      <c r="I116" s="37"/>
      <c r="J116" s="47"/>
      <c r="K116" s="47"/>
      <c r="L116" s="47"/>
      <c r="M116" s="37"/>
      <c r="N116" s="47"/>
      <c r="O116" s="47"/>
      <c r="P116" s="47"/>
      <c r="Q116" s="37"/>
      <c r="R116" s="47"/>
      <c r="S116" s="47"/>
      <c r="T116" s="47"/>
      <c r="U116" s="37"/>
      <c r="V116" s="37"/>
    </row>
  </sheetData>
  <mergeCells count="15">
    <mergeCell ref="C24:D24"/>
    <mergeCell ref="C25:D25"/>
    <mergeCell ref="A26:D26"/>
    <mergeCell ref="A28:D28"/>
    <mergeCell ref="C29:D29"/>
    <mergeCell ref="A15:A25"/>
    <mergeCell ref="C15:D15"/>
    <mergeCell ref="C21:D21"/>
    <mergeCell ref="C22:D22"/>
    <mergeCell ref="C23:D23"/>
    <mergeCell ref="A3:D3"/>
    <mergeCell ref="A4:A11"/>
    <mergeCell ref="B5:B10"/>
    <mergeCell ref="A12:D12"/>
    <mergeCell ref="A14:D14"/>
  </mergeCells>
  <phoneticPr fontId="8" type="noConversion"/>
  <pageMargins left="0.59055118110236227" right="0.39370078740157483" top="0.78740157480314965" bottom="0.39370078740157483" header="0.31496062992125984" footer="0.51181102362204722"/>
  <pageSetup scale="10" fitToHeight="2" orientation="portrait" r:id="rId1"/>
  <headerFooter alignWithMargins="0">
    <oddHeader>&amp;L&amp;Z&amp;F&amp;A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7">
    <tabColor indexed="50"/>
    <pageSetUpPr fitToPage="1"/>
  </sheetPr>
  <dimension ref="A1:AU127"/>
  <sheetViews>
    <sheetView workbookViewId="0">
      <pane xSplit="5" ySplit="2" topLeftCell="F49" activePane="bottomRight" state="frozen"/>
      <selection pane="topRight" activeCell="F1" sqref="F1"/>
      <selection pane="bottomLeft" activeCell="A3" sqref="A3"/>
      <selection pane="bottomRight" activeCell="G123" sqref="G123"/>
    </sheetView>
  </sheetViews>
  <sheetFormatPr defaultColWidth="8.87890625" defaultRowHeight="12.75" outlineLevelRow="2" outlineLevelCol="1"/>
  <cols>
    <col min="1" max="3" width="1.3515625" style="3" customWidth="1"/>
    <col min="4" max="4" width="21.1171875" style="3" customWidth="1"/>
    <col min="5" max="5" width="1.64453125" style="7" customWidth="1"/>
    <col min="6" max="6" width="10.234375" style="3" customWidth="1" outlineLevel="1"/>
    <col min="7" max="8" width="10.87890625" style="3" customWidth="1" outlineLevel="1"/>
    <col min="9" max="9" width="10.87890625" style="3" bestFit="1" customWidth="1"/>
    <col min="10" max="10" width="10.234375" style="3" customWidth="1" outlineLevel="1"/>
    <col min="11" max="12" width="10.87890625" style="3" customWidth="1" outlineLevel="1"/>
    <col min="13" max="13" width="10.87890625" style="3" bestFit="1" customWidth="1"/>
    <col min="14" max="14" width="10.234375" style="3" customWidth="1" outlineLevel="1"/>
    <col min="15" max="16" width="10.87890625" style="3" customWidth="1" outlineLevel="1"/>
    <col min="17" max="17" width="10.87890625" style="3" bestFit="1" customWidth="1"/>
    <col min="18" max="20" width="10.234375" style="3" customWidth="1" outlineLevel="1"/>
    <col min="21" max="21" width="11.41015625" style="3" bestFit="1" customWidth="1"/>
    <col min="22" max="22" width="10.87890625" style="3" bestFit="1" customWidth="1"/>
    <col min="23" max="16384" width="8.87890625" style="3"/>
  </cols>
  <sheetData>
    <row r="1" spans="1:47" ht="13.9" thickBot="1">
      <c r="A1" s="1"/>
      <c r="B1" s="1"/>
      <c r="C1" s="1"/>
      <c r="D1" s="38"/>
      <c r="E1" s="2"/>
      <c r="F1" s="18" t="s">
        <v>69</v>
      </c>
      <c r="G1" s="18" t="s">
        <v>70</v>
      </c>
      <c r="H1" s="18" t="s">
        <v>71</v>
      </c>
      <c r="I1" s="18" t="s">
        <v>72</v>
      </c>
      <c r="J1" s="18" t="s">
        <v>74</v>
      </c>
      <c r="K1" s="18" t="s">
        <v>75</v>
      </c>
      <c r="L1" s="18" t="s">
        <v>76</v>
      </c>
      <c r="M1" s="18" t="s">
        <v>77</v>
      </c>
      <c r="N1" s="18" t="s">
        <v>80</v>
      </c>
      <c r="O1" s="18" t="s">
        <v>81</v>
      </c>
      <c r="P1" s="18" t="s">
        <v>82</v>
      </c>
      <c r="Q1" s="18" t="s">
        <v>83</v>
      </c>
      <c r="R1" s="18" t="s">
        <v>88</v>
      </c>
      <c r="S1" s="18" t="s">
        <v>91</v>
      </c>
      <c r="T1" s="18" t="s">
        <v>92</v>
      </c>
      <c r="U1" s="18" t="s">
        <v>89</v>
      </c>
      <c r="V1" s="18">
        <v>2026</v>
      </c>
      <c r="AU1" s="4"/>
    </row>
    <row r="2" spans="1:47" ht="13.5" thickBot="1">
      <c r="A2" s="5"/>
      <c r="B2" s="5"/>
      <c r="C2" s="5"/>
      <c r="D2" s="6"/>
      <c r="E2" s="2"/>
      <c r="F2" s="110" t="s">
        <v>24</v>
      </c>
      <c r="G2" s="110" t="s">
        <v>24</v>
      </c>
      <c r="H2" s="110" t="s">
        <v>24</v>
      </c>
      <c r="I2" s="137" t="s">
        <v>25</v>
      </c>
      <c r="J2" s="110" t="s">
        <v>24</v>
      </c>
      <c r="K2" s="110" t="s">
        <v>24</v>
      </c>
      <c r="L2" s="110" t="s">
        <v>24</v>
      </c>
      <c r="M2" s="137" t="s">
        <v>25</v>
      </c>
      <c r="N2" s="110" t="s">
        <v>24</v>
      </c>
      <c r="O2" s="110" t="s">
        <v>24</v>
      </c>
      <c r="P2" s="110" t="s">
        <v>24</v>
      </c>
      <c r="Q2" s="137" t="s">
        <v>25</v>
      </c>
      <c r="R2" s="110" t="s">
        <v>24</v>
      </c>
      <c r="S2" s="110" t="s">
        <v>24</v>
      </c>
      <c r="T2" s="110" t="s">
        <v>24</v>
      </c>
      <c r="U2" s="137" t="s">
        <v>25</v>
      </c>
      <c r="V2" s="137" t="s">
        <v>25</v>
      </c>
    </row>
    <row r="3" spans="1:47" s="111" customFormat="1" ht="12.75" customHeight="1">
      <c r="A3" s="447" t="s">
        <v>159</v>
      </c>
      <c r="B3" s="448"/>
      <c r="C3" s="448"/>
      <c r="D3" s="449"/>
      <c r="E3" s="2"/>
      <c r="F3" s="133"/>
      <c r="G3" s="133"/>
      <c r="H3" s="133"/>
      <c r="I3" s="34"/>
      <c r="J3" s="133"/>
      <c r="K3" s="133"/>
      <c r="L3" s="133"/>
      <c r="M3" s="34"/>
      <c r="N3" s="133"/>
      <c r="O3" s="133"/>
      <c r="P3" s="133"/>
      <c r="Q3" s="34"/>
      <c r="R3" s="133"/>
      <c r="S3" s="133"/>
      <c r="T3" s="133"/>
      <c r="U3" s="34"/>
      <c r="V3" s="134"/>
    </row>
    <row r="4" spans="1:47" s="111" customFormat="1" ht="12.75" customHeight="1">
      <c r="A4" s="450"/>
      <c r="B4" s="112" t="s">
        <v>160</v>
      </c>
      <c r="C4" s="112"/>
      <c r="D4" s="113"/>
      <c r="E4" s="2"/>
      <c r="F4" s="43"/>
      <c r="G4" s="43"/>
      <c r="H4" s="43"/>
      <c r="I4" s="34"/>
      <c r="J4" s="43"/>
      <c r="K4" s="43"/>
      <c r="L4" s="43"/>
      <c r="M4" s="34"/>
      <c r="N4" s="43"/>
      <c r="O4" s="43"/>
      <c r="P4" s="43"/>
      <c r="Q4" s="34"/>
      <c r="R4" s="43"/>
      <c r="S4" s="43"/>
      <c r="T4" s="43"/>
      <c r="U4" s="34"/>
      <c r="V4" s="34"/>
    </row>
    <row r="5" spans="1:47" s="111" customFormat="1" ht="12.75" customHeight="1" outlineLevel="1">
      <c r="A5" s="450"/>
      <c r="B5" s="451"/>
      <c r="C5" s="114"/>
      <c r="D5" s="115" t="s">
        <v>161</v>
      </c>
      <c r="E5" s="7">
        <v>1</v>
      </c>
      <c r="F5" s="43">
        <f>SBLEE!F5+FNA!F5</f>
        <v>0</v>
      </c>
      <c r="G5" s="43">
        <f>SBLEE!G5+FNA!G5</f>
        <v>0</v>
      </c>
      <c r="H5" s="43">
        <f>SBLEE!H5+FNA!H5</f>
        <v>0</v>
      </c>
      <c r="I5" s="34">
        <f t="shared" ref="I5:I10" si="0">H5+G5+F5</f>
        <v>0</v>
      </c>
      <c r="J5" s="43">
        <f>SBLEE!J5+FNA!J5</f>
        <v>0</v>
      </c>
      <c r="K5" s="43">
        <f>SBLEE!K5+FNA!K5</f>
        <v>0</v>
      </c>
      <c r="L5" s="43">
        <f>SBLEE!L5+FNA!L5</f>
        <v>0</v>
      </c>
      <c r="M5" s="34">
        <f t="shared" ref="M5:M10" si="1">L5+K5+J5</f>
        <v>0</v>
      </c>
      <c r="N5" s="43">
        <f>SBLEE!N5+FNA!N5</f>
        <v>0</v>
      </c>
      <c r="O5" s="43">
        <f>SBLEE!O5+FNA!O5</f>
        <v>0</v>
      </c>
      <c r="P5" s="43">
        <f>SBLEE!P5+FNA!P5</f>
        <v>0</v>
      </c>
      <c r="Q5" s="34">
        <f t="shared" ref="Q5:Q10" si="2">P5+O5+N5</f>
        <v>0</v>
      </c>
      <c r="R5" s="43">
        <f>SBLEE!R5+FNA!R5</f>
        <v>0</v>
      </c>
      <c r="S5" s="43">
        <f>SBLEE!S5+FNA!S5</f>
        <v>0</v>
      </c>
      <c r="T5" s="43">
        <f>SBLEE!T5+FNA!T5</f>
        <v>0</v>
      </c>
      <c r="U5" s="34">
        <f t="shared" ref="U5:U10" si="3">T5+S5+R5</f>
        <v>0</v>
      </c>
      <c r="V5" s="34">
        <f t="shared" ref="V5:V10" si="4">U5+Q5+M5+I5</f>
        <v>0</v>
      </c>
    </row>
    <row r="6" spans="1:47" s="111" customFormat="1" ht="12.75" customHeight="1" outlineLevel="1">
      <c r="A6" s="450"/>
      <c r="B6" s="451"/>
      <c r="C6" s="116"/>
      <c r="D6" s="117" t="s">
        <v>162</v>
      </c>
      <c r="E6" s="7">
        <v>1</v>
      </c>
      <c r="F6" s="43">
        <f>SBLEE!F6+FNA!F6</f>
        <v>0</v>
      </c>
      <c r="G6" s="43">
        <f>SBLEE!G6+FNA!G6</f>
        <v>0</v>
      </c>
      <c r="H6" s="43">
        <f>SBLEE!H6+FNA!H6</f>
        <v>0</v>
      </c>
      <c r="I6" s="34">
        <f t="shared" si="0"/>
        <v>0</v>
      </c>
      <c r="J6" s="43">
        <f>SBLEE!J6+FNA!J6</f>
        <v>0</v>
      </c>
      <c r="K6" s="43">
        <f>SBLEE!K6+FNA!K6</f>
        <v>0</v>
      </c>
      <c r="L6" s="43">
        <f>SBLEE!L6+FNA!L6</f>
        <v>0</v>
      </c>
      <c r="M6" s="34">
        <f t="shared" si="1"/>
        <v>0</v>
      </c>
      <c r="N6" s="43">
        <f>SBLEE!N6+FNA!N6</f>
        <v>0</v>
      </c>
      <c r="O6" s="43">
        <f>SBLEE!O6+FNA!O6</f>
        <v>0</v>
      </c>
      <c r="P6" s="43">
        <f>SBLEE!P6+FNA!P6</f>
        <v>0</v>
      </c>
      <c r="Q6" s="34">
        <f t="shared" si="2"/>
        <v>0</v>
      </c>
      <c r="R6" s="43">
        <f>SBLEE!R6+FNA!R6</f>
        <v>0</v>
      </c>
      <c r="S6" s="43">
        <f>SBLEE!S6+FNA!S6</f>
        <v>0</v>
      </c>
      <c r="T6" s="43">
        <f>SBLEE!T6+FNA!T6</f>
        <v>0</v>
      </c>
      <c r="U6" s="34">
        <f t="shared" si="3"/>
        <v>0</v>
      </c>
      <c r="V6" s="34">
        <f t="shared" si="4"/>
        <v>0</v>
      </c>
    </row>
    <row r="7" spans="1:47" s="111" customFormat="1" ht="12.75" customHeight="1" outlineLevel="1">
      <c r="A7" s="450"/>
      <c r="B7" s="451"/>
      <c r="C7" s="116"/>
      <c r="D7" s="117" t="s">
        <v>163</v>
      </c>
      <c r="E7" s="7">
        <v>1</v>
      </c>
      <c r="F7" s="43">
        <f>SBLEE!F7+FNA!F7</f>
        <v>0</v>
      </c>
      <c r="G7" s="43">
        <f>SBLEE!G7+FNA!G7</f>
        <v>0</v>
      </c>
      <c r="H7" s="43">
        <f>SBLEE!H7+FNA!H7</f>
        <v>0</v>
      </c>
      <c r="I7" s="34">
        <f t="shared" si="0"/>
        <v>0</v>
      </c>
      <c r="J7" s="43">
        <f>SBLEE!J7+FNA!J7</f>
        <v>0</v>
      </c>
      <c r="K7" s="43">
        <f>SBLEE!K7+FNA!K7</f>
        <v>0</v>
      </c>
      <c r="L7" s="43">
        <f>SBLEE!L7+FNA!L7</f>
        <v>0</v>
      </c>
      <c r="M7" s="34">
        <f t="shared" si="1"/>
        <v>0</v>
      </c>
      <c r="N7" s="43">
        <f>SBLEE!N7+FNA!N7</f>
        <v>0</v>
      </c>
      <c r="O7" s="43">
        <f>SBLEE!O7+FNA!O7</f>
        <v>0</v>
      </c>
      <c r="P7" s="43">
        <f>SBLEE!P7+FNA!P7</f>
        <v>0</v>
      </c>
      <c r="Q7" s="34">
        <f t="shared" si="2"/>
        <v>0</v>
      </c>
      <c r="R7" s="43">
        <f>SBLEE!R7+FNA!R7</f>
        <v>0</v>
      </c>
      <c r="S7" s="43">
        <f>SBLEE!S7+FNA!S7</f>
        <v>0</v>
      </c>
      <c r="T7" s="43">
        <f>SBLEE!T7+FNA!T7</f>
        <v>0</v>
      </c>
      <c r="U7" s="34">
        <f t="shared" si="3"/>
        <v>0</v>
      </c>
      <c r="V7" s="34">
        <f t="shared" si="4"/>
        <v>0</v>
      </c>
    </row>
    <row r="8" spans="1:47" s="111" customFormat="1" ht="12.75" customHeight="1" outlineLevel="1">
      <c r="A8" s="450"/>
      <c r="B8" s="451"/>
      <c r="C8" s="116"/>
      <c r="D8" s="118" t="s">
        <v>164</v>
      </c>
      <c r="E8" s="7"/>
      <c r="F8" s="43">
        <f>SBLEE!F8+FNA!F8</f>
        <v>0</v>
      </c>
      <c r="G8" s="43">
        <f>SBLEE!G8+FNA!G8</f>
        <v>0</v>
      </c>
      <c r="H8" s="43">
        <f>SBLEE!H8+FNA!H8</f>
        <v>0</v>
      </c>
      <c r="I8" s="34">
        <f t="shared" si="0"/>
        <v>0</v>
      </c>
      <c r="J8" s="43">
        <f>SBLEE!J8+FNA!J8</f>
        <v>0</v>
      </c>
      <c r="K8" s="43">
        <f>SBLEE!K8+FNA!K8</f>
        <v>0</v>
      </c>
      <c r="L8" s="43">
        <f>SBLEE!L8+FNA!L8</f>
        <v>0</v>
      </c>
      <c r="M8" s="34">
        <f t="shared" si="1"/>
        <v>0</v>
      </c>
      <c r="N8" s="43">
        <f>SBLEE!N8+FNA!N8</f>
        <v>0</v>
      </c>
      <c r="O8" s="43">
        <f>SBLEE!O8+FNA!O8</f>
        <v>0</v>
      </c>
      <c r="P8" s="43">
        <f>SBLEE!P8+FNA!P8</f>
        <v>0</v>
      </c>
      <c r="Q8" s="34">
        <f t="shared" si="2"/>
        <v>0</v>
      </c>
      <c r="R8" s="43">
        <f>SBLEE!R8+FNA!R8</f>
        <v>0</v>
      </c>
      <c r="S8" s="43">
        <f>SBLEE!S8+FNA!S8</f>
        <v>0</v>
      </c>
      <c r="T8" s="43">
        <f>SBLEE!T8+FNA!T8</f>
        <v>0</v>
      </c>
      <c r="U8" s="34">
        <f t="shared" si="3"/>
        <v>0</v>
      </c>
      <c r="V8" s="34">
        <f t="shared" si="4"/>
        <v>0</v>
      </c>
    </row>
    <row r="9" spans="1:47" s="111" customFormat="1" ht="12.75" customHeight="1" outlineLevel="1">
      <c r="A9" s="450"/>
      <c r="B9" s="451"/>
      <c r="C9" s="116"/>
      <c r="D9" s="117" t="s">
        <v>166</v>
      </c>
      <c r="E9" s="7"/>
      <c r="F9" s="43">
        <f>SBLEE!F9+FNA!F9</f>
        <v>0</v>
      </c>
      <c r="G9" s="43">
        <f>SBLEE!G9+FNA!G9</f>
        <v>0</v>
      </c>
      <c r="H9" s="43">
        <f>SBLEE!H9+FNA!H9</f>
        <v>0</v>
      </c>
      <c r="I9" s="34">
        <f t="shared" si="0"/>
        <v>0</v>
      </c>
      <c r="J9" s="43">
        <f>SBLEE!J9+FNA!J9</f>
        <v>0</v>
      </c>
      <c r="K9" s="43">
        <f>SBLEE!K9+FNA!K9</f>
        <v>0</v>
      </c>
      <c r="L9" s="43">
        <f>SBLEE!L9+FNA!L9</f>
        <v>0</v>
      </c>
      <c r="M9" s="34">
        <f t="shared" si="1"/>
        <v>0</v>
      </c>
      <c r="N9" s="43">
        <f>SBLEE!N9+FNA!N9</f>
        <v>0</v>
      </c>
      <c r="O9" s="43">
        <f>SBLEE!O9+FNA!O9</f>
        <v>0</v>
      </c>
      <c r="P9" s="43">
        <f>SBLEE!P9+FNA!P9</f>
        <v>0</v>
      </c>
      <c r="Q9" s="34">
        <f t="shared" si="2"/>
        <v>0</v>
      </c>
      <c r="R9" s="43">
        <f>SBLEE!R9+FNA!R9</f>
        <v>0</v>
      </c>
      <c r="S9" s="43">
        <f>SBLEE!S9+FNA!S9</f>
        <v>0</v>
      </c>
      <c r="T9" s="43">
        <f>SBLEE!T9+FNA!T9</f>
        <v>0</v>
      </c>
      <c r="U9" s="34">
        <f t="shared" si="3"/>
        <v>0</v>
      </c>
      <c r="V9" s="34">
        <f t="shared" si="4"/>
        <v>0</v>
      </c>
    </row>
    <row r="10" spans="1:47" s="111" customFormat="1" ht="12.75" customHeight="1" outlineLevel="1">
      <c r="A10" s="450"/>
      <c r="B10" s="451"/>
      <c r="C10" s="116"/>
      <c r="D10" s="117" t="s">
        <v>165</v>
      </c>
      <c r="E10" s="7"/>
      <c r="F10" s="43">
        <f>SBLEE!F10+FNA!F10</f>
        <v>0</v>
      </c>
      <c r="G10" s="43">
        <f>SBLEE!G10+FNA!G10</f>
        <v>0</v>
      </c>
      <c r="H10" s="43">
        <f>SBLEE!H10+FNA!H10</f>
        <v>0</v>
      </c>
      <c r="I10" s="34">
        <f t="shared" si="0"/>
        <v>0</v>
      </c>
      <c r="J10" s="43">
        <f>SBLEE!J10+FNA!J10</f>
        <v>0</v>
      </c>
      <c r="K10" s="43">
        <f>SBLEE!K10+FNA!K10</f>
        <v>0</v>
      </c>
      <c r="L10" s="43">
        <f>SBLEE!L10+FNA!L10</f>
        <v>0</v>
      </c>
      <c r="M10" s="34">
        <f t="shared" si="1"/>
        <v>0</v>
      </c>
      <c r="N10" s="43">
        <f>SBLEE!N10+FNA!N10</f>
        <v>0</v>
      </c>
      <c r="O10" s="43">
        <f>SBLEE!O10+FNA!O10</f>
        <v>0</v>
      </c>
      <c r="P10" s="43">
        <f>SBLEE!P10+FNA!P10</f>
        <v>0</v>
      </c>
      <c r="Q10" s="34">
        <f t="shared" si="2"/>
        <v>0</v>
      </c>
      <c r="R10" s="43">
        <f>SBLEE!R10+FNA!R10</f>
        <v>0</v>
      </c>
      <c r="S10" s="43">
        <f>SBLEE!S10+FNA!S10</f>
        <v>0</v>
      </c>
      <c r="T10" s="43">
        <f>SBLEE!T10+FNA!T10</f>
        <v>0</v>
      </c>
      <c r="U10" s="34">
        <f t="shared" si="3"/>
        <v>0</v>
      </c>
      <c r="V10" s="34">
        <f t="shared" si="4"/>
        <v>0</v>
      </c>
    </row>
    <row r="11" spans="1:47" s="111" customFormat="1" ht="6.75" customHeight="1">
      <c r="A11" s="450"/>
      <c r="B11" s="4"/>
      <c r="C11" s="4"/>
      <c r="D11" s="119"/>
      <c r="E11" s="120"/>
      <c r="F11" s="43"/>
      <c r="G11" s="43"/>
      <c r="H11" s="43"/>
      <c r="I11" s="34"/>
      <c r="J11" s="43"/>
      <c r="K11" s="43"/>
      <c r="L11" s="43"/>
      <c r="M11" s="34"/>
      <c r="N11" s="43"/>
      <c r="O11" s="43"/>
      <c r="P11" s="43"/>
      <c r="Q11" s="34"/>
      <c r="R11" s="43"/>
      <c r="S11" s="43"/>
      <c r="T11" s="43"/>
      <c r="U11" s="34"/>
      <c r="V11" s="34"/>
    </row>
    <row r="12" spans="1:47" s="111" customFormat="1" ht="12.75" customHeight="1">
      <c r="A12" s="447" t="s">
        <v>167</v>
      </c>
      <c r="B12" s="448"/>
      <c r="C12" s="448"/>
      <c r="D12" s="449"/>
      <c r="E12" s="8"/>
      <c r="F12" s="44">
        <f t="shared" ref="F12:V12" si="5">SUM(F5:F10)</f>
        <v>0</v>
      </c>
      <c r="G12" s="44">
        <f t="shared" ref="G12:H12" si="6">SUM(G5:G10)</f>
        <v>0</v>
      </c>
      <c r="H12" s="44">
        <f t="shared" si="6"/>
        <v>0</v>
      </c>
      <c r="I12" s="35">
        <f t="shared" si="5"/>
        <v>0</v>
      </c>
      <c r="J12" s="44">
        <f t="shared" ref="J12:L12" si="7">SUM(J5:J10)</f>
        <v>0</v>
      </c>
      <c r="K12" s="44">
        <f t="shared" si="7"/>
        <v>0</v>
      </c>
      <c r="L12" s="44">
        <f t="shared" si="7"/>
        <v>0</v>
      </c>
      <c r="M12" s="35">
        <f t="shared" si="5"/>
        <v>0</v>
      </c>
      <c r="N12" s="44">
        <f t="shared" ref="N12:P12" si="8">SUM(N5:N10)</f>
        <v>0</v>
      </c>
      <c r="O12" s="44">
        <f t="shared" si="8"/>
        <v>0</v>
      </c>
      <c r="P12" s="44">
        <f t="shared" si="8"/>
        <v>0</v>
      </c>
      <c r="Q12" s="35">
        <f t="shared" si="5"/>
        <v>0</v>
      </c>
      <c r="R12" s="44">
        <f t="shared" ref="R12:T12" si="9">SUM(R5:R10)</f>
        <v>0</v>
      </c>
      <c r="S12" s="44">
        <f t="shared" si="9"/>
        <v>0</v>
      </c>
      <c r="T12" s="44">
        <f t="shared" si="9"/>
        <v>0</v>
      </c>
      <c r="U12" s="35">
        <f t="shared" si="5"/>
        <v>0</v>
      </c>
      <c r="V12" s="35">
        <f t="shared" si="5"/>
        <v>0</v>
      </c>
    </row>
    <row r="13" spans="1:47" s="111" customFormat="1" ht="5.25" customHeight="1">
      <c r="A13" s="121"/>
      <c r="B13" s="3"/>
      <c r="C13" s="3"/>
      <c r="D13" s="119"/>
      <c r="E13" s="4"/>
      <c r="F13" s="43"/>
      <c r="G13" s="43"/>
      <c r="H13" s="43"/>
      <c r="I13" s="34"/>
      <c r="J13" s="43"/>
      <c r="K13" s="43"/>
      <c r="L13" s="43"/>
      <c r="M13" s="34"/>
      <c r="N13" s="43"/>
      <c r="O13" s="43"/>
      <c r="P13" s="43"/>
      <c r="Q13" s="34"/>
      <c r="R13" s="43"/>
      <c r="S13" s="43"/>
      <c r="T13" s="43"/>
      <c r="U13" s="34"/>
      <c r="V13" s="34"/>
    </row>
    <row r="14" spans="1:47" s="111" customFormat="1" ht="12.75" customHeight="1">
      <c r="A14" s="452" t="s">
        <v>168</v>
      </c>
      <c r="B14" s="453"/>
      <c r="C14" s="453"/>
      <c r="D14" s="454"/>
      <c r="E14" s="7"/>
      <c r="F14" s="43"/>
      <c r="G14" s="43"/>
      <c r="H14" s="43"/>
      <c r="I14" s="34"/>
      <c r="J14" s="43"/>
      <c r="K14" s="43"/>
      <c r="L14" s="43"/>
      <c r="M14" s="34"/>
      <c r="N14" s="43"/>
      <c r="O14" s="43"/>
      <c r="P14" s="43"/>
      <c r="Q14" s="34"/>
      <c r="R14" s="43"/>
      <c r="S14" s="43"/>
      <c r="T14" s="43"/>
      <c r="U14" s="34"/>
      <c r="V14" s="34"/>
    </row>
    <row r="15" spans="1:47" s="111" customFormat="1" ht="12.75" customHeight="1" outlineLevel="1">
      <c r="A15" s="465"/>
      <c r="B15" s="3"/>
      <c r="C15" s="466" t="s">
        <v>169</v>
      </c>
      <c r="D15" s="467"/>
      <c r="E15" s="7"/>
      <c r="F15" s="43"/>
      <c r="G15" s="43"/>
      <c r="H15" s="43"/>
      <c r="I15" s="34"/>
      <c r="J15" s="43"/>
      <c r="K15" s="43"/>
      <c r="L15" s="43"/>
      <c r="M15" s="34"/>
      <c r="N15" s="43"/>
      <c r="O15" s="43"/>
      <c r="P15" s="43"/>
      <c r="Q15" s="34"/>
      <c r="R15" s="43"/>
      <c r="S15" s="43"/>
      <c r="T15" s="43"/>
      <c r="U15" s="34"/>
      <c r="V15" s="34"/>
    </row>
    <row r="16" spans="1:47" s="111" customFormat="1" ht="12.75" customHeight="1" outlineLevel="1">
      <c r="A16" s="465"/>
      <c r="B16" s="3"/>
      <c r="C16" s="116"/>
      <c r="D16" s="117" t="s">
        <v>170</v>
      </c>
      <c r="E16" s="7">
        <v>0</v>
      </c>
      <c r="F16" s="43">
        <f>SBLEE!F16+FNA!F16</f>
        <v>0</v>
      </c>
      <c r="G16" s="43">
        <f>SBLEE!G16+FNA!G16</f>
        <v>0</v>
      </c>
      <c r="H16" s="43">
        <f>SBLEE!H16+FNA!H16</f>
        <v>0</v>
      </c>
      <c r="I16" s="34">
        <f t="shared" ref="I16:I22" si="10">H16+G16+F16</f>
        <v>0</v>
      </c>
      <c r="J16" s="43">
        <f>SBLEE!J16+FNA!J16</f>
        <v>0</v>
      </c>
      <c r="K16" s="43">
        <f>SBLEE!K16+FNA!K16</f>
        <v>0</v>
      </c>
      <c r="L16" s="43">
        <f>SBLEE!L16+FNA!L16</f>
        <v>0</v>
      </c>
      <c r="M16" s="34">
        <f t="shared" ref="M16:M22" si="11">L16+K16+J16</f>
        <v>0</v>
      </c>
      <c r="N16" s="43">
        <f>SBLEE!N16+FNA!N16</f>
        <v>0</v>
      </c>
      <c r="O16" s="43">
        <f>SBLEE!O16+FNA!O16</f>
        <v>0</v>
      </c>
      <c r="P16" s="43">
        <f>SBLEE!P16+FNA!P16</f>
        <v>0</v>
      </c>
      <c r="Q16" s="34">
        <f t="shared" ref="Q16:Q22" si="12">P16+O16+N16</f>
        <v>0</v>
      </c>
      <c r="R16" s="43">
        <f>SBLEE!R16+FNA!R16</f>
        <v>0</v>
      </c>
      <c r="S16" s="43">
        <f>SBLEE!S16+FNA!S16</f>
        <v>0</v>
      </c>
      <c r="T16" s="43">
        <f>SBLEE!T16+FNA!T16</f>
        <v>0</v>
      </c>
      <c r="U16" s="34">
        <f t="shared" ref="U16:U25" si="13">T16+S16+R16</f>
        <v>0</v>
      </c>
      <c r="V16" s="34">
        <f t="shared" ref="V16:V25" si="14">U16+Q16+M16+I16</f>
        <v>0</v>
      </c>
    </row>
    <row r="17" spans="1:22" s="111" customFormat="1" ht="12.75" customHeight="1" outlineLevel="1">
      <c r="A17" s="465"/>
      <c r="B17" s="3"/>
      <c r="C17" s="116"/>
      <c r="D17" s="117" t="s">
        <v>171</v>
      </c>
      <c r="E17" s="7"/>
      <c r="F17" s="43">
        <f>SBLEE!F17+FNA!F17</f>
        <v>0</v>
      </c>
      <c r="G17" s="43">
        <f>SBLEE!G17+FNA!G17</f>
        <v>0</v>
      </c>
      <c r="H17" s="43">
        <f>SBLEE!H17+FNA!H17</f>
        <v>0</v>
      </c>
      <c r="I17" s="34">
        <f t="shared" si="10"/>
        <v>0</v>
      </c>
      <c r="J17" s="43">
        <f>SBLEE!J17+FNA!J17</f>
        <v>0</v>
      </c>
      <c r="K17" s="43">
        <f>SBLEE!K17+FNA!K17</f>
        <v>0</v>
      </c>
      <c r="L17" s="43">
        <f>SBLEE!L17+FNA!L17</f>
        <v>0</v>
      </c>
      <c r="M17" s="34">
        <f t="shared" si="11"/>
        <v>0</v>
      </c>
      <c r="N17" s="43">
        <f>SBLEE!N17+FNA!N17</f>
        <v>0</v>
      </c>
      <c r="O17" s="43">
        <f>SBLEE!O17+FNA!O17</f>
        <v>0</v>
      </c>
      <c r="P17" s="43">
        <f>SBLEE!P17+FNA!P17</f>
        <v>0</v>
      </c>
      <c r="Q17" s="34">
        <f t="shared" si="12"/>
        <v>0</v>
      </c>
      <c r="R17" s="43">
        <f>SBLEE!R17+FNA!R17</f>
        <v>0</v>
      </c>
      <c r="S17" s="43">
        <f>SBLEE!S17+FNA!S17</f>
        <v>0</v>
      </c>
      <c r="T17" s="43">
        <f>SBLEE!T17+FNA!T17</f>
        <v>0</v>
      </c>
      <c r="U17" s="34">
        <f t="shared" si="13"/>
        <v>0</v>
      </c>
      <c r="V17" s="34">
        <f t="shared" si="14"/>
        <v>0</v>
      </c>
    </row>
    <row r="18" spans="1:22" s="111" customFormat="1" ht="12.75" customHeight="1" outlineLevel="1">
      <c r="A18" s="465"/>
      <c r="B18" s="3"/>
      <c r="C18" s="116"/>
      <c r="D18" s="117" t="s">
        <v>172</v>
      </c>
      <c r="E18" s="7"/>
      <c r="F18" s="43">
        <f>SBLEE!F18+FNA!F18</f>
        <v>0</v>
      </c>
      <c r="G18" s="43">
        <f>SBLEE!G18+FNA!G18</f>
        <v>0</v>
      </c>
      <c r="H18" s="43">
        <f>SBLEE!H18+FNA!H18</f>
        <v>0</v>
      </c>
      <c r="I18" s="34">
        <f t="shared" si="10"/>
        <v>0</v>
      </c>
      <c r="J18" s="43">
        <f>SBLEE!J18+FNA!J18</f>
        <v>0</v>
      </c>
      <c r="K18" s="43">
        <f>SBLEE!K18+FNA!K18</f>
        <v>0</v>
      </c>
      <c r="L18" s="43">
        <f>SBLEE!L18+FNA!L18</f>
        <v>0</v>
      </c>
      <c r="M18" s="34">
        <f t="shared" si="11"/>
        <v>0</v>
      </c>
      <c r="N18" s="43">
        <f>SBLEE!N18+FNA!N18</f>
        <v>0</v>
      </c>
      <c r="O18" s="43">
        <f>SBLEE!O18+FNA!O18</f>
        <v>0</v>
      </c>
      <c r="P18" s="43">
        <f>SBLEE!P18+FNA!P18</f>
        <v>0</v>
      </c>
      <c r="Q18" s="34">
        <f t="shared" si="12"/>
        <v>0</v>
      </c>
      <c r="R18" s="43">
        <f>SBLEE!R18+FNA!R18</f>
        <v>0</v>
      </c>
      <c r="S18" s="43">
        <f>SBLEE!S18+FNA!S18</f>
        <v>0</v>
      </c>
      <c r="T18" s="43">
        <f>SBLEE!T18+FNA!T18</f>
        <v>0</v>
      </c>
      <c r="U18" s="34">
        <f t="shared" si="13"/>
        <v>0</v>
      </c>
      <c r="V18" s="34">
        <f t="shared" si="14"/>
        <v>0</v>
      </c>
    </row>
    <row r="19" spans="1:22" s="111" customFormat="1" ht="12.75" customHeight="1" outlineLevel="1">
      <c r="A19" s="465"/>
      <c r="B19" s="3"/>
      <c r="C19" s="116"/>
      <c r="D19" s="117" t="s">
        <v>173</v>
      </c>
      <c r="E19" s="7"/>
      <c r="F19" s="43">
        <f>SBLEE!F19+FNA!F19</f>
        <v>0</v>
      </c>
      <c r="G19" s="43">
        <f>SBLEE!G19+FNA!G19</f>
        <v>0</v>
      </c>
      <c r="H19" s="43">
        <f>SBLEE!H19+FNA!H19</f>
        <v>0</v>
      </c>
      <c r="I19" s="34">
        <f t="shared" si="10"/>
        <v>0</v>
      </c>
      <c r="J19" s="43">
        <f>SBLEE!J19+FNA!J19</f>
        <v>0</v>
      </c>
      <c r="K19" s="43">
        <f>SBLEE!K19+FNA!K19</f>
        <v>0</v>
      </c>
      <c r="L19" s="43">
        <f>SBLEE!L19+FNA!L19</f>
        <v>0</v>
      </c>
      <c r="M19" s="34">
        <f t="shared" si="11"/>
        <v>0</v>
      </c>
      <c r="N19" s="43">
        <f>SBLEE!N19+FNA!N19</f>
        <v>0</v>
      </c>
      <c r="O19" s="43">
        <f>SBLEE!O19+FNA!O19</f>
        <v>0</v>
      </c>
      <c r="P19" s="43">
        <f>SBLEE!P19+FNA!P19</f>
        <v>0</v>
      </c>
      <c r="Q19" s="34">
        <f t="shared" si="12"/>
        <v>0</v>
      </c>
      <c r="R19" s="43">
        <f>SBLEE!R19+FNA!R19</f>
        <v>0</v>
      </c>
      <c r="S19" s="43">
        <f>SBLEE!S19+FNA!S19</f>
        <v>0</v>
      </c>
      <c r="T19" s="43">
        <f>SBLEE!T19+FNA!T19</f>
        <v>0</v>
      </c>
      <c r="U19" s="34">
        <f t="shared" si="13"/>
        <v>0</v>
      </c>
      <c r="V19" s="34">
        <f t="shared" si="14"/>
        <v>0</v>
      </c>
    </row>
    <row r="20" spans="1:22" s="111" customFormat="1" ht="12.75" customHeight="1" outlineLevel="1">
      <c r="A20" s="465"/>
      <c r="B20" s="3"/>
      <c r="C20" s="116"/>
      <c r="D20" s="118" t="s">
        <v>174</v>
      </c>
      <c r="E20" s="7">
        <v>0</v>
      </c>
      <c r="F20" s="43">
        <f>SBLEE!F20+FNA!F20</f>
        <v>0</v>
      </c>
      <c r="G20" s="43">
        <f>SBLEE!G20+FNA!G20</f>
        <v>0</v>
      </c>
      <c r="H20" s="43">
        <f>SBLEE!H20+FNA!H20</f>
        <v>0</v>
      </c>
      <c r="I20" s="34">
        <f t="shared" si="10"/>
        <v>0</v>
      </c>
      <c r="J20" s="43">
        <f>SBLEE!J20+FNA!J20</f>
        <v>0</v>
      </c>
      <c r="K20" s="43">
        <f>SBLEE!K20+FNA!K20</f>
        <v>0</v>
      </c>
      <c r="L20" s="43">
        <f>SBLEE!L20+FNA!L20</f>
        <v>0</v>
      </c>
      <c r="M20" s="34">
        <f t="shared" si="11"/>
        <v>0</v>
      </c>
      <c r="N20" s="43">
        <f>SBLEE!N20+FNA!N20</f>
        <v>0</v>
      </c>
      <c r="O20" s="43">
        <f>SBLEE!O20+FNA!O20</f>
        <v>0</v>
      </c>
      <c r="P20" s="43">
        <f>SBLEE!P20+FNA!P20</f>
        <v>0</v>
      </c>
      <c r="Q20" s="34">
        <f t="shared" si="12"/>
        <v>0</v>
      </c>
      <c r="R20" s="43">
        <f>SBLEE!R20+FNA!R20</f>
        <v>0</v>
      </c>
      <c r="S20" s="43">
        <f>SBLEE!S20+FNA!S20</f>
        <v>0</v>
      </c>
      <c r="T20" s="43">
        <f>SBLEE!T20+FNA!T20</f>
        <v>0</v>
      </c>
      <c r="U20" s="34">
        <f t="shared" si="13"/>
        <v>0</v>
      </c>
      <c r="V20" s="34">
        <f t="shared" si="14"/>
        <v>0</v>
      </c>
    </row>
    <row r="21" spans="1:22" s="111" customFormat="1" ht="12.75" customHeight="1" outlineLevel="1">
      <c r="A21" s="465"/>
      <c r="B21" s="3"/>
      <c r="C21" s="468" t="s">
        <v>175</v>
      </c>
      <c r="D21" s="469"/>
      <c r="E21" s="7"/>
      <c r="F21" s="43">
        <f>SBLEE!F21+FNA!F21</f>
        <v>0</v>
      </c>
      <c r="G21" s="43">
        <f>SBLEE!G21+FNA!G21</f>
        <v>0</v>
      </c>
      <c r="H21" s="43">
        <f>SBLEE!H21+FNA!H21</f>
        <v>0</v>
      </c>
      <c r="I21" s="34">
        <f t="shared" si="10"/>
        <v>0</v>
      </c>
      <c r="J21" s="43">
        <f>SBLEE!J21+FNA!J21</f>
        <v>0</v>
      </c>
      <c r="K21" s="43">
        <f>SBLEE!K21+FNA!K21</f>
        <v>0</v>
      </c>
      <c r="L21" s="43">
        <f>SBLEE!L21+FNA!L21</f>
        <v>0</v>
      </c>
      <c r="M21" s="34">
        <f t="shared" si="11"/>
        <v>0</v>
      </c>
      <c r="N21" s="43">
        <f>SBLEE!N21+FNA!N21</f>
        <v>0</v>
      </c>
      <c r="O21" s="43">
        <f>SBLEE!O21+FNA!O21</f>
        <v>0</v>
      </c>
      <c r="P21" s="43">
        <f>SBLEE!P21+FNA!P21</f>
        <v>0</v>
      </c>
      <c r="Q21" s="34">
        <f t="shared" si="12"/>
        <v>0</v>
      </c>
      <c r="R21" s="43">
        <f>SBLEE!R21+FNA!R21</f>
        <v>0</v>
      </c>
      <c r="S21" s="43">
        <f>SBLEE!S21+FNA!S21</f>
        <v>0</v>
      </c>
      <c r="T21" s="43">
        <f>SBLEE!T21+FNA!T21</f>
        <v>0</v>
      </c>
      <c r="U21" s="34">
        <f t="shared" si="13"/>
        <v>0</v>
      </c>
      <c r="V21" s="34">
        <f t="shared" si="14"/>
        <v>0</v>
      </c>
    </row>
    <row r="22" spans="1:22" s="111" customFormat="1" ht="12.75" customHeight="1" outlineLevel="1">
      <c r="A22" s="465"/>
      <c r="B22" s="3"/>
      <c r="C22" s="468" t="s">
        <v>176</v>
      </c>
      <c r="D22" s="469"/>
      <c r="E22" s="7"/>
      <c r="F22" s="43">
        <f>SBLEE!F22+FNA!F22</f>
        <v>0</v>
      </c>
      <c r="G22" s="43">
        <f>SBLEE!G22+FNA!G22</f>
        <v>0</v>
      </c>
      <c r="H22" s="43">
        <f>SBLEE!H22+FNA!H22</f>
        <v>0</v>
      </c>
      <c r="I22" s="34">
        <f t="shared" si="10"/>
        <v>0</v>
      </c>
      <c r="J22" s="43">
        <f>SBLEE!J22+FNA!J22</f>
        <v>0</v>
      </c>
      <c r="K22" s="43">
        <f>SBLEE!K22+FNA!K22</f>
        <v>0</v>
      </c>
      <c r="L22" s="43">
        <f>SBLEE!L22+FNA!L22</f>
        <v>0</v>
      </c>
      <c r="M22" s="34">
        <f t="shared" si="11"/>
        <v>0</v>
      </c>
      <c r="N22" s="43">
        <f>SBLEE!N22+FNA!N22</f>
        <v>0</v>
      </c>
      <c r="O22" s="43">
        <f>SBLEE!O22+FNA!O22</f>
        <v>0</v>
      </c>
      <c r="P22" s="43">
        <f>SBLEE!P22+FNA!P22</f>
        <v>0</v>
      </c>
      <c r="Q22" s="34">
        <f t="shared" si="12"/>
        <v>0</v>
      </c>
      <c r="R22" s="43">
        <f>SBLEE!R22+FNA!R22</f>
        <v>0</v>
      </c>
      <c r="S22" s="43">
        <f>SBLEE!S22+FNA!S22</f>
        <v>0</v>
      </c>
      <c r="T22" s="43">
        <f>SBLEE!T22+FNA!T22</f>
        <v>0</v>
      </c>
      <c r="U22" s="34">
        <f t="shared" si="13"/>
        <v>0</v>
      </c>
      <c r="V22" s="34">
        <f t="shared" si="14"/>
        <v>0</v>
      </c>
    </row>
    <row r="23" spans="1:22" s="111" customFormat="1" ht="12.75" customHeight="1" outlineLevel="1">
      <c r="A23" s="465"/>
      <c r="B23" s="3"/>
      <c r="C23" s="457" t="s">
        <v>203</v>
      </c>
      <c r="D23" s="470"/>
      <c r="E23" s="7"/>
      <c r="F23" s="43">
        <f>SBLEE!F23+FNA!F23</f>
        <v>0</v>
      </c>
      <c r="G23" s="43">
        <f>SBLEE!G23+FNA!G23</f>
        <v>0</v>
      </c>
      <c r="H23" s="43">
        <f>SBLEE!H23+FNA!H23</f>
        <v>0</v>
      </c>
      <c r="I23" s="34">
        <f>H23+G23+F23</f>
        <v>0</v>
      </c>
      <c r="J23" s="43">
        <f>SBLEE!J23+FNA!J23</f>
        <v>0</v>
      </c>
      <c r="K23" s="43">
        <f>SBLEE!K23+FNA!K23</f>
        <v>0</v>
      </c>
      <c r="L23" s="43">
        <f>SBLEE!L23+FNA!L23</f>
        <v>0</v>
      </c>
      <c r="M23" s="34">
        <f>L23+K23+J23</f>
        <v>0</v>
      </c>
      <c r="N23" s="43">
        <f>SBLEE!N23+FNA!N23</f>
        <v>0</v>
      </c>
      <c r="O23" s="43">
        <f>SBLEE!O23+FNA!O23</f>
        <v>0</v>
      </c>
      <c r="P23" s="43">
        <f>SBLEE!P23+FNA!P23</f>
        <v>0</v>
      </c>
      <c r="Q23" s="34">
        <f>P23+O23+N23</f>
        <v>0</v>
      </c>
      <c r="R23" s="43">
        <f>SBLEE!R23+FNA!R23</f>
        <v>0</v>
      </c>
      <c r="S23" s="43">
        <f>SBLEE!S23+FNA!S23</f>
        <v>0</v>
      </c>
      <c r="T23" s="43">
        <f>SBLEE!T23+FNA!T23</f>
        <v>0</v>
      </c>
      <c r="U23" s="34">
        <f t="shared" si="13"/>
        <v>0</v>
      </c>
      <c r="V23" s="34">
        <f t="shared" si="14"/>
        <v>0</v>
      </c>
    </row>
    <row r="24" spans="1:22" s="111" customFormat="1" ht="12.75" customHeight="1" outlineLevel="1">
      <c r="A24" s="465"/>
      <c r="B24" s="3"/>
      <c r="C24" s="457" t="s">
        <v>184</v>
      </c>
      <c r="D24" s="458"/>
      <c r="E24" s="7"/>
      <c r="F24" s="43">
        <f>SBLEE!F24+FNA!F24</f>
        <v>0</v>
      </c>
      <c r="G24" s="43">
        <f>SBLEE!G24+FNA!G24</f>
        <v>0</v>
      </c>
      <c r="H24" s="43">
        <f>SBLEE!H24+FNA!H24</f>
        <v>0</v>
      </c>
      <c r="I24" s="34">
        <f t="shared" ref="I24:I25" si="15">H24+G24+F24</f>
        <v>0</v>
      </c>
      <c r="J24" s="43">
        <f>SBLEE!J24+FNA!J24</f>
        <v>0</v>
      </c>
      <c r="K24" s="43">
        <f>SBLEE!K24+FNA!K24</f>
        <v>0</v>
      </c>
      <c r="L24" s="43">
        <f>SBLEE!L24+FNA!L24</f>
        <v>0</v>
      </c>
      <c r="M24" s="34">
        <f t="shared" ref="M24:M25" si="16">L24+K24+J24</f>
        <v>0</v>
      </c>
      <c r="N24" s="43">
        <f>SBLEE!N24+FNA!N24</f>
        <v>0</v>
      </c>
      <c r="O24" s="43">
        <f>SBLEE!O24+FNA!O24</f>
        <v>0</v>
      </c>
      <c r="P24" s="43">
        <f>SBLEE!P24+FNA!P24</f>
        <v>0</v>
      </c>
      <c r="Q24" s="34">
        <f t="shared" ref="Q24:Q25" si="17">P24+O24+N24</f>
        <v>0</v>
      </c>
      <c r="R24" s="43">
        <f>SBLEE!R24+FNA!R24</f>
        <v>0</v>
      </c>
      <c r="S24" s="43">
        <f>SBLEE!S24+FNA!S24</f>
        <v>0</v>
      </c>
      <c r="T24" s="43">
        <f>SBLEE!T24+FNA!T24</f>
        <v>0</v>
      </c>
      <c r="U24" s="34">
        <f t="shared" si="13"/>
        <v>0</v>
      </c>
      <c r="V24" s="34">
        <f t="shared" si="14"/>
        <v>0</v>
      </c>
    </row>
    <row r="25" spans="1:22" s="111" customFormat="1" ht="12.75" customHeight="1" outlineLevel="1">
      <c r="A25" s="465"/>
      <c r="B25" s="3"/>
      <c r="C25" s="457" t="s">
        <v>183</v>
      </c>
      <c r="D25" s="458"/>
      <c r="E25" s="7">
        <v>0</v>
      </c>
      <c r="F25" s="43">
        <f>SBLEE!F25+FNA!F25</f>
        <v>0</v>
      </c>
      <c r="G25" s="43">
        <f>SBLEE!G25+FNA!G25</f>
        <v>0</v>
      </c>
      <c r="H25" s="43">
        <f>SBLEE!H25+FNA!H25</f>
        <v>0</v>
      </c>
      <c r="I25" s="34">
        <f t="shared" si="15"/>
        <v>0</v>
      </c>
      <c r="J25" s="43">
        <f>SBLEE!J25+FNA!J25</f>
        <v>0</v>
      </c>
      <c r="K25" s="43">
        <f>SBLEE!K25+FNA!K25</f>
        <v>0</v>
      </c>
      <c r="L25" s="43">
        <f>SBLEE!L25+FNA!L25</f>
        <v>0</v>
      </c>
      <c r="M25" s="34">
        <f t="shared" si="16"/>
        <v>0</v>
      </c>
      <c r="N25" s="43">
        <f>SBLEE!N25+FNA!N25</f>
        <v>0</v>
      </c>
      <c r="O25" s="43">
        <f>SBLEE!O25+FNA!O25</f>
        <v>0</v>
      </c>
      <c r="P25" s="43">
        <f>SBLEE!P25+FNA!P25</f>
        <v>0</v>
      </c>
      <c r="Q25" s="34">
        <f t="shared" si="17"/>
        <v>0</v>
      </c>
      <c r="R25" s="43">
        <f>SBLEE!R25+FNA!R25</f>
        <v>0</v>
      </c>
      <c r="S25" s="43">
        <f>SBLEE!S25+FNA!S25</f>
        <v>0</v>
      </c>
      <c r="T25" s="43">
        <f>SBLEE!T25+FNA!T25</f>
        <v>0</v>
      </c>
      <c r="U25" s="34">
        <f t="shared" si="13"/>
        <v>0</v>
      </c>
      <c r="V25" s="34">
        <f t="shared" si="14"/>
        <v>0</v>
      </c>
    </row>
    <row r="26" spans="1:22" s="111" customFormat="1" ht="12.75" customHeight="1">
      <c r="A26" s="459" t="s">
        <v>177</v>
      </c>
      <c r="B26" s="460"/>
      <c r="C26" s="460"/>
      <c r="D26" s="461"/>
      <c r="E26" s="8"/>
      <c r="F26" s="44">
        <f t="shared" ref="F26:V26" si="18">SUM(F16:F25)</f>
        <v>0</v>
      </c>
      <c r="G26" s="44">
        <f t="shared" si="18"/>
        <v>0</v>
      </c>
      <c r="H26" s="44">
        <f t="shared" si="18"/>
        <v>0</v>
      </c>
      <c r="I26" s="35">
        <f t="shared" si="18"/>
        <v>0</v>
      </c>
      <c r="J26" s="44">
        <f t="shared" si="18"/>
        <v>0</v>
      </c>
      <c r="K26" s="44">
        <f t="shared" si="18"/>
        <v>0</v>
      </c>
      <c r="L26" s="44">
        <f t="shared" si="18"/>
        <v>0</v>
      </c>
      <c r="M26" s="35">
        <f t="shared" si="18"/>
        <v>0</v>
      </c>
      <c r="N26" s="44">
        <f t="shared" si="18"/>
        <v>0</v>
      </c>
      <c r="O26" s="44">
        <f t="shared" si="18"/>
        <v>0</v>
      </c>
      <c r="P26" s="44">
        <f t="shared" si="18"/>
        <v>0</v>
      </c>
      <c r="Q26" s="35">
        <f t="shared" si="18"/>
        <v>0</v>
      </c>
      <c r="R26" s="44">
        <f t="shared" si="18"/>
        <v>0</v>
      </c>
      <c r="S26" s="44">
        <f t="shared" si="18"/>
        <v>0</v>
      </c>
      <c r="T26" s="44">
        <f t="shared" si="18"/>
        <v>0</v>
      </c>
      <c r="U26" s="35">
        <f t="shared" si="18"/>
        <v>0</v>
      </c>
      <c r="V26" s="35">
        <f t="shared" si="18"/>
        <v>0</v>
      </c>
    </row>
    <row r="27" spans="1:22" s="111" customFormat="1" ht="8.25" customHeight="1">
      <c r="A27" s="122"/>
      <c r="B27" s="123"/>
      <c r="C27" s="123"/>
      <c r="D27" s="124"/>
      <c r="E27" s="8"/>
      <c r="F27" s="43"/>
      <c r="G27" s="43"/>
      <c r="H27" s="43"/>
      <c r="I27" s="34"/>
      <c r="J27" s="43"/>
      <c r="K27" s="43"/>
      <c r="L27" s="43"/>
      <c r="M27" s="34"/>
      <c r="N27" s="43"/>
      <c r="O27" s="43"/>
      <c r="P27" s="43"/>
      <c r="Q27" s="34"/>
      <c r="R27" s="43"/>
      <c r="S27" s="43"/>
      <c r="T27" s="43"/>
      <c r="U27" s="34"/>
      <c r="V27" s="34"/>
    </row>
    <row r="28" spans="1:22" s="111" customFormat="1" ht="12.75" customHeight="1">
      <c r="A28" s="462" t="s">
        <v>178</v>
      </c>
      <c r="B28" s="463"/>
      <c r="C28" s="463"/>
      <c r="D28" s="464"/>
      <c r="E28" s="8"/>
      <c r="F28" s="43"/>
      <c r="G28" s="43"/>
      <c r="H28" s="43"/>
      <c r="I28" s="34"/>
      <c r="J28" s="43"/>
      <c r="K28" s="43"/>
      <c r="L28" s="43"/>
      <c r="M28" s="34"/>
      <c r="N28" s="43"/>
      <c r="O28" s="43"/>
      <c r="P28" s="43"/>
      <c r="Q28" s="34"/>
      <c r="R28" s="43"/>
      <c r="S28" s="43"/>
      <c r="T28" s="43"/>
      <c r="U28" s="34"/>
      <c r="V28" s="34"/>
    </row>
    <row r="29" spans="1:22" s="111" customFormat="1" ht="12.75" customHeight="1">
      <c r="A29" s="125"/>
      <c r="B29" s="4"/>
      <c r="C29" s="455" t="s">
        <v>179</v>
      </c>
      <c r="D29" s="456"/>
      <c r="E29" s="8"/>
      <c r="F29" s="44">
        <f t="shared" ref="F29:V29" si="19">F12-F26</f>
        <v>0</v>
      </c>
      <c r="G29" s="44">
        <f t="shared" si="19"/>
        <v>0</v>
      </c>
      <c r="H29" s="44">
        <f t="shared" si="19"/>
        <v>0</v>
      </c>
      <c r="I29" s="35">
        <f t="shared" si="19"/>
        <v>0</v>
      </c>
      <c r="J29" s="44">
        <f t="shared" si="19"/>
        <v>0</v>
      </c>
      <c r="K29" s="44">
        <f t="shared" si="19"/>
        <v>0</v>
      </c>
      <c r="L29" s="44">
        <f t="shared" si="19"/>
        <v>0</v>
      </c>
      <c r="M29" s="35">
        <f t="shared" si="19"/>
        <v>0</v>
      </c>
      <c r="N29" s="44">
        <f t="shared" si="19"/>
        <v>0</v>
      </c>
      <c r="O29" s="44">
        <f t="shared" si="19"/>
        <v>0</v>
      </c>
      <c r="P29" s="44">
        <f t="shared" si="19"/>
        <v>0</v>
      </c>
      <c r="Q29" s="35">
        <f t="shared" si="19"/>
        <v>0</v>
      </c>
      <c r="R29" s="44">
        <f t="shared" si="19"/>
        <v>0</v>
      </c>
      <c r="S29" s="44">
        <f t="shared" si="19"/>
        <v>0</v>
      </c>
      <c r="T29" s="44">
        <f t="shared" si="19"/>
        <v>0</v>
      </c>
      <c r="U29" s="35">
        <f t="shared" si="19"/>
        <v>0</v>
      </c>
      <c r="V29" s="35">
        <f t="shared" si="19"/>
        <v>0</v>
      </c>
    </row>
    <row r="30" spans="1:22" s="111" customFormat="1" ht="12.75" customHeight="1">
      <c r="A30" s="121"/>
      <c r="B30" s="3"/>
      <c r="C30" s="3"/>
      <c r="D30" s="118" t="s">
        <v>180</v>
      </c>
      <c r="E30" s="7"/>
      <c r="F30" s="126">
        <f t="shared" ref="F30:V30" si="20">IF(F12=0,0,F29/F12)</f>
        <v>0</v>
      </c>
      <c r="G30" s="126">
        <f t="shared" si="20"/>
        <v>0</v>
      </c>
      <c r="H30" s="126">
        <f t="shared" si="20"/>
        <v>0</v>
      </c>
      <c r="I30" s="127">
        <f t="shared" si="20"/>
        <v>0</v>
      </c>
      <c r="J30" s="126">
        <f t="shared" si="20"/>
        <v>0</v>
      </c>
      <c r="K30" s="126">
        <f t="shared" si="20"/>
        <v>0</v>
      </c>
      <c r="L30" s="126">
        <f t="shared" si="20"/>
        <v>0</v>
      </c>
      <c r="M30" s="127">
        <f t="shared" si="20"/>
        <v>0</v>
      </c>
      <c r="N30" s="126">
        <f t="shared" si="20"/>
        <v>0</v>
      </c>
      <c r="O30" s="126">
        <f t="shared" si="20"/>
        <v>0</v>
      </c>
      <c r="P30" s="126">
        <f t="shared" si="20"/>
        <v>0</v>
      </c>
      <c r="Q30" s="127">
        <f t="shared" si="20"/>
        <v>0</v>
      </c>
      <c r="R30" s="126">
        <f t="shared" si="20"/>
        <v>0</v>
      </c>
      <c r="S30" s="126">
        <f t="shared" si="20"/>
        <v>0</v>
      </c>
      <c r="T30" s="126">
        <f t="shared" si="20"/>
        <v>0</v>
      </c>
      <c r="U30" s="127">
        <f t="shared" si="20"/>
        <v>0</v>
      </c>
      <c r="V30" s="127">
        <f t="shared" si="20"/>
        <v>0</v>
      </c>
    </row>
    <row r="31" spans="1:22" ht="13.15" outlineLevel="1">
      <c r="A31" s="21" t="s">
        <v>49</v>
      </c>
      <c r="B31" s="22"/>
      <c r="C31" s="22"/>
      <c r="D31" s="22"/>
      <c r="F31" s="43"/>
      <c r="G31" s="43"/>
      <c r="H31" s="43"/>
      <c r="I31" s="34"/>
      <c r="J31" s="43"/>
      <c r="K31" s="43"/>
      <c r="L31" s="43"/>
      <c r="M31" s="34"/>
      <c r="N31" s="43"/>
      <c r="O31" s="43"/>
      <c r="P31" s="43"/>
      <c r="Q31" s="34"/>
      <c r="R31" s="43"/>
      <c r="S31" s="43"/>
      <c r="T31" s="43"/>
      <c r="U31" s="34"/>
      <c r="V31" s="34"/>
    </row>
    <row r="32" spans="1:22" ht="13.5" outlineLevel="2">
      <c r="A32" s="22"/>
      <c r="B32" s="22"/>
      <c r="C32" s="23" t="s">
        <v>37</v>
      </c>
      <c r="D32" s="24"/>
      <c r="E32" s="8"/>
      <c r="F32" s="43"/>
      <c r="G32" s="43"/>
      <c r="H32" s="43"/>
      <c r="I32" s="34"/>
      <c r="J32" s="43"/>
      <c r="K32" s="43"/>
      <c r="L32" s="43"/>
      <c r="M32" s="34"/>
      <c r="N32" s="43"/>
      <c r="O32" s="43"/>
      <c r="P32" s="43"/>
      <c r="Q32" s="34"/>
      <c r="R32" s="43"/>
      <c r="S32" s="43"/>
      <c r="T32" s="43"/>
      <c r="U32" s="34"/>
      <c r="V32" s="34"/>
    </row>
    <row r="33" spans="1:22" ht="13.15" outlineLevel="2">
      <c r="A33" s="22"/>
      <c r="B33" s="22"/>
      <c r="C33" s="22"/>
      <c r="D33" s="25" t="s">
        <v>27</v>
      </c>
      <c r="E33" s="7">
        <v>0</v>
      </c>
      <c r="F33" s="43">
        <f>SBLEE!F33+FNA!F33</f>
        <v>20000000</v>
      </c>
      <c r="G33" s="43">
        <f>SBLEE!G33+FNA!G33</f>
        <v>20000000</v>
      </c>
      <c r="H33" s="43">
        <f>SBLEE!H33+FNA!H33</f>
        <v>20000000</v>
      </c>
      <c r="I33" s="34">
        <f>SUM(F33:H33)</f>
        <v>60000000</v>
      </c>
      <c r="J33" s="43">
        <f>SBLEE!J33+FNA!J33</f>
        <v>20000000</v>
      </c>
      <c r="K33" s="43">
        <f>SBLEE!K33+FNA!K33</f>
        <v>20000000</v>
      </c>
      <c r="L33" s="43">
        <f>SBLEE!L33+FNA!L33</f>
        <v>20000000</v>
      </c>
      <c r="M33" s="34">
        <f>SUM(J33:L33)</f>
        <v>60000000</v>
      </c>
      <c r="N33" s="43">
        <f>SBLEE!N33+FNA!N33</f>
        <v>20000000</v>
      </c>
      <c r="O33" s="43">
        <f>SBLEE!O33+FNA!O33</f>
        <v>20000000</v>
      </c>
      <c r="P33" s="43">
        <f>SBLEE!P33+FNA!P33</f>
        <v>20000000</v>
      </c>
      <c r="Q33" s="34">
        <f>SUM(N33:P33)</f>
        <v>60000000</v>
      </c>
      <c r="R33" s="43">
        <f>SBLEE!R33+FNA!R33</f>
        <v>20000000</v>
      </c>
      <c r="S33" s="43">
        <f>SBLEE!S33+FNA!S33</f>
        <v>20000000</v>
      </c>
      <c r="T33" s="43">
        <f>SBLEE!T33+FNA!T33</f>
        <v>20000000</v>
      </c>
      <c r="U33" s="34">
        <f>SUM(R33:T33)</f>
        <v>60000000</v>
      </c>
      <c r="V33" s="34">
        <f t="shared" ref="V33:V37" si="21">I33+M33+Q33+U33</f>
        <v>240000000</v>
      </c>
    </row>
    <row r="34" spans="1:22" ht="13.15" outlineLevel="2">
      <c r="A34" s="22"/>
      <c r="B34" s="22"/>
      <c r="C34" s="22"/>
      <c r="D34" s="25" t="s">
        <v>73</v>
      </c>
      <c r="F34" s="43">
        <f>SBLEE!F34+FNA!F34</f>
        <v>0</v>
      </c>
      <c r="G34" s="43">
        <f>SBLEE!G34+FNA!G34</f>
        <v>0</v>
      </c>
      <c r="H34" s="43">
        <f>SBLEE!H34+FNA!H34</f>
        <v>0</v>
      </c>
      <c r="I34" s="34">
        <f t="shared" ref="I34:I36" si="22">SUM(F34:H34)</f>
        <v>0</v>
      </c>
      <c r="J34" s="43">
        <f>SBLEE!J34+FNA!J34</f>
        <v>0</v>
      </c>
      <c r="K34" s="43">
        <f>SBLEE!K34+FNA!K34</f>
        <v>0</v>
      </c>
      <c r="L34" s="43">
        <f>SBLEE!L34+FNA!L34</f>
        <v>0</v>
      </c>
      <c r="M34" s="34">
        <f t="shared" ref="M34:M36" si="23">SUM(J34:L34)</f>
        <v>0</v>
      </c>
      <c r="N34" s="43">
        <f>SBLEE!N34+FNA!N34</f>
        <v>0</v>
      </c>
      <c r="O34" s="43">
        <f>SBLEE!O34+FNA!O34</f>
        <v>0</v>
      </c>
      <c r="P34" s="43">
        <f>SBLEE!P34+FNA!P34</f>
        <v>0</v>
      </c>
      <c r="Q34" s="34">
        <f t="shared" ref="Q34:Q36" si="24">SUM(N34:P34)</f>
        <v>0</v>
      </c>
      <c r="R34" s="43">
        <f>SBLEE!R34+FNA!R34</f>
        <v>0</v>
      </c>
      <c r="S34" s="43">
        <f>SBLEE!S34+FNA!S34</f>
        <v>0</v>
      </c>
      <c r="T34" s="43">
        <f>SBLEE!T34+FNA!T34</f>
        <v>0</v>
      </c>
      <c r="U34" s="34">
        <f>SUM(R34:T34)</f>
        <v>0</v>
      </c>
      <c r="V34" s="34">
        <f t="shared" si="21"/>
        <v>0</v>
      </c>
    </row>
    <row r="35" spans="1:22" ht="13.15" outlineLevel="2">
      <c r="A35" s="22"/>
      <c r="B35" s="22"/>
      <c r="C35" s="22"/>
      <c r="D35" s="25" t="s">
        <v>55</v>
      </c>
      <c r="E35" s="7">
        <v>0</v>
      </c>
      <c r="F35" s="43">
        <f>SBLEE!F35+FNA!F35</f>
        <v>0</v>
      </c>
      <c r="G35" s="43">
        <f>SBLEE!G35+FNA!G35</f>
        <v>0</v>
      </c>
      <c r="H35" s="43">
        <f>SBLEE!H35+FNA!H35</f>
        <v>0</v>
      </c>
      <c r="I35" s="34">
        <f t="shared" si="22"/>
        <v>0</v>
      </c>
      <c r="J35" s="43">
        <f>SBLEE!J35+FNA!J35</f>
        <v>0</v>
      </c>
      <c r="K35" s="43">
        <f>SBLEE!K35+FNA!K35</f>
        <v>0</v>
      </c>
      <c r="L35" s="43">
        <f>SBLEE!L35+FNA!L35</f>
        <v>0</v>
      </c>
      <c r="M35" s="34">
        <f t="shared" si="23"/>
        <v>0</v>
      </c>
      <c r="N35" s="43">
        <f>SBLEE!N35+FNA!N35</f>
        <v>0</v>
      </c>
      <c r="O35" s="43">
        <f>SBLEE!O35+FNA!O35</f>
        <v>0</v>
      </c>
      <c r="P35" s="43">
        <f>SBLEE!P35+FNA!P35</f>
        <v>0</v>
      </c>
      <c r="Q35" s="34">
        <f t="shared" si="24"/>
        <v>0</v>
      </c>
      <c r="R35" s="43">
        <f>SBLEE!R35+FNA!R35</f>
        <v>0</v>
      </c>
      <c r="S35" s="43">
        <f>SBLEE!S35+FNA!S35</f>
        <v>0</v>
      </c>
      <c r="T35" s="43">
        <f>SBLEE!T35+FNA!T35</f>
        <v>0</v>
      </c>
      <c r="U35" s="34">
        <f>SUM(R35:T35)</f>
        <v>0</v>
      </c>
      <c r="V35" s="34">
        <f t="shared" si="21"/>
        <v>0</v>
      </c>
    </row>
    <row r="36" spans="1:22" ht="13.15" outlineLevel="2">
      <c r="A36" s="22"/>
      <c r="B36" s="22"/>
      <c r="C36" s="22"/>
      <c r="D36" s="25" t="s">
        <v>96</v>
      </c>
      <c r="E36" s="7">
        <v>0</v>
      </c>
      <c r="F36" s="43">
        <f>SBLEE!F36+FNA!F36</f>
        <v>2000000</v>
      </c>
      <c r="G36" s="43">
        <f>SBLEE!G36+FNA!G36</f>
        <v>2000000</v>
      </c>
      <c r="H36" s="43">
        <f>SBLEE!H36+FNA!H36</f>
        <v>2000000</v>
      </c>
      <c r="I36" s="34">
        <f t="shared" si="22"/>
        <v>6000000</v>
      </c>
      <c r="J36" s="43">
        <f>SBLEE!J36+FNA!J36</f>
        <v>2000000</v>
      </c>
      <c r="K36" s="43">
        <f>SBLEE!K36+FNA!K36</f>
        <v>2000000</v>
      </c>
      <c r="L36" s="43">
        <f>SBLEE!L36+FNA!L36</f>
        <v>2000000</v>
      </c>
      <c r="M36" s="34">
        <f t="shared" si="23"/>
        <v>6000000</v>
      </c>
      <c r="N36" s="43">
        <f>SBLEE!N36+FNA!N36</f>
        <v>2000000</v>
      </c>
      <c r="O36" s="43">
        <f>SBLEE!O36+FNA!O36</f>
        <v>2000000</v>
      </c>
      <c r="P36" s="43">
        <f>SBLEE!P36+FNA!P36</f>
        <v>2000000</v>
      </c>
      <c r="Q36" s="34">
        <f t="shared" si="24"/>
        <v>6000000</v>
      </c>
      <c r="R36" s="43">
        <f>SBLEE!R36+FNA!R36</f>
        <v>2000000</v>
      </c>
      <c r="S36" s="43">
        <f>SBLEE!S36+FNA!S36</f>
        <v>2000000</v>
      </c>
      <c r="T36" s="43">
        <f>SBLEE!T36+FNA!T36</f>
        <v>2000000</v>
      </c>
      <c r="U36" s="34">
        <f>SUM(R36:T36)</f>
        <v>6000000</v>
      </c>
      <c r="V36" s="34">
        <f t="shared" si="21"/>
        <v>24000000</v>
      </c>
    </row>
    <row r="37" spans="1:22" ht="13.15" outlineLevel="1">
      <c r="A37" s="24"/>
      <c r="B37" s="24" t="s">
        <v>0</v>
      </c>
      <c r="C37" s="24"/>
      <c r="D37" s="24"/>
      <c r="E37" s="8"/>
      <c r="F37" s="44">
        <f t="shared" ref="F37:U37" si="25">SUM(F33:F36)</f>
        <v>22000000</v>
      </c>
      <c r="G37" s="44">
        <f t="shared" ref="G37:H37" si="26">SUM(G33:G36)</f>
        <v>22000000</v>
      </c>
      <c r="H37" s="44">
        <f t="shared" si="26"/>
        <v>22000000</v>
      </c>
      <c r="I37" s="35">
        <f t="shared" si="25"/>
        <v>66000000</v>
      </c>
      <c r="J37" s="44">
        <f t="shared" ref="J37:L37" si="27">SUM(J33:J36)</f>
        <v>22000000</v>
      </c>
      <c r="K37" s="44">
        <f t="shared" si="27"/>
        <v>22000000</v>
      </c>
      <c r="L37" s="44">
        <f t="shared" si="27"/>
        <v>22000000</v>
      </c>
      <c r="M37" s="35">
        <f t="shared" si="25"/>
        <v>66000000</v>
      </c>
      <c r="N37" s="44">
        <f t="shared" ref="N37:P37" si="28">SUM(N33:N36)</f>
        <v>22000000</v>
      </c>
      <c r="O37" s="44">
        <f t="shared" si="28"/>
        <v>22000000</v>
      </c>
      <c r="P37" s="44">
        <f t="shared" si="28"/>
        <v>22000000</v>
      </c>
      <c r="Q37" s="35">
        <f t="shared" si="25"/>
        <v>66000000</v>
      </c>
      <c r="R37" s="44">
        <f t="shared" ref="R37:T37" si="29">SUM(R33:R36)</f>
        <v>22000000</v>
      </c>
      <c r="S37" s="44">
        <f t="shared" si="29"/>
        <v>22000000</v>
      </c>
      <c r="T37" s="44">
        <f t="shared" si="29"/>
        <v>22000000</v>
      </c>
      <c r="U37" s="35">
        <f t="shared" si="25"/>
        <v>66000000</v>
      </c>
      <c r="V37" s="35">
        <f t="shared" si="21"/>
        <v>264000000</v>
      </c>
    </row>
    <row r="38" spans="1:22" ht="13.15" outlineLevel="2">
      <c r="A38" s="22"/>
      <c r="B38" s="22"/>
      <c r="C38" s="23" t="s">
        <v>38</v>
      </c>
      <c r="D38" s="22"/>
      <c r="F38" s="43"/>
      <c r="G38" s="43"/>
      <c r="H38" s="43"/>
      <c r="I38" s="34"/>
      <c r="J38" s="43"/>
      <c r="K38" s="43"/>
      <c r="L38" s="43"/>
      <c r="M38" s="34"/>
      <c r="N38" s="43"/>
      <c r="O38" s="43"/>
      <c r="P38" s="43"/>
      <c r="Q38" s="34"/>
      <c r="R38" s="43"/>
      <c r="S38" s="43"/>
      <c r="T38" s="43"/>
      <c r="U38" s="34"/>
      <c r="V38" s="34"/>
    </row>
    <row r="39" spans="1:22" ht="13.15" outlineLevel="2">
      <c r="A39" s="22"/>
      <c r="B39" s="22"/>
      <c r="C39" s="22"/>
      <c r="D39" s="25" t="s">
        <v>30</v>
      </c>
      <c r="E39" s="7">
        <v>0</v>
      </c>
      <c r="F39" s="43">
        <f>SBLEE!F39+FNA!F39</f>
        <v>600000</v>
      </c>
      <c r="G39" s="43">
        <f>SBLEE!G39+FNA!G39</f>
        <v>600000</v>
      </c>
      <c r="H39" s="43">
        <f>SBLEE!H39+FNA!H39</f>
        <v>600000</v>
      </c>
      <c r="I39" s="34">
        <f t="shared" ref="I39" si="30">SUM(F39:H39)</f>
        <v>1800000</v>
      </c>
      <c r="J39" s="43">
        <f>SBLEE!J39+FNA!J39</f>
        <v>600000</v>
      </c>
      <c r="K39" s="43">
        <f>SBLEE!K39+FNA!K39</f>
        <v>600000</v>
      </c>
      <c r="L39" s="43">
        <f>SBLEE!L39+FNA!L39</f>
        <v>600000</v>
      </c>
      <c r="M39" s="34">
        <f t="shared" ref="M39" si="31">SUM(J39:L39)</f>
        <v>1800000</v>
      </c>
      <c r="N39" s="43">
        <f>SBLEE!N39+FNA!N39</f>
        <v>600000</v>
      </c>
      <c r="O39" s="43">
        <f>SBLEE!O39+FNA!O39</f>
        <v>600000</v>
      </c>
      <c r="P39" s="43">
        <f>SBLEE!P39+FNA!P39</f>
        <v>600000</v>
      </c>
      <c r="Q39" s="34">
        <f t="shared" ref="Q39" si="32">SUM(N39:P39)</f>
        <v>1800000</v>
      </c>
      <c r="R39" s="43">
        <f>SBLEE!R39+FNA!R39</f>
        <v>600000</v>
      </c>
      <c r="S39" s="43">
        <f>SBLEE!S39+FNA!S39</f>
        <v>600000</v>
      </c>
      <c r="T39" s="43">
        <f>SBLEE!T39+FNA!T39</f>
        <v>600000</v>
      </c>
      <c r="U39" s="34">
        <f t="shared" ref="U39:U50" si="33">SUM(R39:T39)</f>
        <v>1800000</v>
      </c>
      <c r="V39" s="34">
        <f t="shared" ref="V39:V53" si="34">I39+M39+Q39+U39</f>
        <v>7200000</v>
      </c>
    </row>
    <row r="40" spans="1:22" ht="13.15" outlineLevel="2">
      <c r="A40" s="22"/>
      <c r="B40" s="22"/>
      <c r="C40" s="22"/>
      <c r="D40" s="25" t="s">
        <v>31</v>
      </c>
      <c r="E40" s="7">
        <v>0</v>
      </c>
      <c r="F40" s="43">
        <f>SBLEE!F40+FNA!F40</f>
        <v>600000</v>
      </c>
      <c r="G40" s="43">
        <f>SBLEE!G40+FNA!G40</f>
        <v>600000</v>
      </c>
      <c r="H40" s="43">
        <f>SBLEE!H40+FNA!H40</f>
        <v>600000</v>
      </c>
      <c r="I40" s="34">
        <f t="shared" ref="I40:I50" si="35">SUM(F40:H40)</f>
        <v>1800000</v>
      </c>
      <c r="J40" s="43">
        <f>SBLEE!J40+FNA!J40</f>
        <v>600000</v>
      </c>
      <c r="K40" s="43">
        <f>SBLEE!K40+FNA!K40</f>
        <v>600000</v>
      </c>
      <c r="L40" s="43">
        <f>SBLEE!L40+FNA!L40</f>
        <v>600000</v>
      </c>
      <c r="M40" s="34">
        <f t="shared" ref="M40:M50" si="36">SUM(J40:L40)</f>
        <v>1800000</v>
      </c>
      <c r="N40" s="43">
        <f>SBLEE!N40+FNA!N40</f>
        <v>600000</v>
      </c>
      <c r="O40" s="43">
        <f>SBLEE!O40+FNA!O40</f>
        <v>600000</v>
      </c>
      <c r="P40" s="43">
        <f>SBLEE!P40+FNA!P40</f>
        <v>600000</v>
      </c>
      <c r="Q40" s="34">
        <f t="shared" ref="Q40:Q50" si="37">SUM(N40:P40)</f>
        <v>1800000</v>
      </c>
      <c r="R40" s="43">
        <f>SBLEE!R40+FNA!R40</f>
        <v>600000</v>
      </c>
      <c r="S40" s="43">
        <f>SBLEE!S40+FNA!S40</f>
        <v>600000</v>
      </c>
      <c r="T40" s="43">
        <f>SBLEE!T40+FNA!T40</f>
        <v>600000</v>
      </c>
      <c r="U40" s="34">
        <f t="shared" si="33"/>
        <v>1800000</v>
      </c>
      <c r="V40" s="34">
        <f t="shared" si="34"/>
        <v>7200000</v>
      </c>
    </row>
    <row r="41" spans="1:22" ht="13.15" outlineLevel="2">
      <c r="A41" s="22"/>
      <c r="B41" s="22"/>
      <c r="C41" s="22"/>
      <c r="D41" s="25" t="s">
        <v>32</v>
      </c>
      <c r="E41" s="7">
        <v>0</v>
      </c>
      <c r="F41" s="43">
        <f>SBLEE!F41+FNA!F41</f>
        <v>200000</v>
      </c>
      <c r="G41" s="43">
        <f>SBLEE!G41+FNA!G41</f>
        <v>200000</v>
      </c>
      <c r="H41" s="43">
        <f>SBLEE!H41+FNA!H41</f>
        <v>200000</v>
      </c>
      <c r="I41" s="34">
        <f t="shared" si="35"/>
        <v>600000</v>
      </c>
      <c r="J41" s="43">
        <f>SBLEE!J41+FNA!J41</f>
        <v>200000</v>
      </c>
      <c r="K41" s="43">
        <f>SBLEE!K41+FNA!K41</f>
        <v>200000</v>
      </c>
      <c r="L41" s="43">
        <f>SBLEE!L41+FNA!L41</f>
        <v>200000</v>
      </c>
      <c r="M41" s="34">
        <f t="shared" si="36"/>
        <v>600000</v>
      </c>
      <c r="N41" s="43">
        <f>SBLEE!N41+FNA!N41</f>
        <v>200000</v>
      </c>
      <c r="O41" s="43">
        <f>SBLEE!O41+FNA!O41</f>
        <v>200000</v>
      </c>
      <c r="P41" s="43">
        <f>SBLEE!P41+FNA!P41</f>
        <v>200000</v>
      </c>
      <c r="Q41" s="34">
        <f t="shared" si="37"/>
        <v>600000</v>
      </c>
      <c r="R41" s="43">
        <f>SBLEE!R41+FNA!R41</f>
        <v>200000</v>
      </c>
      <c r="S41" s="43">
        <f>SBLEE!S41+FNA!S41</f>
        <v>200000</v>
      </c>
      <c r="T41" s="43">
        <f>SBLEE!T41+FNA!T41</f>
        <v>200000</v>
      </c>
      <c r="U41" s="34">
        <f t="shared" si="33"/>
        <v>600000</v>
      </c>
      <c r="V41" s="34">
        <f t="shared" si="34"/>
        <v>2400000</v>
      </c>
    </row>
    <row r="42" spans="1:22" ht="13.15" outlineLevel="2">
      <c r="A42" s="22"/>
      <c r="B42" s="22"/>
      <c r="C42" s="22"/>
      <c r="D42" s="25" t="s">
        <v>98</v>
      </c>
      <c r="E42" s="7">
        <v>0</v>
      </c>
      <c r="F42" s="43">
        <f>SBLEE!F42+FNA!F42</f>
        <v>108000</v>
      </c>
      <c r="G42" s="43">
        <f>SBLEE!G42+FNA!G42</f>
        <v>108000</v>
      </c>
      <c r="H42" s="43">
        <f>SBLEE!H42+FNA!H42</f>
        <v>108000</v>
      </c>
      <c r="I42" s="34">
        <f t="shared" si="35"/>
        <v>324000</v>
      </c>
      <c r="J42" s="43">
        <f>SBLEE!J42+FNA!J42</f>
        <v>108000</v>
      </c>
      <c r="K42" s="43">
        <f>SBLEE!K42+FNA!K42</f>
        <v>108000</v>
      </c>
      <c r="L42" s="43">
        <f>SBLEE!L42+FNA!L42</f>
        <v>108000</v>
      </c>
      <c r="M42" s="34">
        <f t="shared" si="36"/>
        <v>324000</v>
      </c>
      <c r="N42" s="43">
        <f>SBLEE!N42+FNA!N42</f>
        <v>108000</v>
      </c>
      <c r="O42" s="43">
        <f>SBLEE!O42+FNA!O42</f>
        <v>108000</v>
      </c>
      <c r="P42" s="43">
        <f>SBLEE!P42+FNA!P42</f>
        <v>108000</v>
      </c>
      <c r="Q42" s="34">
        <f t="shared" si="37"/>
        <v>324000</v>
      </c>
      <c r="R42" s="43">
        <f>SBLEE!R42+FNA!R42</f>
        <v>108000</v>
      </c>
      <c r="S42" s="43">
        <f>SBLEE!S42+FNA!S42</f>
        <v>108000</v>
      </c>
      <c r="T42" s="43">
        <f>SBLEE!T42+FNA!T42</f>
        <v>108000</v>
      </c>
      <c r="U42" s="34">
        <f t="shared" si="33"/>
        <v>324000</v>
      </c>
      <c r="V42" s="34">
        <f t="shared" si="34"/>
        <v>1296000</v>
      </c>
    </row>
    <row r="43" spans="1:22" ht="13.15" outlineLevel="2">
      <c r="A43" s="22"/>
      <c r="B43" s="22"/>
      <c r="C43" s="22"/>
      <c r="D43" s="25" t="s">
        <v>56</v>
      </c>
      <c r="E43" s="7">
        <v>0</v>
      </c>
      <c r="F43" s="43">
        <f>SBLEE!F43+FNA!F43</f>
        <v>67000</v>
      </c>
      <c r="G43" s="43">
        <f>SBLEE!G43+FNA!G43</f>
        <v>67000</v>
      </c>
      <c r="H43" s="43">
        <f>SBLEE!H43+FNA!H43</f>
        <v>67000</v>
      </c>
      <c r="I43" s="34">
        <f t="shared" si="35"/>
        <v>201000</v>
      </c>
      <c r="J43" s="43">
        <f>SBLEE!J43+FNA!J43</f>
        <v>67000</v>
      </c>
      <c r="K43" s="43">
        <f>SBLEE!K43+FNA!K43</f>
        <v>67000</v>
      </c>
      <c r="L43" s="43">
        <f>SBLEE!L43+FNA!L43</f>
        <v>67000</v>
      </c>
      <c r="M43" s="34">
        <f t="shared" si="36"/>
        <v>201000</v>
      </c>
      <c r="N43" s="43">
        <f>SBLEE!N43+FNA!N43</f>
        <v>67000</v>
      </c>
      <c r="O43" s="43">
        <f>SBLEE!O43+FNA!O43</f>
        <v>67000</v>
      </c>
      <c r="P43" s="43">
        <f>SBLEE!P43+FNA!P43</f>
        <v>67000</v>
      </c>
      <c r="Q43" s="34">
        <f t="shared" si="37"/>
        <v>201000</v>
      </c>
      <c r="R43" s="43">
        <f>SBLEE!R43+FNA!R43</f>
        <v>67000</v>
      </c>
      <c r="S43" s="43">
        <f>SBLEE!S43+FNA!S43</f>
        <v>67000</v>
      </c>
      <c r="T43" s="43">
        <f>SBLEE!T43+FNA!T43</f>
        <v>67000</v>
      </c>
      <c r="U43" s="34">
        <f t="shared" si="33"/>
        <v>201000</v>
      </c>
      <c r="V43" s="34">
        <f t="shared" si="34"/>
        <v>804000</v>
      </c>
    </row>
    <row r="44" spans="1:22" ht="13.15" outlineLevel="2">
      <c r="A44" s="22"/>
      <c r="B44" s="22"/>
      <c r="C44" s="22"/>
      <c r="D44" s="25" t="s">
        <v>57</v>
      </c>
      <c r="F44" s="43">
        <f>SBLEE!F44+FNA!F44</f>
        <v>697000</v>
      </c>
      <c r="G44" s="43">
        <f>SBLEE!G44+FNA!G44</f>
        <v>681000</v>
      </c>
      <c r="H44" s="43">
        <f>SBLEE!H44+FNA!H44</f>
        <v>681000</v>
      </c>
      <c r="I44" s="34">
        <f t="shared" si="35"/>
        <v>2059000</v>
      </c>
      <c r="J44" s="43">
        <f>SBLEE!J44+FNA!J44</f>
        <v>681000</v>
      </c>
      <c r="K44" s="43">
        <f>SBLEE!K44+FNA!K44</f>
        <v>681000</v>
      </c>
      <c r="L44" s="43">
        <f>SBLEE!L44+FNA!L44</f>
        <v>681000</v>
      </c>
      <c r="M44" s="34">
        <f t="shared" si="36"/>
        <v>2043000</v>
      </c>
      <c r="N44" s="43">
        <f>SBLEE!N44+FNA!N44</f>
        <v>681000</v>
      </c>
      <c r="O44" s="43">
        <f>SBLEE!O44+FNA!O44</f>
        <v>681000</v>
      </c>
      <c r="P44" s="43">
        <f>SBLEE!P44+FNA!P44</f>
        <v>681000</v>
      </c>
      <c r="Q44" s="34">
        <f t="shared" si="37"/>
        <v>2043000</v>
      </c>
      <c r="R44" s="43">
        <f>SBLEE!R44+FNA!R44</f>
        <v>681000</v>
      </c>
      <c r="S44" s="43">
        <f>SBLEE!S44+FNA!S44</f>
        <v>681000</v>
      </c>
      <c r="T44" s="43">
        <f>SBLEE!T44+FNA!T44</f>
        <v>681000</v>
      </c>
      <c r="U44" s="34">
        <f t="shared" si="33"/>
        <v>2043000</v>
      </c>
      <c r="V44" s="34">
        <f t="shared" si="34"/>
        <v>8188000</v>
      </c>
    </row>
    <row r="45" spans="1:22" ht="13.15" outlineLevel="2">
      <c r="A45" s="22"/>
      <c r="B45" s="22"/>
      <c r="C45" s="22"/>
      <c r="D45" s="25" t="s">
        <v>54</v>
      </c>
      <c r="E45" s="7">
        <v>0</v>
      </c>
      <c r="F45" s="43">
        <f>SBLEE!F45+FNA!F45</f>
        <v>400000</v>
      </c>
      <c r="G45" s="43">
        <f>SBLEE!G45+FNA!G45</f>
        <v>400000</v>
      </c>
      <c r="H45" s="43">
        <f>SBLEE!H45+FNA!H45</f>
        <v>400000</v>
      </c>
      <c r="I45" s="34">
        <f t="shared" si="35"/>
        <v>1200000</v>
      </c>
      <c r="J45" s="43">
        <f>SBLEE!J45+FNA!J45</f>
        <v>400000</v>
      </c>
      <c r="K45" s="43">
        <f>SBLEE!K45+FNA!K45</f>
        <v>400000</v>
      </c>
      <c r="L45" s="43">
        <f>SBLEE!L45+FNA!L45</f>
        <v>400000</v>
      </c>
      <c r="M45" s="34">
        <f t="shared" si="36"/>
        <v>1200000</v>
      </c>
      <c r="N45" s="43">
        <f>SBLEE!N45+FNA!N45</f>
        <v>400000</v>
      </c>
      <c r="O45" s="43">
        <f>SBLEE!O45+FNA!O45</f>
        <v>400000</v>
      </c>
      <c r="P45" s="43">
        <f>SBLEE!P45+FNA!P45</f>
        <v>400000</v>
      </c>
      <c r="Q45" s="34">
        <f t="shared" si="37"/>
        <v>1200000</v>
      </c>
      <c r="R45" s="43">
        <f>SBLEE!R45+FNA!R45</f>
        <v>400000</v>
      </c>
      <c r="S45" s="43">
        <f>SBLEE!S45+FNA!S45</f>
        <v>400000</v>
      </c>
      <c r="T45" s="43">
        <f>SBLEE!T45+FNA!T45</f>
        <v>400000</v>
      </c>
      <c r="U45" s="34">
        <f t="shared" si="33"/>
        <v>1200000</v>
      </c>
      <c r="V45" s="34">
        <f t="shared" si="34"/>
        <v>4800000</v>
      </c>
    </row>
    <row r="46" spans="1:22" ht="13.15" outlineLevel="2">
      <c r="A46" s="22"/>
      <c r="B46" s="22"/>
      <c r="C46" s="22"/>
      <c r="D46" s="25" t="s">
        <v>34</v>
      </c>
      <c r="E46" s="7">
        <v>0</v>
      </c>
      <c r="F46" s="43">
        <f>SBLEE!F46+FNA!F46</f>
        <v>0</v>
      </c>
      <c r="G46" s="43">
        <f>SBLEE!G46+FNA!G46</f>
        <v>0</v>
      </c>
      <c r="H46" s="43">
        <f>SBLEE!H46+FNA!H46</f>
        <v>0</v>
      </c>
      <c r="I46" s="34">
        <f t="shared" si="35"/>
        <v>0</v>
      </c>
      <c r="J46" s="43">
        <f>SBLEE!J46+FNA!J46</f>
        <v>0</v>
      </c>
      <c r="K46" s="43">
        <f>SBLEE!K46+FNA!K46</f>
        <v>0</v>
      </c>
      <c r="L46" s="43">
        <f>SBLEE!L46+FNA!L46</f>
        <v>0</v>
      </c>
      <c r="M46" s="34">
        <f t="shared" si="36"/>
        <v>0</v>
      </c>
      <c r="N46" s="43">
        <f>SBLEE!N46+FNA!N46</f>
        <v>0</v>
      </c>
      <c r="O46" s="43">
        <f>SBLEE!O46+FNA!O46</f>
        <v>0</v>
      </c>
      <c r="P46" s="43">
        <f>SBLEE!P46+FNA!P46</f>
        <v>0</v>
      </c>
      <c r="Q46" s="34">
        <f t="shared" si="37"/>
        <v>0</v>
      </c>
      <c r="R46" s="43">
        <f>SBLEE!R46+FNA!R46</f>
        <v>0</v>
      </c>
      <c r="S46" s="43">
        <f>SBLEE!S46+FNA!S46</f>
        <v>0</v>
      </c>
      <c r="T46" s="43">
        <f>SBLEE!T46+FNA!T46</f>
        <v>0</v>
      </c>
      <c r="U46" s="34">
        <f t="shared" si="33"/>
        <v>0</v>
      </c>
      <c r="V46" s="34">
        <f t="shared" si="34"/>
        <v>0</v>
      </c>
    </row>
    <row r="47" spans="1:22" ht="13.15" outlineLevel="2">
      <c r="A47" s="22"/>
      <c r="B47" s="22"/>
      <c r="C47" s="22"/>
      <c r="D47" s="25" t="s">
        <v>65</v>
      </c>
      <c r="E47" s="7">
        <v>0</v>
      </c>
      <c r="F47" s="43">
        <f>SBLEE!F47+FNA!F47</f>
        <v>2432000</v>
      </c>
      <c r="G47" s="43">
        <f>SBLEE!G47+FNA!G47</f>
        <v>2432000</v>
      </c>
      <c r="H47" s="43">
        <f>SBLEE!H47+FNA!H47</f>
        <v>2432000</v>
      </c>
      <c r="I47" s="34">
        <f t="shared" si="35"/>
        <v>7296000</v>
      </c>
      <c r="J47" s="43">
        <f>SBLEE!J47+FNA!J47</f>
        <v>2432000</v>
      </c>
      <c r="K47" s="43">
        <f>SBLEE!K47+FNA!K47</f>
        <v>2432000</v>
      </c>
      <c r="L47" s="43">
        <f>SBLEE!L47+FNA!L47</f>
        <v>2432000</v>
      </c>
      <c r="M47" s="34">
        <f t="shared" si="36"/>
        <v>7296000</v>
      </c>
      <c r="N47" s="43">
        <f>SBLEE!N47+FNA!N47</f>
        <v>2432000</v>
      </c>
      <c r="O47" s="43">
        <f>SBLEE!O47+FNA!O47</f>
        <v>2432000</v>
      </c>
      <c r="P47" s="43">
        <f>SBLEE!P47+FNA!P47</f>
        <v>2432000</v>
      </c>
      <c r="Q47" s="34">
        <f t="shared" si="37"/>
        <v>7296000</v>
      </c>
      <c r="R47" s="43">
        <f>SBLEE!R47+FNA!R47</f>
        <v>2432000</v>
      </c>
      <c r="S47" s="43">
        <f>SBLEE!S47+FNA!S47</f>
        <v>2432000</v>
      </c>
      <c r="T47" s="43">
        <f>SBLEE!T47+FNA!T47</f>
        <v>2432000</v>
      </c>
      <c r="U47" s="34">
        <f t="shared" si="33"/>
        <v>7296000</v>
      </c>
      <c r="V47" s="34">
        <f t="shared" si="34"/>
        <v>29184000</v>
      </c>
    </row>
    <row r="48" spans="1:22" ht="13.15" outlineLevel="2">
      <c r="A48" s="22"/>
      <c r="B48" s="22"/>
      <c r="C48" s="22"/>
      <c r="D48" s="25" t="s">
        <v>64</v>
      </c>
      <c r="E48" s="7">
        <v>0</v>
      </c>
      <c r="F48" s="43">
        <f>SBLEE!F48+FNA!F48</f>
        <v>0</v>
      </c>
      <c r="G48" s="43">
        <f>SBLEE!G48+FNA!G48</f>
        <v>0</v>
      </c>
      <c r="H48" s="43">
        <f>SBLEE!H48+FNA!H48</f>
        <v>0</v>
      </c>
      <c r="I48" s="34">
        <f t="shared" si="35"/>
        <v>0</v>
      </c>
      <c r="J48" s="43">
        <f>SBLEE!J48+FNA!J48</f>
        <v>0</v>
      </c>
      <c r="K48" s="43">
        <f>SBLEE!K48+FNA!K48</f>
        <v>0</v>
      </c>
      <c r="L48" s="43">
        <f>SBLEE!L48+FNA!L48</f>
        <v>0</v>
      </c>
      <c r="M48" s="34">
        <f t="shared" si="36"/>
        <v>0</v>
      </c>
      <c r="N48" s="43">
        <f>SBLEE!N48+FNA!N48</f>
        <v>0</v>
      </c>
      <c r="O48" s="43">
        <f>SBLEE!O48+FNA!O48</f>
        <v>0</v>
      </c>
      <c r="P48" s="43">
        <f>SBLEE!P48+FNA!P48</f>
        <v>0</v>
      </c>
      <c r="Q48" s="34">
        <f t="shared" si="37"/>
        <v>0</v>
      </c>
      <c r="R48" s="43">
        <f>SBLEE!R48+FNA!R48</f>
        <v>0</v>
      </c>
      <c r="S48" s="43">
        <f>SBLEE!S48+FNA!S48</f>
        <v>0</v>
      </c>
      <c r="T48" s="43">
        <f>SBLEE!T48+FNA!T48</f>
        <v>0</v>
      </c>
      <c r="U48" s="34">
        <f t="shared" si="33"/>
        <v>0</v>
      </c>
      <c r="V48" s="34">
        <f t="shared" si="34"/>
        <v>0</v>
      </c>
    </row>
    <row r="49" spans="1:22" ht="13.15" outlineLevel="2">
      <c r="A49" s="22"/>
      <c r="B49" s="22"/>
      <c r="C49" s="22"/>
      <c r="D49" s="25" t="s">
        <v>116</v>
      </c>
      <c r="F49" s="43">
        <f>SBLEE!F49+FNA!F49</f>
        <v>155000</v>
      </c>
      <c r="G49" s="43">
        <f>SBLEE!G49+FNA!G49</f>
        <v>155000</v>
      </c>
      <c r="H49" s="43">
        <f>SBLEE!H49+FNA!H49</f>
        <v>155000</v>
      </c>
      <c r="I49" s="34">
        <f t="shared" si="35"/>
        <v>465000</v>
      </c>
      <c r="J49" s="43">
        <f>SBLEE!J49+FNA!J49</f>
        <v>155000</v>
      </c>
      <c r="K49" s="43">
        <f>SBLEE!K49+FNA!K49</f>
        <v>155000</v>
      </c>
      <c r="L49" s="43">
        <f>SBLEE!L49+FNA!L49</f>
        <v>155000</v>
      </c>
      <c r="M49" s="34">
        <f t="shared" si="36"/>
        <v>465000</v>
      </c>
      <c r="N49" s="43">
        <f>SBLEE!N49+FNA!N49</f>
        <v>155000</v>
      </c>
      <c r="O49" s="43">
        <f>SBLEE!O49+FNA!O49</f>
        <v>155000</v>
      </c>
      <c r="P49" s="43">
        <f>SBLEE!P49+FNA!P49</f>
        <v>155000</v>
      </c>
      <c r="Q49" s="34">
        <f t="shared" si="37"/>
        <v>465000</v>
      </c>
      <c r="R49" s="43">
        <f>SBLEE!R49+FNA!R49</f>
        <v>155000</v>
      </c>
      <c r="S49" s="43">
        <f>SBLEE!S49+FNA!S49</f>
        <v>155000</v>
      </c>
      <c r="T49" s="43">
        <f>SBLEE!T49+FNA!T49</f>
        <v>155000</v>
      </c>
      <c r="U49" s="34">
        <f t="shared" si="33"/>
        <v>465000</v>
      </c>
      <c r="V49" s="34">
        <f t="shared" si="34"/>
        <v>1860000</v>
      </c>
    </row>
    <row r="50" spans="1:22" ht="13.15" outlineLevel="2">
      <c r="A50" s="22"/>
      <c r="B50" s="22"/>
      <c r="C50" s="22"/>
      <c r="D50" s="25" t="s">
        <v>120</v>
      </c>
      <c r="F50" s="43">
        <f>SBLEE!F50+FNA!F50</f>
        <v>180000</v>
      </c>
      <c r="G50" s="43">
        <f>SBLEE!G50+FNA!G50</f>
        <v>180000</v>
      </c>
      <c r="H50" s="43">
        <f>SBLEE!H50+FNA!H50</f>
        <v>180000</v>
      </c>
      <c r="I50" s="34">
        <f t="shared" si="35"/>
        <v>540000</v>
      </c>
      <c r="J50" s="43">
        <f>SBLEE!J50+FNA!J50</f>
        <v>180000</v>
      </c>
      <c r="K50" s="43">
        <f>SBLEE!K50+FNA!K50</f>
        <v>180000</v>
      </c>
      <c r="L50" s="43">
        <f>SBLEE!L50+FNA!L50</f>
        <v>180000</v>
      </c>
      <c r="M50" s="34">
        <f t="shared" si="36"/>
        <v>540000</v>
      </c>
      <c r="N50" s="43">
        <f>SBLEE!N50+FNA!N50</f>
        <v>180000</v>
      </c>
      <c r="O50" s="43">
        <f>SBLEE!O50+FNA!O50</f>
        <v>180000</v>
      </c>
      <c r="P50" s="43">
        <f>SBLEE!P50+FNA!P50</f>
        <v>180000</v>
      </c>
      <c r="Q50" s="34">
        <f t="shared" si="37"/>
        <v>540000</v>
      </c>
      <c r="R50" s="43">
        <f>SBLEE!R50+FNA!R50</f>
        <v>180000</v>
      </c>
      <c r="S50" s="43">
        <f>SBLEE!S50+FNA!S50</f>
        <v>180000</v>
      </c>
      <c r="T50" s="43">
        <f>SBLEE!T50+FNA!T50</f>
        <v>180000</v>
      </c>
      <c r="U50" s="34">
        <f t="shared" si="33"/>
        <v>540000</v>
      </c>
      <c r="V50" s="34">
        <f t="shared" si="34"/>
        <v>2160000</v>
      </c>
    </row>
    <row r="51" spans="1:22" ht="13.15" outlineLevel="1">
      <c r="A51" s="24"/>
      <c r="B51" s="24" t="s">
        <v>1</v>
      </c>
      <c r="C51" s="24"/>
      <c r="D51" s="24"/>
      <c r="E51" s="8"/>
      <c r="F51" s="44">
        <f>SUM(F39:F50)</f>
        <v>5439000</v>
      </c>
      <c r="G51" s="44">
        <f>SUM(G39:G50)</f>
        <v>5423000</v>
      </c>
      <c r="H51" s="44">
        <f>SUM(H39:H50)</f>
        <v>5423000</v>
      </c>
      <c r="I51" s="35">
        <f t="shared" ref="I51" si="38">SUM(I39:I49)</f>
        <v>15745000</v>
      </c>
      <c r="J51" s="44">
        <f>SUM(J39:J50)</f>
        <v>5423000</v>
      </c>
      <c r="K51" s="44">
        <f>SUM(K39:K50)</f>
        <v>5423000</v>
      </c>
      <c r="L51" s="44">
        <f>SUM(L39:L50)</f>
        <v>5423000</v>
      </c>
      <c r="M51" s="35">
        <f t="shared" ref="M51:U51" si="39">SUM(M39:M50)</f>
        <v>16269000</v>
      </c>
      <c r="N51" s="44">
        <f>SUM(N39:N50)</f>
        <v>5423000</v>
      </c>
      <c r="O51" s="44">
        <f>SUM(O39:O50)</f>
        <v>5423000</v>
      </c>
      <c r="P51" s="44">
        <f>SUM(P39:P50)</f>
        <v>5423000</v>
      </c>
      <c r="Q51" s="35">
        <f t="shared" si="39"/>
        <v>16269000</v>
      </c>
      <c r="R51" s="44">
        <f>SUM(R39:R50)</f>
        <v>5423000</v>
      </c>
      <c r="S51" s="44">
        <f>SUM(S39:S50)</f>
        <v>5423000</v>
      </c>
      <c r="T51" s="44">
        <f>SUM(T39:T50)</f>
        <v>5423000</v>
      </c>
      <c r="U51" s="35">
        <f t="shared" si="39"/>
        <v>16269000</v>
      </c>
      <c r="V51" s="35">
        <f t="shared" si="34"/>
        <v>64552000</v>
      </c>
    </row>
    <row r="52" spans="1:22" ht="13.15" outlineLevel="1">
      <c r="A52" s="24"/>
      <c r="B52" s="24" t="s">
        <v>2</v>
      </c>
      <c r="C52" s="24"/>
      <c r="D52" s="24"/>
      <c r="E52" s="8"/>
      <c r="F52" s="44">
        <f>F37+F51</f>
        <v>27439000</v>
      </c>
      <c r="G52" s="44">
        <f>G37+G51</f>
        <v>27423000</v>
      </c>
      <c r="H52" s="44">
        <f>H37+H51</f>
        <v>27423000</v>
      </c>
      <c r="I52" s="35">
        <f>I51+I37</f>
        <v>81745000</v>
      </c>
      <c r="J52" s="44">
        <f>J37+J51</f>
        <v>27423000</v>
      </c>
      <c r="K52" s="44">
        <f>K37+K51</f>
        <v>27423000</v>
      </c>
      <c r="L52" s="44">
        <f>L37+L51</f>
        <v>27423000</v>
      </c>
      <c r="M52" s="35">
        <f>M51+M37</f>
        <v>82269000</v>
      </c>
      <c r="N52" s="44">
        <f>N37+N51</f>
        <v>27423000</v>
      </c>
      <c r="O52" s="44">
        <f>O37+O51</f>
        <v>27423000</v>
      </c>
      <c r="P52" s="44">
        <f>P37+P51</f>
        <v>27423000</v>
      </c>
      <c r="Q52" s="35">
        <f>Q51+Q37</f>
        <v>82269000</v>
      </c>
      <c r="R52" s="44">
        <f>R37+R51</f>
        <v>27423000</v>
      </c>
      <c r="S52" s="44">
        <f>S37+S51</f>
        <v>27423000</v>
      </c>
      <c r="T52" s="44">
        <f>T37+T51</f>
        <v>27423000</v>
      </c>
      <c r="U52" s="35">
        <f>U51+U37</f>
        <v>82269000</v>
      </c>
      <c r="V52" s="35">
        <f t="shared" si="34"/>
        <v>328552000</v>
      </c>
    </row>
    <row r="53" spans="1:22" s="4" customFormat="1" ht="13.15" outlineLevel="1">
      <c r="A53" s="24"/>
      <c r="B53" s="24" t="s">
        <v>3</v>
      </c>
      <c r="C53" s="24"/>
      <c r="D53" s="24"/>
      <c r="E53" s="8">
        <v>0</v>
      </c>
      <c r="F53" s="44">
        <v>0</v>
      </c>
      <c r="G53" s="44">
        <v>0</v>
      </c>
      <c r="H53" s="44">
        <v>0</v>
      </c>
      <c r="I53" s="35">
        <v>0</v>
      </c>
      <c r="J53" s="44">
        <v>0</v>
      </c>
      <c r="K53" s="44">
        <v>0</v>
      </c>
      <c r="L53" s="44">
        <v>0</v>
      </c>
      <c r="M53" s="35">
        <v>0</v>
      </c>
      <c r="N53" s="44">
        <v>0</v>
      </c>
      <c r="O53" s="44">
        <v>0</v>
      </c>
      <c r="P53" s="44">
        <v>0</v>
      </c>
      <c r="Q53" s="35">
        <v>0</v>
      </c>
      <c r="R53" s="44">
        <v>0</v>
      </c>
      <c r="S53" s="44">
        <v>0</v>
      </c>
      <c r="T53" s="44">
        <v>0</v>
      </c>
      <c r="U53" s="35">
        <v>0</v>
      </c>
      <c r="V53" s="35">
        <f t="shared" si="34"/>
        <v>0</v>
      </c>
    </row>
    <row r="54" spans="1:22" ht="13.15" outlineLevel="2">
      <c r="A54" s="22"/>
      <c r="B54" s="23" t="s">
        <v>39</v>
      </c>
      <c r="C54" s="22"/>
      <c r="D54" s="22"/>
      <c r="F54" s="43"/>
      <c r="G54" s="43"/>
      <c r="H54" s="43"/>
      <c r="I54" s="34"/>
      <c r="J54" s="43"/>
      <c r="K54" s="43"/>
      <c r="L54" s="43"/>
      <c r="M54" s="34"/>
      <c r="N54" s="43"/>
      <c r="O54" s="43"/>
      <c r="P54" s="43"/>
      <c r="Q54" s="34"/>
      <c r="R54" s="43"/>
      <c r="S54" s="43"/>
      <c r="T54" s="43"/>
      <c r="U54" s="34"/>
      <c r="V54" s="34"/>
    </row>
    <row r="55" spans="1:22" ht="13.15" outlineLevel="2">
      <c r="A55" s="22"/>
      <c r="B55" s="22"/>
      <c r="C55" s="25" t="s">
        <v>58</v>
      </c>
      <c r="D55" s="22"/>
      <c r="E55" s="7">
        <v>0</v>
      </c>
      <c r="F55" s="43">
        <f>SBLEE!F55+FNA!F55</f>
        <v>0</v>
      </c>
      <c r="G55" s="43">
        <f>SBLEE!G55+FNA!G55</f>
        <v>0</v>
      </c>
      <c r="H55" s="43">
        <f>SBLEE!H55+FNA!H55</f>
        <v>0</v>
      </c>
      <c r="I55" s="34">
        <f t="shared" ref="I55" si="40">SUM(F55:H55)</f>
        <v>0</v>
      </c>
      <c r="J55" s="43">
        <f>SBLEE!J55+FNA!J55</f>
        <v>0</v>
      </c>
      <c r="K55" s="43">
        <f>SBLEE!K55+FNA!K55</f>
        <v>0</v>
      </c>
      <c r="L55" s="43">
        <f>SBLEE!L55+FNA!L55</f>
        <v>0</v>
      </c>
      <c r="M55" s="34">
        <f t="shared" ref="M55" si="41">SUM(J55:L55)</f>
        <v>0</v>
      </c>
      <c r="N55" s="43">
        <f>SBLEE!N55+FNA!N55</f>
        <v>0</v>
      </c>
      <c r="O55" s="43">
        <f>SBLEE!O55+FNA!O55</f>
        <v>0</v>
      </c>
      <c r="P55" s="43">
        <f>SBLEE!P55+FNA!P55</f>
        <v>0</v>
      </c>
      <c r="Q55" s="34">
        <f t="shared" ref="Q55" si="42">SUM(N55:P55)</f>
        <v>0</v>
      </c>
      <c r="R55" s="43">
        <f>SBLEE!R55+FNA!R55</f>
        <v>0</v>
      </c>
      <c r="S55" s="43">
        <f>SBLEE!S55+FNA!S55</f>
        <v>0</v>
      </c>
      <c r="T55" s="43">
        <f>SBLEE!T55+FNA!T55</f>
        <v>0</v>
      </c>
      <c r="U55" s="34">
        <f t="shared" ref="U55:U65" si="43">SUM(R55:T55)</f>
        <v>0</v>
      </c>
      <c r="V55" s="34">
        <f t="shared" ref="V55:V66" si="44">I55+M55+Q55+U55</f>
        <v>0</v>
      </c>
    </row>
    <row r="56" spans="1:22" ht="13.15" outlineLevel="2">
      <c r="A56" s="22"/>
      <c r="B56" s="22"/>
      <c r="C56" s="25" t="s">
        <v>59</v>
      </c>
      <c r="D56" s="22"/>
      <c r="F56" s="43">
        <f>SBLEE!F56+FNA!F56</f>
        <v>86000</v>
      </c>
      <c r="G56" s="43">
        <f>SBLEE!G56+FNA!G56</f>
        <v>86000</v>
      </c>
      <c r="H56" s="43">
        <f>SBLEE!H56+FNA!H56</f>
        <v>86000</v>
      </c>
      <c r="I56" s="34">
        <f t="shared" ref="I56:I65" si="45">SUM(F56:H56)</f>
        <v>258000</v>
      </c>
      <c r="J56" s="43">
        <f>SBLEE!J56+FNA!J56</f>
        <v>86000</v>
      </c>
      <c r="K56" s="43">
        <f>SBLEE!K56+FNA!K56</f>
        <v>86000</v>
      </c>
      <c r="L56" s="43">
        <f>SBLEE!L56+FNA!L56</f>
        <v>86000</v>
      </c>
      <c r="M56" s="34">
        <f t="shared" ref="M56:M65" si="46">SUM(J56:L56)</f>
        <v>258000</v>
      </c>
      <c r="N56" s="43">
        <f>SBLEE!N56+FNA!N56</f>
        <v>86000</v>
      </c>
      <c r="O56" s="43">
        <f>SBLEE!O56+FNA!O56</f>
        <v>86000</v>
      </c>
      <c r="P56" s="43">
        <f>SBLEE!P56+FNA!P56</f>
        <v>86000</v>
      </c>
      <c r="Q56" s="34">
        <f t="shared" ref="Q56:Q65" si="47">SUM(N56:P56)</f>
        <v>258000</v>
      </c>
      <c r="R56" s="43">
        <f>SBLEE!R56+FNA!R56</f>
        <v>86000</v>
      </c>
      <c r="S56" s="43">
        <f>SBLEE!S56+FNA!S56</f>
        <v>86000</v>
      </c>
      <c r="T56" s="43">
        <f>SBLEE!T56+FNA!T56</f>
        <v>86000</v>
      </c>
      <c r="U56" s="34">
        <f t="shared" si="43"/>
        <v>258000</v>
      </c>
      <c r="V56" s="34">
        <f t="shared" si="44"/>
        <v>1032000</v>
      </c>
    </row>
    <row r="57" spans="1:22" ht="13.15" outlineLevel="2">
      <c r="A57" s="22"/>
      <c r="B57" s="22"/>
      <c r="C57" s="25" t="s">
        <v>60</v>
      </c>
      <c r="D57" s="22"/>
      <c r="F57" s="43">
        <f>SBLEE!F57+FNA!F57</f>
        <v>0</v>
      </c>
      <c r="G57" s="43">
        <f>SBLEE!G57+FNA!G57</f>
        <v>0</v>
      </c>
      <c r="H57" s="43">
        <f>SBLEE!H57+FNA!H57</f>
        <v>0</v>
      </c>
      <c r="I57" s="34">
        <f t="shared" si="45"/>
        <v>0</v>
      </c>
      <c r="J57" s="43">
        <f>SBLEE!J57+FNA!J57</f>
        <v>0</v>
      </c>
      <c r="K57" s="43">
        <f>SBLEE!K57+FNA!K57</f>
        <v>0</v>
      </c>
      <c r="L57" s="43">
        <f>SBLEE!L57+FNA!L57</f>
        <v>0</v>
      </c>
      <c r="M57" s="34">
        <f t="shared" si="46"/>
        <v>0</v>
      </c>
      <c r="N57" s="43">
        <f>SBLEE!N57+FNA!N57</f>
        <v>0</v>
      </c>
      <c r="O57" s="43">
        <f>SBLEE!O57+FNA!O57</f>
        <v>0</v>
      </c>
      <c r="P57" s="43">
        <f>SBLEE!P57+FNA!P57</f>
        <v>0</v>
      </c>
      <c r="Q57" s="34">
        <f t="shared" si="47"/>
        <v>0</v>
      </c>
      <c r="R57" s="43">
        <f>SBLEE!R57+FNA!R57</f>
        <v>0</v>
      </c>
      <c r="S57" s="43">
        <f>SBLEE!S57+FNA!S57</f>
        <v>0</v>
      </c>
      <c r="T57" s="43">
        <f>SBLEE!T57+FNA!T57</f>
        <v>0</v>
      </c>
      <c r="U57" s="34">
        <f t="shared" si="43"/>
        <v>0</v>
      </c>
      <c r="V57" s="34">
        <f t="shared" si="44"/>
        <v>0</v>
      </c>
    </row>
    <row r="58" spans="1:22" ht="13.15" outlineLevel="2">
      <c r="A58" s="22"/>
      <c r="B58" s="22"/>
      <c r="C58" s="25" t="s">
        <v>61</v>
      </c>
      <c r="D58" s="22"/>
      <c r="F58" s="43">
        <f>SBLEE!F58+FNA!F58</f>
        <v>259000</v>
      </c>
      <c r="G58" s="43">
        <f>SBLEE!G58+FNA!G58</f>
        <v>259000</v>
      </c>
      <c r="H58" s="43">
        <f>SBLEE!H58+FNA!H58</f>
        <v>259000</v>
      </c>
      <c r="I58" s="34">
        <f t="shared" si="45"/>
        <v>777000</v>
      </c>
      <c r="J58" s="43">
        <f>SBLEE!J58+FNA!J58</f>
        <v>259000</v>
      </c>
      <c r="K58" s="43">
        <f>SBLEE!K58+FNA!K58</f>
        <v>259000</v>
      </c>
      <c r="L58" s="43">
        <f>SBLEE!L58+FNA!L58</f>
        <v>259000</v>
      </c>
      <c r="M58" s="34">
        <f t="shared" si="46"/>
        <v>777000</v>
      </c>
      <c r="N58" s="43">
        <f>SBLEE!N58+FNA!N58</f>
        <v>259000</v>
      </c>
      <c r="O58" s="43">
        <f>SBLEE!O58+FNA!O58</f>
        <v>259000</v>
      </c>
      <c r="P58" s="43">
        <f>SBLEE!P58+FNA!P58</f>
        <v>259000</v>
      </c>
      <c r="Q58" s="34">
        <f t="shared" si="47"/>
        <v>777000</v>
      </c>
      <c r="R58" s="43">
        <f>SBLEE!R58+FNA!R58</f>
        <v>259000</v>
      </c>
      <c r="S58" s="43">
        <f>SBLEE!S58+FNA!S58</f>
        <v>259000</v>
      </c>
      <c r="T58" s="43">
        <f>SBLEE!T58+FNA!T58</f>
        <v>259000</v>
      </c>
      <c r="U58" s="34">
        <f t="shared" si="43"/>
        <v>777000</v>
      </c>
      <c r="V58" s="34">
        <f t="shared" si="44"/>
        <v>3108000</v>
      </c>
    </row>
    <row r="59" spans="1:22" ht="13.15" outlineLevel="2">
      <c r="A59" s="22"/>
      <c r="B59" s="22"/>
      <c r="C59" s="25" t="s">
        <v>62</v>
      </c>
      <c r="D59" s="22"/>
      <c r="F59" s="43">
        <f>SBLEE!F59+FNA!F59</f>
        <v>114000</v>
      </c>
      <c r="G59" s="43">
        <f>SBLEE!G59+FNA!G59</f>
        <v>114000</v>
      </c>
      <c r="H59" s="43">
        <f>SBLEE!H59+FNA!H59</f>
        <v>114000</v>
      </c>
      <c r="I59" s="34">
        <f t="shared" si="45"/>
        <v>342000</v>
      </c>
      <c r="J59" s="43">
        <f>SBLEE!J59+FNA!J59</f>
        <v>114000</v>
      </c>
      <c r="K59" s="43">
        <f>SBLEE!K59+FNA!K59</f>
        <v>114000</v>
      </c>
      <c r="L59" s="43">
        <f>SBLEE!L59+FNA!L59</f>
        <v>114000</v>
      </c>
      <c r="M59" s="34">
        <f t="shared" si="46"/>
        <v>342000</v>
      </c>
      <c r="N59" s="43">
        <f>SBLEE!N59+FNA!N59</f>
        <v>114000</v>
      </c>
      <c r="O59" s="43">
        <f>SBLEE!O59+FNA!O59</f>
        <v>114000</v>
      </c>
      <c r="P59" s="43">
        <f>SBLEE!P59+FNA!P59</f>
        <v>114000</v>
      </c>
      <c r="Q59" s="34">
        <f t="shared" si="47"/>
        <v>342000</v>
      </c>
      <c r="R59" s="43">
        <f>SBLEE!R59+FNA!R59</f>
        <v>114000</v>
      </c>
      <c r="S59" s="43">
        <f>SBLEE!S59+FNA!S59</f>
        <v>114000</v>
      </c>
      <c r="T59" s="43">
        <f>SBLEE!T59+FNA!T59</f>
        <v>114000</v>
      </c>
      <c r="U59" s="34">
        <f t="shared" si="43"/>
        <v>342000</v>
      </c>
      <c r="V59" s="34">
        <f t="shared" si="44"/>
        <v>1368000</v>
      </c>
    </row>
    <row r="60" spans="1:22" ht="13.15" outlineLevel="2">
      <c r="A60" s="22"/>
      <c r="B60" s="22"/>
      <c r="C60" s="25" t="s">
        <v>118</v>
      </c>
      <c r="D60" s="22"/>
      <c r="F60" s="43">
        <f>SBLEE!F60+FNA!F60</f>
        <v>11000</v>
      </c>
      <c r="G60" s="43">
        <f>SBLEE!G60+FNA!G60</f>
        <v>11000</v>
      </c>
      <c r="H60" s="43">
        <f>SBLEE!H60+FNA!H60</f>
        <v>11000</v>
      </c>
      <c r="I60" s="34">
        <f t="shared" si="45"/>
        <v>33000</v>
      </c>
      <c r="J60" s="43">
        <f>SBLEE!J60+FNA!J60</f>
        <v>11000</v>
      </c>
      <c r="K60" s="43">
        <f>SBLEE!K60+FNA!K60</f>
        <v>11000</v>
      </c>
      <c r="L60" s="43">
        <f>SBLEE!L60+FNA!L60</f>
        <v>11000</v>
      </c>
      <c r="M60" s="34">
        <f t="shared" si="46"/>
        <v>33000</v>
      </c>
      <c r="N60" s="43">
        <f>SBLEE!N60+FNA!N60</f>
        <v>11000</v>
      </c>
      <c r="O60" s="43">
        <f>SBLEE!O60+FNA!O60</f>
        <v>11000</v>
      </c>
      <c r="P60" s="43">
        <f>SBLEE!P60+FNA!P60</f>
        <v>11000</v>
      </c>
      <c r="Q60" s="34">
        <f t="shared" si="47"/>
        <v>33000</v>
      </c>
      <c r="R60" s="43">
        <f>SBLEE!R60+FNA!R60</f>
        <v>11000</v>
      </c>
      <c r="S60" s="43">
        <f>SBLEE!S60+FNA!S60</f>
        <v>11000</v>
      </c>
      <c r="T60" s="43">
        <f>SBLEE!T60+FNA!T60</f>
        <v>11000</v>
      </c>
      <c r="U60" s="34">
        <f t="shared" si="43"/>
        <v>33000</v>
      </c>
      <c r="V60" s="34">
        <f t="shared" si="44"/>
        <v>132000</v>
      </c>
    </row>
    <row r="61" spans="1:22" ht="13.15" outlineLevel="2">
      <c r="A61" s="22"/>
      <c r="B61" s="22"/>
      <c r="C61" s="25" t="s">
        <v>78</v>
      </c>
      <c r="D61" s="22"/>
      <c r="F61" s="43">
        <f>SBLEE!F61+FNA!F61</f>
        <v>0</v>
      </c>
      <c r="G61" s="43">
        <f>SBLEE!G61+FNA!G61</f>
        <v>0</v>
      </c>
      <c r="H61" s="43">
        <f>SBLEE!H61+FNA!H61</f>
        <v>0</v>
      </c>
      <c r="I61" s="34">
        <f t="shared" si="45"/>
        <v>0</v>
      </c>
      <c r="J61" s="43">
        <f>SBLEE!J61+FNA!J61</f>
        <v>0</v>
      </c>
      <c r="K61" s="43">
        <f>SBLEE!K61+FNA!K61</f>
        <v>0</v>
      </c>
      <c r="L61" s="43">
        <f>SBLEE!L61+FNA!L61</f>
        <v>0</v>
      </c>
      <c r="M61" s="34">
        <f t="shared" si="46"/>
        <v>0</v>
      </c>
      <c r="N61" s="43">
        <f>SBLEE!N61+FNA!N61</f>
        <v>0</v>
      </c>
      <c r="O61" s="43">
        <f>SBLEE!O61+FNA!O61</f>
        <v>0</v>
      </c>
      <c r="P61" s="43">
        <f>SBLEE!P61+FNA!P61</f>
        <v>0</v>
      </c>
      <c r="Q61" s="34">
        <f t="shared" si="47"/>
        <v>0</v>
      </c>
      <c r="R61" s="43">
        <f>SBLEE!R61+FNA!R61</f>
        <v>0</v>
      </c>
      <c r="S61" s="43">
        <f>SBLEE!S61+FNA!S61</f>
        <v>0</v>
      </c>
      <c r="T61" s="43">
        <f>SBLEE!T61+FNA!T61</f>
        <v>0</v>
      </c>
      <c r="U61" s="34">
        <f t="shared" si="43"/>
        <v>0</v>
      </c>
      <c r="V61" s="34">
        <f t="shared" si="44"/>
        <v>0</v>
      </c>
    </row>
    <row r="62" spans="1:22" ht="13.15" outlineLevel="2">
      <c r="A62" s="22"/>
      <c r="B62" s="22"/>
      <c r="C62" s="25" t="s">
        <v>28</v>
      </c>
      <c r="D62" s="22"/>
      <c r="E62" s="7">
        <v>0</v>
      </c>
      <c r="F62" s="43">
        <f>SBLEE!F62+FNA!F62</f>
        <v>0</v>
      </c>
      <c r="G62" s="43">
        <f>SBLEE!G62+FNA!G62</f>
        <v>0</v>
      </c>
      <c r="H62" s="43">
        <f>SBLEE!H62+FNA!H62</f>
        <v>0</v>
      </c>
      <c r="I62" s="34">
        <f t="shared" si="45"/>
        <v>0</v>
      </c>
      <c r="J62" s="43">
        <f>SBLEE!J62+FNA!J62</f>
        <v>0</v>
      </c>
      <c r="K62" s="43">
        <f>SBLEE!K62+FNA!K62</f>
        <v>0</v>
      </c>
      <c r="L62" s="43">
        <f>SBLEE!L62+FNA!L62</f>
        <v>0</v>
      </c>
      <c r="M62" s="34">
        <f t="shared" si="46"/>
        <v>0</v>
      </c>
      <c r="N62" s="43">
        <f>SBLEE!N62+FNA!N62</f>
        <v>0</v>
      </c>
      <c r="O62" s="43">
        <f>SBLEE!O62+FNA!O62</f>
        <v>0</v>
      </c>
      <c r="P62" s="43">
        <f>SBLEE!P62+FNA!P62</f>
        <v>0</v>
      </c>
      <c r="Q62" s="34">
        <f t="shared" si="47"/>
        <v>0</v>
      </c>
      <c r="R62" s="43">
        <f>SBLEE!R62+FNA!R62</f>
        <v>0</v>
      </c>
      <c r="S62" s="43">
        <f>SBLEE!S62+FNA!S62</f>
        <v>0</v>
      </c>
      <c r="T62" s="43">
        <f>SBLEE!T62+FNA!T62</f>
        <v>0</v>
      </c>
      <c r="U62" s="34">
        <f t="shared" si="43"/>
        <v>0</v>
      </c>
      <c r="V62" s="34">
        <f t="shared" si="44"/>
        <v>0</v>
      </c>
    </row>
    <row r="63" spans="1:22" ht="13.15" outlineLevel="2">
      <c r="A63" s="22"/>
      <c r="B63" s="22"/>
      <c r="C63" s="25" t="s">
        <v>35</v>
      </c>
      <c r="D63" s="22"/>
      <c r="E63" s="7">
        <v>0</v>
      </c>
      <c r="F63" s="43">
        <f>SBLEE!F63+FNA!F63</f>
        <v>724000</v>
      </c>
      <c r="G63" s="43">
        <f>SBLEE!G63+FNA!G63</f>
        <v>724000</v>
      </c>
      <c r="H63" s="43">
        <f>SBLEE!H63+FNA!H63</f>
        <v>724000</v>
      </c>
      <c r="I63" s="34">
        <f t="shared" si="45"/>
        <v>2172000</v>
      </c>
      <c r="J63" s="43">
        <f>SBLEE!J63+FNA!J63</f>
        <v>724000</v>
      </c>
      <c r="K63" s="43">
        <f>SBLEE!K63+FNA!K63</f>
        <v>724000</v>
      </c>
      <c r="L63" s="43">
        <f>SBLEE!L63+FNA!L63</f>
        <v>724000</v>
      </c>
      <c r="M63" s="34">
        <f t="shared" si="46"/>
        <v>2172000</v>
      </c>
      <c r="N63" s="43">
        <f>SBLEE!N63+FNA!N63</f>
        <v>724000</v>
      </c>
      <c r="O63" s="43">
        <f>SBLEE!O63+FNA!O63</f>
        <v>724000</v>
      </c>
      <c r="P63" s="43">
        <f>SBLEE!P63+FNA!P63</f>
        <v>724000</v>
      </c>
      <c r="Q63" s="34">
        <f t="shared" si="47"/>
        <v>2172000</v>
      </c>
      <c r="R63" s="43">
        <f>SBLEE!R63+FNA!R63</f>
        <v>724000</v>
      </c>
      <c r="S63" s="43">
        <f>SBLEE!S63+FNA!S63</f>
        <v>724000</v>
      </c>
      <c r="T63" s="43">
        <f>SBLEE!T63+FNA!T63</f>
        <v>724000</v>
      </c>
      <c r="U63" s="34">
        <f t="shared" si="43"/>
        <v>2172000</v>
      </c>
      <c r="V63" s="34">
        <f t="shared" si="44"/>
        <v>8688000</v>
      </c>
    </row>
    <row r="64" spans="1:22" ht="13.15" outlineLevel="2">
      <c r="A64" s="22"/>
      <c r="B64" s="22"/>
      <c r="C64" s="25" t="s">
        <v>52</v>
      </c>
      <c r="D64" s="22"/>
      <c r="E64" s="7">
        <v>0</v>
      </c>
      <c r="F64" s="43">
        <f>SBLEE!F64+FNA!F64</f>
        <v>79000</v>
      </c>
      <c r="G64" s="43">
        <f>SBLEE!G64+FNA!G64</f>
        <v>100000</v>
      </c>
      <c r="H64" s="43">
        <f>SBLEE!H64+FNA!H64</f>
        <v>100000</v>
      </c>
      <c r="I64" s="34">
        <f t="shared" si="45"/>
        <v>279000</v>
      </c>
      <c r="J64" s="43">
        <f>SBLEE!J64+FNA!J64</f>
        <v>100000</v>
      </c>
      <c r="K64" s="43">
        <f>SBLEE!K64+FNA!K64</f>
        <v>100000</v>
      </c>
      <c r="L64" s="43">
        <f>SBLEE!L64+FNA!L64</f>
        <v>100000</v>
      </c>
      <c r="M64" s="34">
        <f t="shared" si="46"/>
        <v>300000</v>
      </c>
      <c r="N64" s="43">
        <f>SBLEE!N64+FNA!N64</f>
        <v>100000</v>
      </c>
      <c r="O64" s="43">
        <f>SBLEE!O64+FNA!O64</f>
        <v>100000</v>
      </c>
      <c r="P64" s="43">
        <f>SBLEE!P64+FNA!P64</f>
        <v>100000</v>
      </c>
      <c r="Q64" s="34">
        <f t="shared" si="47"/>
        <v>300000</v>
      </c>
      <c r="R64" s="43">
        <f>SBLEE!R64+FNA!R64</f>
        <v>100000</v>
      </c>
      <c r="S64" s="43">
        <f>SBLEE!S64+FNA!S64</f>
        <v>100000</v>
      </c>
      <c r="T64" s="43">
        <f>SBLEE!T64+FNA!T64</f>
        <v>100000</v>
      </c>
      <c r="U64" s="34">
        <f t="shared" si="43"/>
        <v>300000</v>
      </c>
      <c r="V64" s="34">
        <f t="shared" si="44"/>
        <v>1179000</v>
      </c>
    </row>
    <row r="65" spans="1:22" ht="13.15" outlineLevel="2">
      <c r="A65" s="22"/>
      <c r="B65" s="22"/>
      <c r="C65" s="25" t="s">
        <v>36</v>
      </c>
      <c r="D65" s="22"/>
      <c r="E65" s="7">
        <v>0</v>
      </c>
      <c r="F65" s="43">
        <f>SBLEE!F65+FNA!F65</f>
        <v>1486000</v>
      </c>
      <c r="G65" s="43">
        <f>SBLEE!G65+FNA!G65</f>
        <v>700000</v>
      </c>
      <c r="H65" s="43">
        <f>SBLEE!H65+FNA!H65</f>
        <v>700000</v>
      </c>
      <c r="I65" s="34">
        <f t="shared" si="45"/>
        <v>2886000</v>
      </c>
      <c r="J65" s="43">
        <f>SBLEE!J65+FNA!J65</f>
        <v>700000</v>
      </c>
      <c r="K65" s="43">
        <f>SBLEE!K65+FNA!K65</f>
        <v>700000</v>
      </c>
      <c r="L65" s="43">
        <f>SBLEE!L65+FNA!L65</f>
        <v>700000</v>
      </c>
      <c r="M65" s="34">
        <f t="shared" si="46"/>
        <v>2100000</v>
      </c>
      <c r="N65" s="43">
        <f>SBLEE!N65+FNA!N65</f>
        <v>700000</v>
      </c>
      <c r="O65" s="43">
        <f>SBLEE!O65+FNA!O65</f>
        <v>700000</v>
      </c>
      <c r="P65" s="43">
        <f>SBLEE!P65+FNA!P65</f>
        <v>700000</v>
      </c>
      <c r="Q65" s="34">
        <f t="shared" si="47"/>
        <v>2100000</v>
      </c>
      <c r="R65" s="43">
        <f>SBLEE!R65+FNA!R65</f>
        <v>700000</v>
      </c>
      <c r="S65" s="43">
        <f>SBLEE!S65+FNA!S65</f>
        <v>700000</v>
      </c>
      <c r="T65" s="43">
        <f>SBLEE!T65+FNA!T65</f>
        <v>700000</v>
      </c>
      <c r="U65" s="34">
        <f t="shared" si="43"/>
        <v>2100000</v>
      </c>
      <c r="V65" s="34">
        <f t="shared" si="44"/>
        <v>9186000</v>
      </c>
    </row>
    <row r="66" spans="1:22" ht="13.15" outlineLevel="1">
      <c r="A66" s="24"/>
      <c r="B66" s="24" t="s">
        <v>4</v>
      </c>
      <c r="C66" s="24"/>
      <c r="D66" s="24"/>
      <c r="E66" s="8"/>
      <c r="F66" s="44">
        <f t="shared" ref="F66:U66" si="48">SUM(F55:F65)</f>
        <v>2759000</v>
      </c>
      <c r="G66" s="44">
        <f t="shared" ref="G66:H66" si="49">SUM(G55:G65)</f>
        <v>1994000</v>
      </c>
      <c r="H66" s="44">
        <f t="shared" si="49"/>
        <v>1994000</v>
      </c>
      <c r="I66" s="35">
        <f t="shared" si="48"/>
        <v>6747000</v>
      </c>
      <c r="J66" s="44">
        <f t="shared" ref="J66:L66" si="50">SUM(J55:J65)</f>
        <v>1994000</v>
      </c>
      <c r="K66" s="44">
        <f t="shared" si="50"/>
        <v>1994000</v>
      </c>
      <c r="L66" s="44">
        <f t="shared" si="50"/>
        <v>1994000</v>
      </c>
      <c r="M66" s="35">
        <f t="shared" si="48"/>
        <v>5982000</v>
      </c>
      <c r="N66" s="44">
        <f t="shared" ref="N66:P66" si="51">SUM(N55:N65)</f>
        <v>1994000</v>
      </c>
      <c r="O66" s="44">
        <f t="shared" si="51"/>
        <v>1994000</v>
      </c>
      <c r="P66" s="44">
        <f t="shared" si="51"/>
        <v>1994000</v>
      </c>
      <c r="Q66" s="35">
        <f t="shared" si="48"/>
        <v>5982000</v>
      </c>
      <c r="R66" s="44">
        <f t="shared" ref="R66:T66" si="52">SUM(R55:R65)</f>
        <v>1994000</v>
      </c>
      <c r="S66" s="44">
        <f t="shared" si="52"/>
        <v>1994000</v>
      </c>
      <c r="T66" s="44">
        <f t="shared" si="52"/>
        <v>1994000</v>
      </c>
      <c r="U66" s="35">
        <f t="shared" si="48"/>
        <v>5982000</v>
      </c>
      <c r="V66" s="35">
        <f t="shared" si="44"/>
        <v>24693000</v>
      </c>
    </row>
    <row r="67" spans="1:22" ht="13.15" outlineLevel="2">
      <c r="A67" s="24"/>
      <c r="B67" s="26" t="s">
        <v>5</v>
      </c>
      <c r="C67" s="27"/>
      <c r="D67" s="27"/>
      <c r="E67" s="9"/>
      <c r="F67" s="43"/>
      <c r="G67" s="43"/>
      <c r="H67" s="43"/>
      <c r="I67" s="36"/>
      <c r="J67" s="43"/>
      <c r="K67" s="43"/>
      <c r="L67" s="43"/>
      <c r="M67" s="36"/>
      <c r="N67" s="43"/>
      <c r="O67" s="43"/>
      <c r="P67" s="43"/>
      <c r="Q67" s="36"/>
      <c r="R67" s="43"/>
      <c r="S67" s="43"/>
      <c r="T67" s="43"/>
      <c r="U67" s="36"/>
      <c r="V67" s="35" t="s">
        <v>86</v>
      </c>
    </row>
    <row r="68" spans="1:22" ht="13.15" outlineLevel="2">
      <c r="A68" s="24"/>
      <c r="B68" s="27"/>
      <c r="C68" s="28" t="s">
        <v>47</v>
      </c>
      <c r="D68" s="27"/>
      <c r="E68" s="9">
        <v>0</v>
      </c>
      <c r="F68" s="43">
        <f>SBLEE!F68+FNA!F68</f>
        <v>152000</v>
      </c>
      <c r="G68" s="43">
        <f>SBLEE!G68+FNA!G68</f>
        <v>152000</v>
      </c>
      <c r="H68" s="43">
        <f>SBLEE!H68+FNA!H68</f>
        <v>152000</v>
      </c>
      <c r="I68" s="34">
        <f t="shared" ref="I68" si="53">SUM(F68:H68)</f>
        <v>456000</v>
      </c>
      <c r="J68" s="43">
        <f>SBLEE!J68+FNA!J68</f>
        <v>152000</v>
      </c>
      <c r="K68" s="43">
        <f>SBLEE!K68+FNA!K68</f>
        <v>152000</v>
      </c>
      <c r="L68" s="43">
        <f>SBLEE!L68+FNA!L68</f>
        <v>152000</v>
      </c>
      <c r="M68" s="34">
        <f t="shared" ref="M68" si="54">SUM(J68:L68)</f>
        <v>456000</v>
      </c>
      <c r="N68" s="43">
        <f>SBLEE!N68+FNA!N68</f>
        <v>152000</v>
      </c>
      <c r="O68" s="43">
        <f>SBLEE!O68+FNA!O68</f>
        <v>152000</v>
      </c>
      <c r="P68" s="43">
        <f>SBLEE!P68+FNA!P68</f>
        <v>152000</v>
      </c>
      <c r="Q68" s="34">
        <f t="shared" ref="Q68" si="55">SUM(N68:P68)</f>
        <v>456000</v>
      </c>
      <c r="R68" s="43">
        <f>SBLEE!R68+FNA!R68</f>
        <v>152000</v>
      </c>
      <c r="S68" s="43">
        <f>SBLEE!S68+FNA!S68</f>
        <v>152000</v>
      </c>
      <c r="T68" s="43">
        <f>SBLEE!T68+FNA!T68</f>
        <v>152000</v>
      </c>
      <c r="U68" s="34">
        <f>SUM(R68:T68)</f>
        <v>456000</v>
      </c>
      <c r="V68" s="34">
        <f>I68+M68+Q68+U68</f>
        <v>1824000</v>
      </c>
    </row>
    <row r="69" spans="1:22" ht="13.15" outlineLevel="2">
      <c r="A69" s="24"/>
      <c r="B69" s="27"/>
      <c r="C69" s="28" t="s">
        <v>48</v>
      </c>
      <c r="D69" s="27"/>
      <c r="E69" s="9">
        <v>0</v>
      </c>
      <c r="F69" s="43">
        <f>SBLEE!F69+FNA!F69</f>
        <v>0</v>
      </c>
      <c r="G69" s="43">
        <f>SBLEE!G69+FNA!G69</f>
        <v>0</v>
      </c>
      <c r="H69" s="43">
        <f>SBLEE!H69+FNA!H69</f>
        <v>0</v>
      </c>
      <c r="I69" s="34">
        <f t="shared" ref="I69:I70" si="56">SUM(F69:H69)</f>
        <v>0</v>
      </c>
      <c r="J69" s="43">
        <f>SBLEE!J69+FNA!J69</f>
        <v>0</v>
      </c>
      <c r="K69" s="43">
        <f>SBLEE!K69+FNA!K69</f>
        <v>0</v>
      </c>
      <c r="L69" s="43">
        <f>SBLEE!L69+FNA!L69</f>
        <v>0</v>
      </c>
      <c r="M69" s="34">
        <f t="shared" ref="M69:M70" si="57">SUM(J69:L69)</f>
        <v>0</v>
      </c>
      <c r="N69" s="43">
        <f>SBLEE!N69+FNA!N69</f>
        <v>0</v>
      </c>
      <c r="O69" s="43">
        <f>SBLEE!O69+FNA!O69</f>
        <v>0</v>
      </c>
      <c r="P69" s="43">
        <f>SBLEE!P69+FNA!P69</f>
        <v>0</v>
      </c>
      <c r="Q69" s="34">
        <f t="shared" ref="Q69:Q70" si="58">SUM(N69:P69)</f>
        <v>0</v>
      </c>
      <c r="R69" s="43">
        <f>SBLEE!R69+FNA!R69</f>
        <v>0</v>
      </c>
      <c r="S69" s="43">
        <f>SBLEE!S69+FNA!S69</f>
        <v>0</v>
      </c>
      <c r="T69" s="43">
        <f>SBLEE!T69+FNA!T69</f>
        <v>0</v>
      </c>
      <c r="U69" s="34">
        <f>SUM(R69:T69)</f>
        <v>0</v>
      </c>
      <c r="V69" s="34">
        <f>I69+M69+Q69+U69</f>
        <v>0</v>
      </c>
    </row>
    <row r="70" spans="1:22" ht="13.15" outlineLevel="2">
      <c r="A70" s="24"/>
      <c r="B70" s="27"/>
      <c r="C70" s="28" t="s">
        <v>26</v>
      </c>
      <c r="D70" s="27"/>
      <c r="E70" s="9">
        <v>0</v>
      </c>
      <c r="F70" s="43">
        <f>SBLEE!F70+FNA!F70</f>
        <v>0</v>
      </c>
      <c r="G70" s="43">
        <f>SBLEE!G70+FNA!G70</f>
        <v>0</v>
      </c>
      <c r="H70" s="43">
        <f>SBLEE!H70+FNA!H70</f>
        <v>0</v>
      </c>
      <c r="I70" s="34">
        <f t="shared" si="56"/>
        <v>0</v>
      </c>
      <c r="J70" s="43">
        <f>SBLEE!J70+FNA!J70</f>
        <v>0</v>
      </c>
      <c r="K70" s="43">
        <f>SBLEE!K70+FNA!K70</f>
        <v>0</v>
      </c>
      <c r="L70" s="43">
        <f>SBLEE!L70+FNA!L70</f>
        <v>0</v>
      </c>
      <c r="M70" s="34">
        <f t="shared" si="57"/>
        <v>0</v>
      </c>
      <c r="N70" s="43">
        <f>SBLEE!N70+FNA!N70</f>
        <v>0</v>
      </c>
      <c r="O70" s="43">
        <f>SBLEE!O70+FNA!O70</f>
        <v>0</v>
      </c>
      <c r="P70" s="43">
        <f>SBLEE!P70+FNA!P70</f>
        <v>0</v>
      </c>
      <c r="Q70" s="34">
        <f t="shared" si="58"/>
        <v>0</v>
      </c>
      <c r="R70" s="43">
        <f>SBLEE!R70+FNA!R70</f>
        <v>0</v>
      </c>
      <c r="S70" s="43">
        <f>SBLEE!S70+FNA!S70</f>
        <v>0</v>
      </c>
      <c r="T70" s="43">
        <f>SBLEE!T70+FNA!T70</f>
        <v>0</v>
      </c>
      <c r="U70" s="34">
        <f>SUM(R70:T70)</f>
        <v>0</v>
      </c>
      <c r="V70" s="34">
        <f>I70+M70+Q70+U70</f>
        <v>0</v>
      </c>
    </row>
    <row r="71" spans="1:22" ht="13.15" outlineLevel="1">
      <c r="A71" s="24"/>
      <c r="B71" s="29" t="s">
        <v>6</v>
      </c>
      <c r="C71" s="30"/>
      <c r="D71" s="30"/>
      <c r="E71" s="10"/>
      <c r="F71" s="45">
        <f>SUM(F68:F70)</f>
        <v>152000</v>
      </c>
      <c r="G71" s="45">
        <f>SUM(G68:G70)</f>
        <v>152000</v>
      </c>
      <c r="H71" s="45">
        <f>SUM(H68:H70)</f>
        <v>152000</v>
      </c>
      <c r="I71" s="35">
        <f t="shared" ref="I71:U71" si="59">SUM(I68:I70)</f>
        <v>456000</v>
      </c>
      <c r="J71" s="45">
        <f>SUM(J68:J70)</f>
        <v>152000</v>
      </c>
      <c r="K71" s="45">
        <f>SUM(K68:K70)</f>
        <v>152000</v>
      </c>
      <c r="L71" s="45">
        <f>SUM(L68:L70)</f>
        <v>152000</v>
      </c>
      <c r="M71" s="35">
        <f t="shared" si="59"/>
        <v>456000</v>
      </c>
      <c r="N71" s="45">
        <f>SUM(N68:N70)</f>
        <v>152000</v>
      </c>
      <c r="O71" s="45">
        <f>SUM(O68:O70)</f>
        <v>152000</v>
      </c>
      <c r="P71" s="45">
        <f>SUM(P68:P70)</f>
        <v>152000</v>
      </c>
      <c r="Q71" s="35">
        <f t="shared" si="59"/>
        <v>456000</v>
      </c>
      <c r="R71" s="45">
        <f>SUM(R68:R70)</f>
        <v>152000</v>
      </c>
      <c r="S71" s="45">
        <f>SUM(S68:S70)</f>
        <v>152000</v>
      </c>
      <c r="T71" s="45">
        <f>SUM(T68:T70)</f>
        <v>152000</v>
      </c>
      <c r="U71" s="35">
        <f t="shared" si="59"/>
        <v>456000</v>
      </c>
      <c r="V71" s="35">
        <f>I71+M71+Q71+U71</f>
        <v>1824000</v>
      </c>
    </row>
    <row r="72" spans="1:22" ht="13.15" outlineLevel="2">
      <c r="A72" s="24"/>
      <c r="B72" s="26" t="s">
        <v>7</v>
      </c>
      <c r="C72" s="27"/>
      <c r="D72" s="27"/>
      <c r="E72" s="9"/>
      <c r="F72" s="43"/>
      <c r="G72" s="43"/>
      <c r="H72" s="43"/>
      <c r="I72" s="36"/>
      <c r="J72" s="43"/>
      <c r="K72" s="43"/>
      <c r="L72" s="43"/>
      <c r="M72" s="36"/>
      <c r="N72" s="43"/>
      <c r="O72" s="43"/>
      <c r="P72" s="43"/>
      <c r="Q72" s="36"/>
      <c r="R72" s="43"/>
      <c r="S72" s="43"/>
      <c r="T72" s="43"/>
      <c r="U72" s="36"/>
      <c r="V72" s="36"/>
    </row>
    <row r="73" spans="1:22" ht="13.15" outlineLevel="2">
      <c r="A73" s="24"/>
      <c r="B73" s="27"/>
      <c r="C73" s="28" t="s">
        <v>40</v>
      </c>
      <c r="D73" s="27"/>
      <c r="E73" s="9">
        <v>0</v>
      </c>
      <c r="F73" s="43">
        <f>SBLEE!F73+FNA!F73</f>
        <v>0</v>
      </c>
      <c r="G73" s="43">
        <f>SBLEE!G73+FNA!G73</f>
        <v>0</v>
      </c>
      <c r="H73" s="43">
        <f>SBLEE!H73+FNA!H73</f>
        <v>0</v>
      </c>
      <c r="I73" s="34">
        <f t="shared" ref="I73" si="60">SUM(F73:H73)</f>
        <v>0</v>
      </c>
      <c r="J73" s="43">
        <f>SBLEE!J73+FNA!J73</f>
        <v>0</v>
      </c>
      <c r="K73" s="43">
        <f>SBLEE!K73+FNA!K73</f>
        <v>0</v>
      </c>
      <c r="L73" s="43">
        <f>SBLEE!L73+FNA!L73</f>
        <v>0</v>
      </c>
      <c r="M73" s="34">
        <f t="shared" ref="M73" si="61">SUM(J73:L73)</f>
        <v>0</v>
      </c>
      <c r="N73" s="43">
        <f>SBLEE!N73+FNA!N73</f>
        <v>0</v>
      </c>
      <c r="O73" s="43">
        <f>SBLEE!O73+FNA!O73</f>
        <v>0</v>
      </c>
      <c r="P73" s="43">
        <f>SBLEE!P73+FNA!P73</f>
        <v>0</v>
      </c>
      <c r="Q73" s="34">
        <f t="shared" ref="Q73" si="62">SUM(N73:P73)</f>
        <v>0</v>
      </c>
      <c r="R73" s="43">
        <f>SBLEE!R73+FNA!R73</f>
        <v>0</v>
      </c>
      <c r="S73" s="43">
        <f>SBLEE!S73+FNA!S73</f>
        <v>0</v>
      </c>
      <c r="T73" s="43">
        <f>SBLEE!T73+FNA!T73</f>
        <v>0</v>
      </c>
      <c r="U73" s="34">
        <f>SUM(R73:T73)</f>
        <v>0</v>
      </c>
      <c r="V73" s="34">
        <f>I73+M73+Q73+U73</f>
        <v>0</v>
      </c>
    </row>
    <row r="74" spans="1:22" ht="13.15" outlineLevel="2">
      <c r="A74" s="24"/>
      <c r="B74" s="27"/>
      <c r="C74" s="27" t="s">
        <v>8</v>
      </c>
      <c r="D74" s="27"/>
      <c r="E74" s="9">
        <v>0</v>
      </c>
      <c r="F74" s="43">
        <f>SBLEE!F74+FNA!F74</f>
        <v>0</v>
      </c>
      <c r="G74" s="43">
        <f>SBLEE!G74+FNA!G74</f>
        <v>0</v>
      </c>
      <c r="H74" s="43">
        <f>SBLEE!H74+FNA!H74</f>
        <v>0</v>
      </c>
      <c r="I74" s="34">
        <f t="shared" ref="I74:I75" si="63">SUM(F74:H74)</f>
        <v>0</v>
      </c>
      <c r="J74" s="43">
        <f>SBLEE!J74+FNA!J74</f>
        <v>0</v>
      </c>
      <c r="K74" s="43">
        <f>SBLEE!K74+FNA!K74</f>
        <v>0</v>
      </c>
      <c r="L74" s="43">
        <f>SBLEE!L74+FNA!L74</f>
        <v>0</v>
      </c>
      <c r="M74" s="34">
        <f t="shared" ref="M74:M75" si="64">SUM(J74:L74)</f>
        <v>0</v>
      </c>
      <c r="N74" s="43">
        <f>SBLEE!N74+FNA!N74</f>
        <v>0</v>
      </c>
      <c r="O74" s="43">
        <f>SBLEE!O74+FNA!O74</f>
        <v>0</v>
      </c>
      <c r="P74" s="43">
        <f>SBLEE!P74+FNA!P74</f>
        <v>0</v>
      </c>
      <c r="Q74" s="34">
        <f t="shared" ref="Q74:Q75" si="65">SUM(N74:P74)</f>
        <v>0</v>
      </c>
      <c r="R74" s="43">
        <f>SBLEE!R74+FNA!R74</f>
        <v>0</v>
      </c>
      <c r="S74" s="43">
        <f>SBLEE!S74+FNA!S74</f>
        <v>0</v>
      </c>
      <c r="T74" s="43">
        <f>SBLEE!T74+FNA!T74</f>
        <v>0</v>
      </c>
      <c r="U74" s="34">
        <f>SUM(R74:T74)</f>
        <v>0</v>
      </c>
      <c r="V74" s="34">
        <f>I74+M74+Q74+U74</f>
        <v>0</v>
      </c>
    </row>
    <row r="75" spans="1:22" ht="13.15" outlineLevel="2">
      <c r="A75" s="24"/>
      <c r="B75" s="27"/>
      <c r="C75" s="27" t="s">
        <v>9</v>
      </c>
      <c r="D75" s="27"/>
      <c r="E75" s="9">
        <v>0</v>
      </c>
      <c r="F75" s="43">
        <f>SBLEE!F75+FNA!F75</f>
        <v>0</v>
      </c>
      <c r="G75" s="43">
        <f>SBLEE!G75+FNA!G75</f>
        <v>0</v>
      </c>
      <c r="H75" s="43">
        <f>SBLEE!H75+FNA!H75</f>
        <v>0</v>
      </c>
      <c r="I75" s="34">
        <f t="shared" si="63"/>
        <v>0</v>
      </c>
      <c r="J75" s="43">
        <f>SBLEE!J75+FNA!J75</f>
        <v>0</v>
      </c>
      <c r="K75" s="43">
        <f>SBLEE!K75+FNA!K75</f>
        <v>0</v>
      </c>
      <c r="L75" s="43">
        <f>SBLEE!L75+FNA!L75</f>
        <v>0</v>
      </c>
      <c r="M75" s="34">
        <f t="shared" si="64"/>
        <v>0</v>
      </c>
      <c r="N75" s="43">
        <f>SBLEE!N75+FNA!N75</f>
        <v>0</v>
      </c>
      <c r="O75" s="43">
        <f>SBLEE!O75+FNA!O75</f>
        <v>0</v>
      </c>
      <c r="P75" s="43">
        <f>SBLEE!P75+FNA!P75</f>
        <v>0</v>
      </c>
      <c r="Q75" s="34">
        <f t="shared" si="65"/>
        <v>0</v>
      </c>
      <c r="R75" s="43">
        <f>SBLEE!R75+FNA!R75</f>
        <v>0</v>
      </c>
      <c r="S75" s="43">
        <f>SBLEE!S75+FNA!S75</f>
        <v>0</v>
      </c>
      <c r="T75" s="43">
        <f>SBLEE!T75+FNA!T75</f>
        <v>0</v>
      </c>
      <c r="U75" s="34">
        <f>SUM(R75:T75)</f>
        <v>0</v>
      </c>
      <c r="V75" s="34">
        <f>I75+M75+Q75+U75</f>
        <v>0</v>
      </c>
    </row>
    <row r="76" spans="1:22" ht="13.15" outlineLevel="1">
      <c r="A76" s="24"/>
      <c r="B76" s="29" t="s">
        <v>10</v>
      </c>
      <c r="C76" s="30"/>
      <c r="D76" s="30"/>
      <c r="E76" s="10"/>
      <c r="F76" s="45">
        <f t="shared" ref="F76:G76" si="66">SUM(F73:F75)</f>
        <v>0</v>
      </c>
      <c r="G76" s="45">
        <f t="shared" si="66"/>
        <v>0</v>
      </c>
      <c r="H76" s="45">
        <f t="shared" ref="H76" si="67">SUM(H73:H75)</f>
        <v>0</v>
      </c>
      <c r="I76" s="35">
        <f t="shared" ref="I76:U76" si="68">SUM(I73:I75)</f>
        <v>0</v>
      </c>
      <c r="J76" s="45">
        <f t="shared" ref="J76:L76" si="69">SUM(J73:J75)</f>
        <v>0</v>
      </c>
      <c r="K76" s="45">
        <f t="shared" si="69"/>
        <v>0</v>
      </c>
      <c r="L76" s="45">
        <f t="shared" si="69"/>
        <v>0</v>
      </c>
      <c r="M76" s="35">
        <f t="shared" si="68"/>
        <v>0</v>
      </c>
      <c r="N76" s="45">
        <f t="shared" ref="N76:P76" si="70">SUM(N73:N75)</f>
        <v>0</v>
      </c>
      <c r="O76" s="45">
        <f t="shared" si="70"/>
        <v>0</v>
      </c>
      <c r="P76" s="45">
        <f t="shared" si="70"/>
        <v>0</v>
      </c>
      <c r="Q76" s="35">
        <f t="shared" si="68"/>
        <v>0</v>
      </c>
      <c r="R76" s="45">
        <f t="shared" ref="R76:T76" si="71">SUM(R73:R75)</f>
        <v>0</v>
      </c>
      <c r="S76" s="45">
        <f t="shared" si="71"/>
        <v>0</v>
      </c>
      <c r="T76" s="45">
        <f t="shared" si="71"/>
        <v>0</v>
      </c>
      <c r="U76" s="35">
        <f t="shared" si="68"/>
        <v>0</v>
      </c>
      <c r="V76" s="35">
        <f>I76+M76+Q76+U76</f>
        <v>0</v>
      </c>
    </row>
    <row r="77" spans="1:22" ht="13.15">
      <c r="A77" s="31"/>
      <c r="B77" s="32"/>
      <c r="C77" s="31"/>
      <c r="D77" s="32" t="s">
        <v>11</v>
      </c>
      <c r="E77" s="9"/>
      <c r="F77" s="44">
        <f>F52+F53+F66+F71+F76</f>
        <v>30350000</v>
      </c>
      <c r="G77" s="44">
        <f>G52+G53+G66+G71+G76</f>
        <v>29569000</v>
      </c>
      <c r="H77" s="44">
        <f>H52+H53+H66+H71+H76</f>
        <v>29569000</v>
      </c>
      <c r="I77" s="35">
        <f>I76+I71+I66+I53+I52</f>
        <v>88948000</v>
      </c>
      <c r="J77" s="44">
        <f>J52+J53+J66+J71+J76</f>
        <v>29569000</v>
      </c>
      <c r="K77" s="44">
        <f>K52+K53+K66+K71+K76</f>
        <v>29569000</v>
      </c>
      <c r="L77" s="44">
        <f>L52+L53+L66+L71+L76</f>
        <v>29569000</v>
      </c>
      <c r="M77" s="35">
        <f>M76+M71+M66+M53+M52</f>
        <v>88707000</v>
      </c>
      <c r="N77" s="44">
        <f>N52+N53+N66+N71+N76</f>
        <v>29569000</v>
      </c>
      <c r="O77" s="44">
        <f>O52+O53+O66+O71+O76</f>
        <v>29569000</v>
      </c>
      <c r="P77" s="44">
        <f>P52+P53+P66+P71+P76</f>
        <v>29569000</v>
      </c>
      <c r="Q77" s="35">
        <f>Q76+Q71+Q66+Q53+Q52</f>
        <v>88707000</v>
      </c>
      <c r="R77" s="44">
        <f>R52+R53+R66+R71+R76</f>
        <v>29569000</v>
      </c>
      <c r="S77" s="44">
        <f>S52+S53+S66+S71+S76</f>
        <v>29569000</v>
      </c>
      <c r="T77" s="44">
        <f>T52+T53+T66+T71+T76</f>
        <v>29569000</v>
      </c>
      <c r="U77" s="35">
        <f>U76+U71+U66+U53+U52</f>
        <v>88707000</v>
      </c>
      <c r="V77" s="35">
        <f>I77+M77+Q77+U77</f>
        <v>355069000</v>
      </c>
    </row>
    <row r="78" spans="1:22" ht="13.15" outlineLevel="1">
      <c r="A78" s="32" t="s">
        <v>12</v>
      </c>
      <c r="B78" s="32"/>
      <c r="C78" s="33"/>
      <c r="D78" s="33"/>
      <c r="E78" s="9"/>
      <c r="F78" s="44"/>
      <c r="G78" s="44"/>
      <c r="H78" s="44"/>
      <c r="I78" s="35"/>
      <c r="J78" s="44"/>
      <c r="K78" s="44"/>
      <c r="L78" s="44"/>
      <c r="M78" s="35"/>
      <c r="N78" s="44"/>
      <c r="O78" s="44"/>
      <c r="P78" s="44"/>
      <c r="Q78" s="35"/>
      <c r="R78" s="44"/>
      <c r="S78" s="44"/>
      <c r="T78" s="44"/>
      <c r="U78" s="35"/>
      <c r="V78" s="35"/>
    </row>
    <row r="79" spans="1:22" ht="13.15" outlineLevel="2">
      <c r="A79" s="24"/>
      <c r="B79" s="26" t="s">
        <v>13</v>
      </c>
      <c r="C79" s="27"/>
      <c r="D79" s="27"/>
      <c r="E79" s="9"/>
      <c r="F79" s="43"/>
      <c r="G79" s="43"/>
      <c r="H79" s="43"/>
      <c r="I79" s="36"/>
      <c r="J79" s="43"/>
      <c r="K79" s="43"/>
      <c r="L79" s="43"/>
      <c r="M79" s="36"/>
      <c r="N79" s="43"/>
      <c r="O79" s="43"/>
      <c r="P79" s="43"/>
      <c r="Q79" s="36"/>
      <c r="R79" s="43"/>
      <c r="S79" s="43"/>
      <c r="T79" s="43"/>
      <c r="U79" s="36"/>
      <c r="V79" s="36"/>
    </row>
    <row r="80" spans="1:22" ht="13.15" outlineLevel="2">
      <c r="A80" s="24"/>
      <c r="B80" s="27"/>
      <c r="C80" s="28" t="s">
        <v>66</v>
      </c>
      <c r="D80" s="27"/>
      <c r="E80" s="9">
        <v>0</v>
      </c>
      <c r="F80" s="43">
        <f>SBLEE!F80+FNA!F80</f>
        <v>5300000</v>
      </c>
      <c r="G80" s="43">
        <f>SBLEE!G80+FNA!G80</f>
        <v>5300000</v>
      </c>
      <c r="H80" s="43">
        <f>SBLEE!H80+FNA!H80</f>
        <v>5300000</v>
      </c>
      <c r="I80" s="34">
        <f t="shared" ref="I80" si="72">SUM(F80:H80)</f>
        <v>15900000</v>
      </c>
      <c r="J80" s="43">
        <f>SBLEE!J80+FNA!J80</f>
        <v>5300000</v>
      </c>
      <c r="K80" s="43">
        <f>SBLEE!K80+FNA!K80</f>
        <v>5300000</v>
      </c>
      <c r="L80" s="43">
        <f>SBLEE!L80+FNA!L80</f>
        <v>5300000</v>
      </c>
      <c r="M80" s="34">
        <f t="shared" ref="M80" si="73">SUM(J80:L80)</f>
        <v>15900000</v>
      </c>
      <c r="N80" s="43">
        <f>SBLEE!N80+FNA!N80</f>
        <v>5300000</v>
      </c>
      <c r="O80" s="43">
        <f>SBLEE!O80+FNA!O80</f>
        <v>5300000</v>
      </c>
      <c r="P80" s="43">
        <f>SBLEE!P80+FNA!P80</f>
        <v>5300000</v>
      </c>
      <c r="Q80" s="34">
        <f t="shared" ref="Q80" si="74">SUM(N80:P80)</f>
        <v>15900000</v>
      </c>
      <c r="R80" s="43">
        <f>SBLEE!R80+FNA!R80</f>
        <v>5300000</v>
      </c>
      <c r="S80" s="43">
        <f>SBLEE!S80+FNA!S80</f>
        <v>5300000</v>
      </c>
      <c r="T80" s="43">
        <f>SBLEE!T80+FNA!T80</f>
        <v>5300000</v>
      </c>
      <c r="U80" s="34">
        <f t="shared" ref="U80:U87" si="75">SUM(R80:T80)</f>
        <v>15900000</v>
      </c>
      <c r="V80" s="34">
        <f t="shared" ref="V80:V89" si="76">I80+M80+Q80+U80</f>
        <v>63600000</v>
      </c>
    </row>
    <row r="81" spans="1:22" ht="13.15" outlineLevel="2">
      <c r="A81" s="24"/>
      <c r="B81" s="27"/>
      <c r="C81" s="28" t="s">
        <v>67</v>
      </c>
      <c r="D81" s="27"/>
      <c r="E81" s="9">
        <v>0</v>
      </c>
      <c r="F81" s="43">
        <f>SBLEE!F81+FNA!F81</f>
        <v>5835000</v>
      </c>
      <c r="G81" s="43">
        <f>SBLEE!G81+FNA!G81</f>
        <v>5835000</v>
      </c>
      <c r="H81" s="43">
        <f>SBLEE!H81+FNA!H81</f>
        <v>5835000</v>
      </c>
      <c r="I81" s="34">
        <f t="shared" ref="I81:I87" si="77">SUM(F81:H81)</f>
        <v>17505000</v>
      </c>
      <c r="J81" s="43">
        <f>SBLEE!J81+FNA!J81</f>
        <v>5835000</v>
      </c>
      <c r="K81" s="43">
        <f>SBLEE!K81+FNA!K81</f>
        <v>5835000</v>
      </c>
      <c r="L81" s="43">
        <f>SBLEE!L81+FNA!L81</f>
        <v>5835000</v>
      </c>
      <c r="M81" s="34">
        <f t="shared" ref="M81:M87" si="78">SUM(J81:L81)</f>
        <v>17505000</v>
      </c>
      <c r="N81" s="43">
        <f>SBLEE!N81+FNA!N81</f>
        <v>5835000</v>
      </c>
      <c r="O81" s="43">
        <f>SBLEE!O81+FNA!O81</f>
        <v>5835000</v>
      </c>
      <c r="P81" s="43">
        <f>SBLEE!P81+FNA!P81</f>
        <v>5835000</v>
      </c>
      <c r="Q81" s="34">
        <f t="shared" ref="Q81:Q87" si="79">SUM(N81:P81)</f>
        <v>17505000</v>
      </c>
      <c r="R81" s="43">
        <f>SBLEE!R81+FNA!R81</f>
        <v>5835000</v>
      </c>
      <c r="S81" s="43">
        <f>SBLEE!S81+FNA!S81</f>
        <v>5835000</v>
      </c>
      <c r="T81" s="43">
        <f>SBLEE!T81+FNA!T81</f>
        <v>5835000</v>
      </c>
      <c r="U81" s="34">
        <f t="shared" si="75"/>
        <v>17505000</v>
      </c>
      <c r="V81" s="34">
        <f t="shared" si="76"/>
        <v>70020000</v>
      </c>
    </row>
    <row r="82" spans="1:22" ht="13.15" outlineLevel="2">
      <c r="A82" s="24"/>
      <c r="B82" s="27"/>
      <c r="C82" s="28" t="s">
        <v>100</v>
      </c>
      <c r="D82" s="27"/>
      <c r="E82" s="9">
        <v>0</v>
      </c>
      <c r="F82" s="43">
        <f>SBLEE!F82+FNA!F82</f>
        <v>1570000</v>
      </c>
      <c r="G82" s="43">
        <f>SBLEE!G82+FNA!G82</f>
        <v>1570000</v>
      </c>
      <c r="H82" s="43">
        <f>SBLEE!H82+FNA!H82</f>
        <v>1570000</v>
      </c>
      <c r="I82" s="34">
        <f t="shared" si="77"/>
        <v>4710000</v>
      </c>
      <c r="J82" s="43">
        <f>SBLEE!J82+FNA!J82</f>
        <v>1570000</v>
      </c>
      <c r="K82" s="43">
        <f>SBLEE!K82+FNA!K82</f>
        <v>1570000</v>
      </c>
      <c r="L82" s="43">
        <f>SBLEE!L82+FNA!L82</f>
        <v>1570000</v>
      </c>
      <c r="M82" s="34">
        <f t="shared" si="78"/>
        <v>4710000</v>
      </c>
      <c r="N82" s="43">
        <f>SBLEE!N82+FNA!N82</f>
        <v>1570000</v>
      </c>
      <c r="O82" s="43">
        <f>SBLEE!O82+FNA!O82</f>
        <v>1570000</v>
      </c>
      <c r="P82" s="43">
        <f>SBLEE!P82+FNA!P82</f>
        <v>1570000</v>
      </c>
      <c r="Q82" s="34">
        <f t="shared" si="79"/>
        <v>4710000</v>
      </c>
      <c r="R82" s="43">
        <f>SBLEE!R82+FNA!R82</f>
        <v>1570000</v>
      </c>
      <c r="S82" s="43">
        <f>SBLEE!S82+FNA!S82</f>
        <v>1570000</v>
      </c>
      <c r="T82" s="43">
        <f>SBLEE!T82+FNA!T82</f>
        <v>1570000</v>
      </c>
      <c r="U82" s="34">
        <f t="shared" si="75"/>
        <v>4710000</v>
      </c>
      <c r="V82" s="34">
        <f t="shared" si="76"/>
        <v>18840000</v>
      </c>
    </row>
    <row r="83" spans="1:22" ht="13.15" outlineLevel="2">
      <c r="A83" s="24"/>
      <c r="B83" s="27"/>
      <c r="C83" s="28" t="s">
        <v>99</v>
      </c>
      <c r="D83" s="27"/>
      <c r="E83" s="9"/>
      <c r="F83" s="43">
        <f>SBLEE!F83+FNA!F83</f>
        <v>3848000</v>
      </c>
      <c r="G83" s="43">
        <f>SBLEE!G83+FNA!G83</f>
        <v>3848000</v>
      </c>
      <c r="H83" s="43">
        <f>SBLEE!H83+FNA!H83</f>
        <v>3848000</v>
      </c>
      <c r="I83" s="34">
        <f t="shared" si="77"/>
        <v>11544000</v>
      </c>
      <c r="J83" s="43">
        <f>SBLEE!J83+FNA!J83</f>
        <v>3848000</v>
      </c>
      <c r="K83" s="43">
        <f>SBLEE!K83+FNA!K83</f>
        <v>3848000</v>
      </c>
      <c r="L83" s="43">
        <f>SBLEE!L83+FNA!L83</f>
        <v>3848000</v>
      </c>
      <c r="M83" s="34">
        <f t="shared" si="78"/>
        <v>11544000</v>
      </c>
      <c r="N83" s="43">
        <f>SBLEE!N83+FNA!N83</f>
        <v>3848000</v>
      </c>
      <c r="O83" s="43">
        <f>SBLEE!O83+FNA!O83</f>
        <v>3848000</v>
      </c>
      <c r="P83" s="43">
        <f>SBLEE!P83+FNA!P83</f>
        <v>3848000</v>
      </c>
      <c r="Q83" s="34">
        <f t="shared" si="79"/>
        <v>11544000</v>
      </c>
      <c r="R83" s="43">
        <f>SBLEE!R83+FNA!R83</f>
        <v>3848000</v>
      </c>
      <c r="S83" s="43">
        <f>SBLEE!S83+FNA!S83</f>
        <v>3848000</v>
      </c>
      <c r="T83" s="43">
        <f>SBLEE!T83+FNA!T83</f>
        <v>3848000</v>
      </c>
      <c r="U83" s="34">
        <f t="shared" si="75"/>
        <v>11544000</v>
      </c>
      <c r="V83" s="34">
        <f t="shared" si="76"/>
        <v>46176000</v>
      </c>
    </row>
    <row r="84" spans="1:22" ht="13.15" outlineLevel="2">
      <c r="A84" s="24"/>
      <c r="B84" s="27"/>
      <c r="C84" s="28" t="s">
        <v>101</v>
      </c>
      <c r="D84" s="27"/>
      <c r="E84" s="9"/>
      <c r="F84" s="43">
        <f>SBLEE!F84+FNA!F84</f>
        <v>240000</v>
      </c>
      <c r="G84" s="43">
        <f>SBLEE!G84+FNA!G84</f>
        <v>240000</v>
      </c>
      <c r="H84" s="43">
        <f>SBLEE!H84+FNA!H84</f>
        <v>240000</v>
      </c>
      <c r="I84" s="34">
        <f t="shared" si="77"/>
        <v>720000</v>
      </c>
      <c r="J84" s="43">
        <f>SBLEE!J84+FNA!J84</f>
        <v>240000</v>
      </c>
      <c r="K84" s="43">
        <f>SBLEE!K84+FNA!K84</f>
        <v>240000</v>
      </c>
      <c r="L84" s="43">
        <f>SBLEE!L84+FNA!L84</f>
        <v>240000</v>
      </c>
      <c r="M84" s="34">
        <f t="shared" si="78"/>
        <v>720000</v>
      </c>
      <c r="N84" s="43">
        <f>SBLEE!N84+FNA!N84</f>
        <v>240000</v>
      </c>
      <c r="O84" s="43">
        <f>SBLEE!O84+FNA!O84</f>
        <v>240000</v>
      </c>
      <c r="P84" s="43">
        <f>SBLEE!P84+FNA!P84</f>
        <v>240000</v>
      </c>
      <c r="Q84" s="34">
        <f t="shared" si="79"/>
        <v>720000</v>
      </c>
      <c r="R84" s="43">
        <f>SBLEE!R84+FNA!R84</f>
        <v>240000</v>
      </c>
      <c r="S84" s="43">
        <f>SBLEE!S84+FNA!S84</f>
        <v>240000</v>
      </c>
      <c r="T84" s="43">
        <f>SBLEE!T84+FNA!T84</f>
        <v>240000</v>
      </c>
      <c r="U84" s="34">
        <f t="shared" si="75"/>
        <v>720000</v>
      </c>
      <c r="V84" s="34">
        <f t="shared" si="76"/>
        <v>2880000</v>
      </c>
    </row>
    <row r="85" spans="1:22" ht="13.15" outlineLevel="2">
      <c r="A85" s="24"/>
      <c r="B85" s="27"/>
      <c r="C85" s="28" t="s">
        <v>41</v>
      </c>
      <c r="D85" s="27"/>
      <c r="E85" s="9">
        <v>0</v>
      </c>
      <c r="F85" s="43">
        <f>SBLEE!F85+FNA!F85</f>
        <v>196000</v>
      </c>
      <c r="G85" s="43">
        <f>SBLEE!G85+FNA!G85</f>
        <v>196000</v>
      </c>
      <c r="H85" s="43">
        <f>SBLEE!H85+FNA!H85</f>
        <v>196000</v>
      </c>
      <c r="I85" s="34">
        <f t="shared" si="77"/>
        <v>588000</v>
      </c>
      <c r="J85" s="43">
        <f>SBLEE!J85+FNA!J85</f>
        <v>196000</v>
      </c>
      <c r="K85" s="43">
        <f>SBLEE!K85+FNA!K85</f>
        <v>196000</v>
      </c>
      <c r="L85" s="43">
        <f>SBLEE!L85+FNA!L85</f>
        <v>196000</v>
      </c>
      <c r="M85" s="34">
        <f t="shared" si="78"/>
        <v>588000</v>
      </c>
      <c r="N85" s="43">
        <f>SBLEE!N85+FNA!N85</f>
        <v>196000</v>
      </c>
      <c r="O85" s="43">
        <f>SBLEE!O85+FNA!O85</f>
        <v>196000</v>
      </c>
      <c r="P85" s="43">
        <f>SBLEE!P85+FNA!P85</f>
        <v>196000</v>
      </c>
      <c r="Q85" s="34">
        <f t="shared" si="79"/>
        <v>588000</v>
      </c>
      <c r="R85" s="43">
        <f>SBLEE!R85+FNA!R85</f>
        <v>196000</v>
      </c>
      <c r="S85" s="43">
        <f>SBLEE!S85+FNA!S85</f>
        <v>196000</v>
      </c>
      <c r="T85" s="43">
        <f>SBLEE!T85+FNA!T85</f>
        <v>196000</v>
      </c>
      <c r="U85" s="34">
        <f t="shared" si="75"/>
        <v>588000</v>
      </c>
      <c r="V85" s="34">
        <f t="shared" si="76"/>
        <v>2352000</v>
      </c>
    </row>
    <row r="86" spans="1:22" ht="13.15" outlineLevel="2">
      <c r="A86" s="24"/>
      <c r="B86" s="27"/>
      <c r="C86" s="28" t="s">
        <v>114</v>
      </c>
      <c r="D86" s="27"/>
      <c r="E86" s="9">
        <v>0</v>
      </c>
      <c r="F86" s="43">
        <f>SBLEE!F86+FNA!F86</f>
        <v>863000</v>
      </c>
      <c r="G86" s="43">
        <f>SBLEE!G86+FNA!G86</f>
        <v>863000</v>
      </c>
      <c r="H86" s="43">
        <f>SBLEE!H86+FNA!H86</f>
        <v>863000</v>
      </c>
      <c r="I86" s="34">
        <f t="shared" si="77"/>
        <v>2589000</v>
      </c>
      <c r="J86" s="43">
        <f>SBLEE!J86+FNA!J86</f>
        <v>863000</v>
      </c>
      <c r="K86" s="43">
        <f>SBLEE!K86+FNA!K86</f>
        <v>863000</v>
      </c>
      <c r="L86" s="43">
        <f>SBLEE!L86+FNA!L86</f>
        <v>863000</v>
      </c>
      <c r="M86" s="34">
        <f t="shared" si="78"/>
        <v>2589000</v>
      </c>
      <c r="N86" s="43">
        <f>SBLEE!N86+FNA!N86</f>
        <v>863000</v>
      </c>
      <c r="O86" s="43">
        <f>SBLEE!O86+FNA!O86</f>
        <v>863000</v>
      </c>
      <c r="P86" s="43">
        <f>SBLEE!P86+FNA!P86</f>
        <v>863000</v>
      </c>
      <c r="Q86" s="34">
        <f t="shared" si="79"/>
        <v>2589000</v>
      </c>
      <c r="R86" s="43">
        <f>SBLEE!R86+FNA!R86</f>
        <v>863000</v>
      </c>
      <c r="S86" s="43">
        <f>SBLEE!S86+FNA!S86</f>
        <v>863000</v>
      </c>
      <c r="T86" s="43">
        <f>SBLEE!T86+FNA!T86</f>
        <v>863000</v>
      </c>
      <c r="U86" s="34">
        <f t="shared" si="75"/>
        <v>2589000</v>
      </c>
      <c r="V86" s="34">
        <f t="shared" si="76"/>
        <v>10356000</v>
      </c>
    </row>
    <row r="87" spans="1:22" ht="13.15" outlineLevel="2">
      <c r="A87" s="24"/>
      <c r="B87" s="27"/>
      <c r="C87" s="28" t="s">
        <v>105</v>
      </c>
      <c r="D87" s="27"/>
      <c r="E87" s="9">
        <v>0</v>
      </c>
      <c r="F87" s="43">
        <f>SBLEE!F87+FNA!F87</f>
        <v>0</v>
      </c>
      <c r="G87" s="43">
        <f>SBLEE!G87+FNA!G87</f>
        <v>0</v>
      </c>
      <c r="H87" s="43">
        <f>SBLEE!H87+FNA!H87</f>
        <v>0</v>
      </c>
      <c r="I87" s="34">
        <f t="shared" si="77"/>
        <v>0</v>
      </c>
      <c r="J87" s="43">
        <f>SBLEE!J87+FNA!J87</f>
        <v>0</v>
      </c>
      <c r="K87" s="43">
        <f>SBLEE!K87+FNA!K87</f>
        <v>0</v>
      </c>
      <c r="L87" s="43">
        <f>SBLEE!L87+FNA!L87</f>
        <v>0</v>
      </c>
      <c r="M87" s="34">
        <f t="shared" si="78"/>
        <v>0</v>
      </c>
      <c r="N87" s="43">
        <f>SBLEE!N87+FNA!N87</f>
        <v>0</v>
      </c>
      <c r="O87" s="43">
        <f>SBLEE!O87+FNA!O87</f>
        <v>0</v>
      </c>
      <c r="P87" s="43">
        <f>SBLEE!P87+FNA!P87</f>
        <v>0</v>
      </c>
      <c r="Q87" s="34">
        <f t="shared" si="79"/>
        <v>0</v>
      </c>
      <c r="R87" s="43">
        <f>SBLEE!R87+FNA!R87</f>
        <v>0</v>
      </c>
      <c r="S87" s="43">
        <f>SBLEE!S87+FNA!S87</f>
        <v>0</v>
      </c>
      <c r="T87" s="43">
        <f>SBLEE!T87+FNA!T87</f>
        <v>0</v>
      </c>
      <c r="U87" s="34">
        <f t="shared" si="75"/>
        <v>0</v>
      </c>
      <c r="V87" s="34">
        <f t="shared" si="76"/>
        <v>0</v>
      </c>
    </row>
    <row r="88" spans="1:22" ht="13.15" outlineLevel="1">
      <c r="A88" s="24"/>
      <c r="B88" s="30" t="s">
        <v>14</v>
      </c>
      <c r="C88" s="30"/>
      <c r="D88" s="30"/>
      <c r="E88" s="10"/>
      <c r="F88" s="45">
        <f t="shared" ref="F88:G88" si="80">SUM(F80:F87)</f>
        <v>17852000</v>
      </c>
      <c r="G88" s="45">
        <f t="shared" si="80"/>
        <v>17852000</v>
      </c>
      <c r="H88" s="45">
        <f t="shared" ref="H88" si="81">SUM(H80:H87)</f>
        <v>17852000</v>
      </c>
      <c r="I88" s="35">
        <f t="shared" ref="I88:U88" si="82">SUM(I80:I87)</f>
        <v>53556000</v>
      </c>
      <c r="J88" s="45">
        <f t="shared" ref="J88:L88" si="83">SUM(J80:J87)</f>
        <v>17852000</v>
      </c>
      <c r="K88" s="45">
        <f t="shared" si="83"/>
        <v>17852000</v>
      </c>
      <c r="L88" s="45">
        <f t="shared" si="83"/>
        <v>17852000</v>
      </c>
      <c r="M88" s="35">
        <f t="shared" si="82"/>
        <v>53556000</v>
      </c>
      <c r="N88" s="45">
        <f t="shared" ref="N88:P88" si="84">SUM(N80:N87)</f>
        <v>17852000</v>
      </c>
      <c r="O88" s="45">
        <f t="shared" si="84"/>
        <v>17852000</v>
      </c>
      <c r="P88" s="45">
        <f t="shared" si="84"/>
        <v>17852000</v>
      </c>
      <c r="Q88" s="35">
        <f t="shared" si="82"/>
        <v>53556000</v>
      </c>
      <c r="R88" s="45">
        <f t="shared" ref="R88:T88" si="85">SUM(R80:R87)</f>
        <v>17852000</v>
      </c>
      <c r="S88" s="45">
        <f t="shared" si="85"/>
        <v>17852000</v>
      </c>
      <c r="T88" s="45">
        <f t="shared" si="85"/>
        <v>17852000</v>
      </c>
      <c r="U88" s="35">
        <f t="shared" si="82"/>
        <v>53556000</v>
      </c>
      <c r="V88" s="35">
        <f t="shared" si="76"/>
        <v>214224000</v>
      </c>
    </row>
    <row r="89" spans="1:22" s="4" customFormat="1" ht="13.15" outlineLevel="1">
      <c r="A89" s="24"/>
      <c r="B89" s="24" t="s">
        <v>15</v>
      </c>
      <c r="C89" s="24"/>
      <c r="D89" s="24"/>
      <c r="E89" s="8">
        <v>0</v>
      </c>
      <c r="F89" s="44">
        <v>0</v>
      </c>
      <c r="G89" s="44">
        <v>0</v>
      </c>
      <c r="H89" s="44">
        <v>0</v>
      </c>
      <c r="I89" s="35">
        <v>0</v>
      </c>
      <c r="J89" s="44">
        <v>0</v>
      </c>
      <c r="K89" s="44">
        <v>0</v>
      </c>
      <c r="L89" s="44">
        <v>0</v>
      </c>
      <c r="M89" s="35">
        <v>0</v>
      </c>
      <c r="N89" s="44">
        <v>0</v>
      </c>
      <c r="O89" s="44">
        <v>0</v>
      </c>
      <c r="P89" s="44">
        <v>0</v>
      </c>
      <c r="Q89" s="35">
        <v>0</v>
      </c>
      <c r="R89" s="44">
        <v>0</v>
      </c>
      <c r="S89" s="44">
        <v>0</v>
      </c>
      <c r="T89" s="44">
        <v>0</v>
      </c>
      <c r="U89" s="35">
        <v>0</v>
      </c>
      <c r="V89" s="35">
        <f t="shared" si="76"/>
        <v>0</v>
      </c>
    </row>
    <row r="90" spans="1:22" ht="13.15" outlineLevel="2">
      <c r="A90" s="24"/>
      <c r="B90" s="26" t="s">
        <v>16</v>
      </c>
      <c r="C90" s="27"/>
      <c r="D90" s="27"/>
      <c r="E90" s="9"/>
      <c r="F90" s="43"/>
      <c r="G90" s="43"/>
      <c r="H90" s="43"/>
      <c r="I90" s="36"/>
      <c r="J90" s="43"/>
      <c r="K90" s="43"/>
      <c r="L90" s="43"/>
      <c r="M90" s="36"/>
      <c r="N90" s="43"/>
      <c r="O90" s="43"/>
      <c r="P90" s="43"/>
      <c r="Q90" s="36"/>
      <c r="R90" s="43"/>
      <c r="S90" s="43"/>
      <c r="T90" s="43"/>
      <c r="U90" s="36"/>
      <c r="V90" s="36"/>
    </row>
    <row r="91" spans="1:22" ht="13.15" outlineLevel="2">
      <c r="A91" s="24"/>
      <c r="B91" s="27"/>
      <c r="C91" s="28" t="s">
        <v>42</v>
      </c>
      <c r="D91" s="27"/>
      <c r="E91" s="9">
        <v>0</v>
      </c>
      <c r="F91" s="43">
        <f>SBLEE!F91+FNA!F91</f>
        <v>710000</v>
      </c>
      <c r="G91" s="43">
        <f>SBLEE!G91+FNA!G91</f>
        <v>710000</v>
      </c>
      <c r="H91" s="43">
        <f>SBLEE!H91+FNA!H91</f>
        <v>710000</v>
      </c>
      <c r="I91" s="34">
        <f t="shared" ref="I91" si="86">SUM(F91:H91)</f>
        <v>2130000</v>
      </c>
      <c r="J91" s="43">
        <f>SBLEE!J91+FNA!J91</f>
        <v>710000</v>
      </c>
      <c r="K91" s="43">
        <f>SBLEE!K91+FNA!K91</f>
        <v>710000</v>
      </c>
      <c r="L91" s="43">
        <f>SBLEE!L91+FNA!L91</f>
        <v>710000</v>
      </c>
      <c r="M91" s="34">
        <f t="shared" ref="M91" si="87">SUM(J91:L91)</f>
        <v>2130000</v>
      </c>
      <c r="N91" s="43">
        <f>SBLEE!N91+FNA!N91</f>
        <v>710000</v>
      </c>
      <c r="O91" s="43">
        <f>SBLEE!O91+FNA!O91</f>
        <v>710000</v>
      </c>
      <c r="P91" s="43">
        <f>SBLEE!P91+FNA!P91</f>
        <v>710000</v>
      </c>
      <c r="Q91" s="34">
        <f t="shared" ref="Q91" si="88">SUM(N91:P91)</f>
        <v>2130000</v>
      </c>
      <c r="R91" s="43">
        <f>SBLEE!R91+FNA!R91</f>
        <v>710000</v>
      </c>
      <c r="S91" s="43">
        <f>SBLEE!S91+FNA!S91</f>
        <v>710000</v>
      </c>
      <c r="T91" s="43">
        <f>SBLEE!T91+FNA!T91</f>
        <v>710000</v>
      </c>
      <c r="U91" s="34">
        <f t="shared" ref="U91:U96" si="89">SUM(R91:T91)</f>
        <v>2130000</v>
      </c>
      <c r="V91" s="34">
        <f t="shared" ref="V91:V97" si="90">I91+M91+Q91+U91</f>
        <v>8520000</v>
      </c>
    </row>
    <row r="92" spans="1:22" ht="13.15" outlineLevel="2">
      <c r="A92" s="24"/>
      <c r="B92" s="27"/>
      <c r="C92" s="28" t="s">
        <v>43</v>
      </c>
      <c r="D92" s="27"/>
      <c r="E92" s="9">
        <v>0</v>
      </c>
      <c r="F92" s="43">
        <f>SBLEE!F92+FNA!F92</f>
        <v>633000</v>
      </c>
      <c r="G92" s="43">
        <f>SBLEE!G92+FNA!G92</f>
        <v>633000</v>
      </c>
      <c r="H92" s="43">
        <f>SBLEE!H92+FNA!H92</f>
        <v>633000</v>
      </c>
      <c r="I92" s="34">
        <f t="shared" ref="I92:I96" si="91">SUM(F92:H92)</f>
        <v>1899000</v>
      </c>
      <c r="J92" s="43">
        <f>SBLEE!J92+FNA!J92</f>
        <v>633000</v>
      </c>
      <c r="K92" s="43">
        <f>SBLEE!K92+FNA!K92</f>
        <v>633000</v>
      </c>
      <c r="L92" s="43">
        <f>SBLEE!L92+FNA!L92</f>
        <v>633000</v>
      </c>
      <c r="M92" s="34">
        <f t="shared" ref="M92:M96" si="92">SUM(J92:L92)</f>
        <v>1899000</v>
      </c>
      <c r="N92" s="43">
        <f>SBLEE!N92+FNA!N92</f>
        <v>633000</v>
      </c>
      <c r="O92" s="43">
        <f>SBLEE!O92+FNA!O92</f>
        <v>633000</v>
      </c>
      <c r="P92" s="43">
        <f>SBLEE!P92+FNA!P92</f>
        <v>633000</v>
      </c>
      <c r="Q92" s="34">
        <f t="shared" ref="Q92:Q96" si="93">SUM(N92:P92)</f>
        <v>1899000</v>
      </c>
      <c r="R92" s="43">
        <f>SBLEE!R92+FNA!R92</f>
        <v>633000</v>
      </c>
      <c r="S92" s="43">
        <f>SBLEE!S92+FNA!S92</f>
        <v>633000</v>
      </c>
      <c r="T92" s="43">
        <f>SBLEE!T92+FNA!T92</f>
        <v>633000</v>
      </c>
      <c r="U92" s="34">
        <f t="shared" si="89"/>
        <v>1899000</v>
      </c>
      <c r="V92" s="34">
        <f t="shared" si="90"/>
        <v>7596000</v>
      </c>
    </row>
    <row r="93" spans="1:22" ht="13.15" outlineLevel="2">
      <c r="A93" s="24"/>
      <c r="B93" s="27"/>
      <c r="C93" s="28" t="s">
        <v>53</v>
      </c>
      <c r="D93" s="27"/>
      <c r="E93" s="9">
        <v>0</v>
      </c>
      <c r="F93" s="43">
        <f>SBLEE!F93+FNA!F93</f>
        <v>43000</v>
      </c>
      <c r="G93" s="43">
        <f>SBLEE!G93+FNA!G93</f>
        <v>43000</v>
      </c>
      <c r="H93" s="43">
        <f>SBLEE!H93+FNA!H93</f>
        <v>43000</v>
      </c>
      <c r="I93" s="34">
        <f t="shared" si="91"/>
        <v>129000</v>
      </c>
      <c r="J93" s="43">
        <f>SBLEE!J93+FNA!J93</f>
        <v>43000</v>
      </c>
      <c r="K93" s="43">
        <f>SBLEE!K93+FNA!K93</f>
        <v>43000</v>
      </c>
      <c r="L93" s="43">
        <f>SBLEE!L93+FNA!L93</f>
        <v>43000</v>
      </c>
      <c r="M93" s="34">
        <f t="shared" si="92"/>
        <v>129000</v>
      </c>
      <c r="N93" s="43">
        <f>SBLEE!N93+FNA!N93</f>
        <v>43000</v>
      </c>
      <c r="O93" s="43">
        <f>SBLEE!O93+FNA!O93</f>
        <v>43000</v>
      </c>
      <c r="P93" s="43">
        <f>SBLEE!P93+FNA!P93</f>
        <v>43000</v>
      </c>
      <c r="Q93" s="34">
        <f t="shared" si="93"/>
        <v>129000</v>
      </c>
      <c r="R93" s="43">
        <f>SBLEE!R93+FNA!R93</f>
        <v>43000</v>
      </c>
      <c r="S93" s="43">
        <f>SBLEE!S93+FNA!S93</f>
        <v>43000</v>
      </c>
      <c r="T93" s="43">
        <f>SBLEE!T93+FNA!T93</f>
        <v>43000</v>
      </c>
      <c r="U93" s="34">
        <f t="shared" si="89"/>
        <v>129000</v>
      </c>
      <c r="V93" s="34">
        <f t="shared" si="90"/>
        <v>516000</v>
      </c>
    </row>
    <row r="94" spans="1:22" ht="13.15" outlineLevel="2">
      <c r="A94" s="24"/>
      <c r="B94" s="27"/>
      <c r="C94" s="28" t="s">
        <v>44</v>
      </c>
      <c r="D94" s="27"/>
      <c r="E94" s="9">
        <v>0</v>
      </c>
      <c r="F94" s="43">
        <f>SBLEE!F94+FNA!F94</f>
        <v>5000</v>
      </c>
      <c r="G94" s="43">
        <f>SBLEE!G94+FNA!G94</f>
        <v>5000</v>
      </c>
      <c r="H94" s="43">
        <f>SBLEE!H94+FNA!H94</f>
        <v>5000</v>
      </c>
      <c r="I94" s="34">
        <f t="shared" si="91"/>
        <v>15000</v>
      </c>
      <c r="J94" s="43">
        <f>SBLEE!J94+FNA!J94</f>
        <v>5000</v>
      </c>
      <c r="K94" s="43">
        <f>SBLEE!K94+FNA!K94</f>
        <v>5000</v>
      </c>
      <c r="L94" s="43">
        <f>SBLEE!L94+FNA!L94</f>
        <v>5000</v>
      </c>
      <c r="M94" s="34">
        <f t="shared" si="92"/>
        <v>15000</v>
      </c>
      <c r="N94" s="43">
        <f>SBLEE!N94+FNA!N94</f>
        <v>5000</v>
      </c>
      <c r="O94" s="43">
        <f>SBLEE!O94+FNA!O94</f>
        <v>5000</v>
      </c>
      <c r="P94" s="43">
        <f>SBLEE!P94+FNA!P94</f>
        <v>5000</v>
      </c>
      <c r="Q94" s="34">
        <f t="shared" si="93"/>
        <v>15000</v>
      </c>
      <c r="R94" s="43">
        <f>SBLEE!R94+FNA!R94</f>
        <v>5000</v>
      </c>
      <c r="S94" s="43">
        <f>SBLEE!S94+FNA!S94</f>
        <v>5000</v>
      </c>
      <c r="T94" s="43">
        <f>SBLEE!T94+FNA!T94</f>
        <v>5000</v>
      </c>
      <c r="U94" s="34">
        <f t="shared" si="89"/>
        <v>15000</v>
      </c>
      <c r="V94" s="34">
        <f t="shared" si="90"/>
        <v>60000</v>
      </c>
    </row>
    <row r="95" spans="1:22" ht="13.15" outlineLevel="2">
      <c r="A95" s="24"/>
      <c r="B95" s="27"/>
      <c r="C95" s="28" t="s">
        <v>51</v>
      </c>
      <c r="D95" s="27"/>
      <c r="E95" s="9">
        <v>0</v>
      </c>
      <c r="F95" s="43">
        <f>SBLEE!F95+FNA!F95</f>
        <v>0</v>
      </c>
      <c r="G95" s="43">
        <f>SBLEE!G95+FNA!G95</f>
        <v>0</v>
      </c>
      <c r="H95" s="43">
        <f>SBLEE!H95+FNA!H95</f>
        <v>0</v>
      </c>
      <c r="I95" s="34">
        <f t="shared" si="91"/>
        <v>0</v>
      </c>
      <c r="J95" s="43">
        <f>SBLEE!J95+FNA!J95</f>
        <v>0</v>
      </c>
      <c r="K95" s="43">
        <f>SBLEE!K95+FNA!K95</f>
        <v>0</v>
      </c>
      <c r="L95" s="43">
        <f>SBLEE!L95+FNA!L95</f>
        <v>0</v>
      </c>
      <c r="M95" s="34">
        <f t="shared" si="92"/>
        <v>0</v>
      </c>
      <c r="N95" s="43">
        <f>SBLEE!N95+FNA!N95</f>
        <v>0</v>
      </c>
      <c r="O95" s="43">
        <f>SBLEE!O95+FNA!O95</f>
        <v>0</v>
      </c>
      <c r="P95" s="43">
        <f>SBLEE!P95+FNA!P95</f>
        <v>0</v>
      </c>
      <c r="Q95" s="34">
        <f t="shared" si="93"/>
        <v>0</v>
      </c>
      <c r="R95" s="43">
        <f>SBLEE!R95+FNA!R95</f>
        <v>0</v>
      </c>
      <c r="S95" s="43">
        <f>SBLEE!S95+FNA!S95</f>
        <v>0</v>
      </c>
      <c r="T95" s="43">
        <f>SBLEE!T95+FNA!T95</f>
        <v>0</v>
      </c>
      <c r="U95" s="34">
        <f t="shared" si="89"/>
        <v>0</v>
      </c>
      <c r="V95" s="34">
        <f t="shared" si="90"/>
        <v>0</v>
      </c>
    </row>
    <row r="96" spans="1:22" ht="13.15" outlineLevel="2">
      <c r="A96" s="24"/>
      <c r="B96" s="27"/>
      <c r="C96" s="28" t="s">
        <v>50</v>
      </c>
      <c r="D96" s="27"/>
      <c r="E96" s="9">
        <v>0</v>
      </c>
      <c r="F96" s="43">
        <f>SBLEE!F96+FNA!F96</f>
        <v>3300000</v>
      </c>
      <c r="G96" s="43">
        <f>SBLEE!G96+FNA!G96</f>
        <v>3300000</v>
      </c>
      <c r="H96" s="43">
        <f>SBLEE!H96+FNA!H96</f>
        <v>3300000</v>
      </c>
      <c r="I96" s="34">
        <f t="shared" si="91"/>
        <v>9900000</v>
      </c>
      <c r="J96" s="43">
        <f>SBLEE!J96+FNA!J96</f>
        <v>3300000</v>
      </c>
      <c r="K96" s="43">
        <f>SBLEE!K96+FNA!K96</f>
        <v>3300000</v>
      </c>
      <c r="L96" s="43">
        <f>SBLEE!L96+FNA!L96</f>
        <v>3300000</v>
      </c>
      <c r="M96" s="34">
        <f t="shared" si="92"/>
        <v>9900000</v>
      </c>
      <c r="N96" s="43">
        <f>SBLEE!N96+FNA!N96</f>
        <v>3300000</v>
      </c>
      <c r="O96" s="43">
        <f>SBLEE!O96+FNA!O96</f>
        <v>3300000</v>
      </c>
      <c r="P96" s="43">
        <f>SBLEE!P96+FNA!P96</f>
        <v>3300000</v>
      </c>
      <c r="Q96" s="34">
        <f t="shared" si="93"/>
        <v>9900000</v>
      </c>
      <c r="R96" s="43">
        <f>SBLEE!R96+FNA!R96</f>
        <v>3300000</v>
      </c>
      <c r="S96" s="43">
        <f>SBLEE!S96+FNA!S96</f>
        <v>3300000</v>
      </c>
      <c r="T96" s="43">
        <f>SBLEE!T96+FNA!T96</f>
        <v>3300000</v>
      </c>
      <c r="U96" s="34">
        <f t="shared" si="89"/>
        <v>9900000</v>
      </c>
      <c r="V96" s="34">
        <f t="shared" si="90"/>
        <v>39600000</v>
      </c>
    </row>
    <row r="97" spans="1:22" ht="13.15" outlineLevel="1">
      <c r="A97" s="24"/>
      <c r="B97" s="24" t="s">
        <v>17</v>
      </c>
      <c r="C97" s="24"/>
      <c r="D97" s="24"/>
      <c r="E97" s="8"/>
      <c r="F97" s="44">
        <f t="shared" ref="F97:U97" si="94">SUM(F91:F96)</f>
        <v>4691000</v>
      </c>
      <c r="G97" s="44">
        <f t="shared" ref="G97:H97" si="95">SUM(G91:G96)</f>
        <v>4691000</v>
      </c>
      <c r="H97" s="44">
        <f t="shared" si="95"/>
        <v>4691000</v>
      </c>
      <c r="I97" s="35">
        <f t="shared" si="94"/>
        <v>14073000</v>
      </c>
      <c r="J97" s="44">
        <f t="shared" ref="J97:L97" si="96">SUM(J91:J96)</f>
        <v>4691000</v>
      </c>
      <c r="K97" s="44">
        <f t="shared" si="96"/>
        <v>4691000</v>
      </c>
      <c r="L97" s="44">
        <f t="shared" si="96"/>
        <v>4691000</v>
      </c>
      <c r="M97" s="35">
        <f t="shared" si="94"/>
        <v>14073000</v>
      </c>
      <c r="N97" s="44">
        <f t="shared" ref="N97:P97" si="97">SUM(N91:N96)</f>
        <v>4691000</v>
      </c>
      <c r="O97" s="44">
        <f t="shared" si="97"/>
        <v>4691000</v>
      </c>
      <c r="P97" s="44">
        <f t="shared" si="97"/>
        <v>4691000</v>
      </c>
      <c r="Q97" s="35">
        <f t="shared" si="94"/>
        <v>14073000</v>
      </c>
      <c r="R97" s="44">
        <f t="shared" ref="R97:T97" si="98">SUM(R91:R96)</f>
        <v>4691000</v>
      </c>
      <c r="S97" s="44">
        <f t="shared" si="98"/>
        <v>4691000</v>
      </c>
      <c r="T97" s="44">
        <f t="shared" si="98"/>
        <v>4691000</v>
      </c>
      <c r="U97" s="35">
        <f t="shared" si="94"/>
        <v>14073000</v>
      </c>
      <c r="V97" s="35">
        <f t="shared" si="90"/>
        <v>56292000</v>
      </c>
    </row>
    <row r="98" spans="1:22" ht="13.15" outlineLevel="2">
      <c r="A98" s="24"/>
      <c r="B98" s="26" t="s">
        <v>18</v>
      </c>
      <c r="C98" s="27"/>
      <c r="D98" s="27"/>
      <c r="E98" s="9"/>
      <c r="F98" s="43"/>
      <c r="G98" s="43"/>
      <c r="H98" s="43"/>
      <c r="I98" s="36"/>
      <c r="J98" s="43"/>
      <c r="K98" s="43"/>
      <c r="L98" s="43"/>
      <c r="M98" s="36"/>
      <c r="N98" s="43"/>
      <c r="O98" s="43"/>
      <c r="P98" s="43"/>
      <c r="Q98" s="36"/>
      <c r="R98" s="43"/>
      <c r="S98" s="43"/>
      <c r="T98" s="43"/>
      <c r="U98" s="36"/>
      <c r="V98" s="36"/>
    </row>
    <row r="99" spans="1:22" ht="13.15" outlineLevel="2">
      <c r="A99" s="24"/>
      <c r="B99" s="27"/>
      <c r="C99" s="28" t="s">
        <v>68</v>
      </c>
      <c r="D99" s="27"/>
      <c r="E99" s="9">
        <v>0</v>
      </c>
      <c r="F99" s="43">
        <f>SBLEE!F99+FNA!F99</f>
        <v>0</v>
      </c>
      <c r="G99" s="43">
        <f>SBLEE!G99+FNA!G99</f>
        <v>0</v>
      </c>
      <c r="H99" s="43">
        <f>SBLEE!H99+FNA!H99</f>
        <v>0</v>
      </c>
      <c r="I99" s="34">
        <f t="shared" ref="I99" si="99">SUM(F99:H99)</f>
        <v>0</v>
      </c>
      <c r="J99" s="43">
        <f>SBLEE!J99+FNA!J99</f>
        <v>0</v>
      </c>
      <c r="K99" s="43">
        <f>SBLEE!K99+FNA!K99</f>
        <v>0</v>
      </c>
      <c r="L99" s="43">
        <f>SBLEE!L99+FNA!L99</f>
        <v>0</v>
      </c>
      <c r="M99" s="34">
        <f t="shared" ref="M99" si="100">SUM(J99:L99)</f>
        <v>0</v>
      </c>
      <c r="N99" s="43">
        <f>SBLEE!N99+FNA!N99</f>
        <v>0</v>
      </c>
      <c r="O99" s="43">
        <f>SBLEE!O99+FNA!O99</f>
        <v>0</v>
      </c>
      <c r="P99" s="43">
        <f>SBLEE!P99+FNA!P99</f>
        <v>0</v>
      </c>
      <c r="Q99" s="34">
        <f t="shared" ref="Q99" si="101">SUM(N99:P99)</f>
        <v>0</v>
      </c>
      <c r="R99" s="43">
        <f>SBLEE!R99+FNA!R99</f>
        <v>0</v>
      </c>
      <c r="S99" s="43">
        <f>SBLEE!S99+FNA!S99</f>
        <v>0</v>
      </c>
      <c r="T99" s="43">
        <f>SBLEE!T99+FNA!T99</f>
        <v>0</v>
      </c>
      <c r="U99" s="34">
        <f t="shared" ref="U99:U105" si="102">SUM(R99:T99)</f>
        <v>0</v>
      </c>
      <c r="V99" s="34">
        <f t="shared" ref="V99:V106" si="103">I99+M99+Q99+U99</f>
        <v>0</v>
      </c>
    </row>
    <row r="100" spans="1:22" ht="13.15" outlineLevel="2">
      <c r="A100" s="24"/>
      <c r="B100" s="27"/>
      <c r="C100" s="28" t="s">
        <v>45</v>
      </c>
      <c r="D100" s="27"/>
      <c r="E100" s="9">
        <v>0</v>
      </c>
      <c r="F100" s="43">
        <f>SBLEE!F100+FNA!F100</f>
        <v>370000</v>
      </c>
      <c r="G100" s="43">
        <f>SBLEE!G100+FNA!G100</f>
        <v>370000</v>
      </c>
      <c r="H100" s="43">
        <f>SBLEE!H100+FNA!H100</f>
        <v>370000</v>
      </c>
      <c r="I100" s="34">
        <f t="shared" ref="I100:I105" si="104">SUM(F100:H100)</f>
        <v>1110000</v>
      </c>
      <c r="J100" s="43">
        <f>SBLEE!J100+FNA!J100</f>
        <v>370000</v>
      </c>
      <c r="K100" s="43">
        <f>SBLEE!K100+FNA!K100</f>
        <v>370000</v>
      </c>
      <c r="L100" s="43">
        <f>SBLEE!L100+FNA!L100</f>
        <v>370000</v>
      </c>
      <c r="M100" s="34">
        <f t="shared" ref="M100:M105" si="105">SUM(J100:L100)</f>
        <v>1110000</v>
      </c>
      <c r="N100" s="43">
        <f>SBLEE!N100+FNA!N100</f>
        <v>370000</v>
      </c>
      <c r="O100" s="43">
        <f>SBLEE!O100+FNA!O100</f>
        <v>370000</v>
      </c>
      <c r="P100" s="43">
        <f>SBLEE!P100+FNA!P100</f>
        <v>370000</v>
      </c>
      <c r="Q100" s="34">
        <f t="shared" ref="Q100:Q105" si="106">SUM(N100:P100)</f>
        <v>1110000</v>
      </c>
      <c r="R100" s="43">
        <f>SBLEE!R100+FNA!R100</f>
        <v>370000</v>
      </c>
      <c r="S100" s="43">
        <f>SBLEE!S100+FNA!S100</f>
        <v>370000</v>
      </c>
      <c r="T100" s="43">
        <f>SBLEE!T100+FNA!T100</f>
        <v>370000</v>
      </c>
      <c r="U100" s="34">
        <f t="shared" si="102"/>
        <v>1110000</v>
      </c>
      <c r="V100" s="34">
        <f t="shared" si="103"/>
        <v>4440000</v>
      </c>
    </row>
    <row r="101" spans="1:22" ht="13.15" outlineLevel="2">
      <c r="A101" s="24"/>
      <c r="B101" s="27"/>
      <c r="C101" s="28" t="s">
        <v>94</v>
      </c>
      <c r="D101" s="27"/>
      <c r="E101" s="9">
        <v>0</v>
      </c>
      <c r="F101" s="43">
        <f>SBLEE!F101+FNA!F101</f>
        <v>0</v>
      </c>
      <c r="G101" s="43">
        <f>SBLEE!G101+FNA!G101</f>
        <v>0</v>
      </c>
      <c r="H101" s="43">
        <f>SBLEE!H101+FNA!H101</f>
        <v>0</v>
      </c>
      <c r="I101" s="34">
        <f t="shared" si="104"/>
        <v>0</v>
      </c>
      <c r="J101" s="43">
        <f>SBLEE!J101+FNA!J101</f>
        <v>0</v>
      </c>
      <c r="K101" s="43">
        <f>SBLEE!K101+FNA!K101</f>
        <v>0</v>
      </c>
      <c r="L101" s="43">
        <f>SBLEE!L101+FNA!L101</f>
        <v>0</v>
      </c>
      <c r="M101" s="34">
        <f t="shared" si="105"/>
        <v>0</v>
      </c>
      <c r="N101" s="43">
        <f>SBLEE!N101+FNA!N101</f>
        <v>0</v>
      </c>
      <c r="O101" s="43">
        <f>SBLEE!O101+FNA!O101</f>
        <v>0</v>
      </c>
      <c r="P101" s="43">
        <f>SBLEE!P101+FNA!P101</f>
        <v>0</v>
      </c>
      <c r="Q101" s="34">
        <f t="shared" si="106"/>
        <v>0</v>
      </c>
      <c r="R101" s="43">
        <f>SBLEE!R101+FNA!R101</f>
        <v>0</v>
      </c>
      <c r="S101" s="43">
        <f>SBLEE!S101+FNA!S101</f>
        <v>0</v>
      </c>
      <c r="T101" s="43">
        <f>SBLEE!T101+FNA!T101</f>
        <v>0</v>
      </c>
      <c r="U101" s="34">
        <f t="shared" si="102"/>
        <v>0</v>
      </c>
      <c r="V101" s="34">
        <f t="shared" si="103"/>
        <v>0</v>
      </c>
    </row>
    <row r="102" spans="1:22" ht="13.15" outlineLevel="2">
      <c r="A102" s="24"/>
      <c r="B102" s="27"/>
      <c r="C102" s="28" t="s">
        <v>46</v>
      </c>
      <c r="D102" s="27"/>
      <c r="E102" s="9">
        <v>0</v>
      </c>
      <c r="F102" s="43">
        <f>SBLEE!F102+FNA!F102</f>
        <v>0</v>
      </c>
      <c r="G102" s="43">
        <f>SBLEE!G102+FNA!G102</f>
        <v>0</v>
      </c>
      <c r="H102" s="43">
        <f>SBLEE!H102+FNA!H102</f>
        <v>0</v>
      </c>
      <c r="I102" s="34">
        <f t="shared" si="104"/>
        <v>0</v>
      </c>
      <c r="J102" s="43">
        <f>SBLEE!J102+FNA!J102</f>
        <v>0</v>
      </c>
      <c r="K102" s="43">
        <f>SBLEE!K102+FNA!K102</f>
        <v>0</v>
      </c>
      <c r="L102" s="43">
        <f>SBLEE!L102+FNA!L102</f>
        <v>0</v>
      </c>
      <c r="M102" s="34">
        <f t="shared" si="105"/>
        <v>0</v>
      </c>
      <c r="N102" s="43">
        <f>SBLEE!N102+FNA!N102</f>
        <v>0</v>
      </c>
      <c r="O102" s="43">
        <f>SBLEE!O102+FNA!O102</f>
        <v>0</v>
      </c>
      <c r="P102" s="43">
        <f>SBLEE!P102+FNA!P102</f>
        <v>0</v>
      </c>
      <c r="Q102" s="34">
        <f t="shared" si="106"/>
        <v>0</v>
      </c>
      <c r="R102" s="43">
        <f>SBLEE!R102+FNA!R102</f>
        <v>0</v>
      </c>
      <c r="S102" s="43">
        <f>SBLEE!S102+FNA!S102</f>
        <v>0</v>
      </c>
      <c r="T102" s="43">
        <f>SBLEE!T102+FNA!T102</f>
        <v>0</v>
      </c>
      <c r="U102" s="34">
        <f t="shared" si="102"/>
        <v>0</v>
      </c>
      <c r="V102" s="34">
        <f t="shared" si="103"/>
        <v>0</v>
      </c>
    </row>
    <row r="103" spans="1:22" ht="13.15" outlineLevel="2">
      <c r="A103" s="24"/>
      <c r="B103" s="27"/>
      <c r="C103" s="28" t="s">
        <v>111</v>
      </c>
      <c r="D103" s="27"/>
      <c r="E103" s="9">
        <v>0</v>
      </c>
      <c r="F103" s="43">
        <f>SBLEE!F103+FNA!F103</f>
        <v>150000</v>
      </c>
      <c r="G103" s="43">
        <f>SBLEE!G103+FNA!G103</f>
        <v>150000</v>
      </c>
      <c r="H103" s="43">
        <f>SBLEE!H103+FNA!H103</f>
        <v>150000</v>
      </c>
      <c r="I103" s="34">
        <f t="shared" si="104"/>
        <v>450000</v>
      </c>
      <c r="J103" s="43">
        <f>SBLEE!J103+FNA!J103</f>
        <v>150000</v>
      </c>
      <c r="K103" s="43">
        <f>SBLEE!K103+FNA!K103</f>
        <v>150000</v>
      </c>
      <c r="L103" s="43">
        <f>SBLEE!L103+FNA!L103</f>
        <v>150000</v>
      </c>
      <c r="M103" s="34">
        <f t="shared" si="105"/>
        <v>450000</v>
      </c>
      <c r="N103" s="43">
        <f>SBLEE!N103+FNA!N103</f>
        <v>150000</v>
      </c>
      <c r="O103" s="43">
        <f>SBLEE!O103+FNA!O103</f>
        <v>150000</v>
      </c>
      <c r="P103" s="43">
        <f>SBLEE!P103+FNA!P103</f>
        <v>150000</v>
      </c>
      <c r="Q103" s="34">
        <f t="shared" si="106"/>
        <v>450000</v>
      </c>
      <c r="R103" s="43">
        <f>SBLEE!R103+FNA!R103</f>
        <v>150000</v>
      </c>
      <c r="S103" s="43">
        <f>SBLEE!S103+FNA!S103</f>
        <v>150000</v>
      </c>
      <c r="T103" s="43">
        <f>SBLEE!T103+FNA!T103</f>
        <v>150000</v>
      </c>
      <c r="U103" s="34">
        <f t="shared" si="102"/>
        <v>450000</v>
      </c>
      <c r="V103" s="34">
        <f t="shared" si="103"/>
        <v>1800000</v>
      </c>
    </row>
    <row r="104" spans="1:22" ht="13.15" outlineLevel="2">
      <c r="A104" s="24"/>
      <c r="B104" s="27"/>
      <c r="C104" s="28" t="s">
        <v>117</v>
      </c>
      <c r="D104" s="27"/>
      <c r="E104" s="9"/>
      <c r="F104" s="43">
        <f>SBLEE!F104+FNA!F104</f>
        <v>0</v>
      </c>
      <c r="G104" s="43">
        <f>SBLEE!G104+FNA!G104</f>
        <v>0</v>
      </c>
      <c r="H104" s="43">
        <f>SBLEE!H104+FNA!H104</f>
        <v>0</v>
      </c>
      <c r="I104" s="34">
        <f t="shared" si="104"/>
        <v>0</v>
      </c>
      <c r="J104" s="43">
        <f>SBLEE!J104+FNA!J104</f>
        <v>0</v>
      </c>
      <c r="K104" s="43">
        <f>SBLEE!K104+FNA!K104</f>
        <v>0</v>
      </c>
      <c r="L104" s="43">
        <f>SBLEE!L104+FNA!L104</f>
        <v>0</v>
      </c>
      <c r="M104" s="34">
        <f t="shared" si="105"/>
        <v>0</v>
      </c>
      <c r="N104" s="43">
        <f>SBLEE!N104+FNA!N104</f>
        <v>0</v>
      </c>
      <c r="O104" s="43">
        <f>SBLEE!O104+FNA!O104</f>
        <v>0</v>
      </c>
      <c r="P104" s="43">
        <f>SBLEE!P104+FNA!P104</f>
        <v>0</v>
      </c>
      <c r="Q104" s="34">
        <f t="shared" si="106"/>
        <v>0</v>
      </c>
      <c r="R104" s="43">
        <f>SBLEE!R104+FNA!R104</f>
        <v>0</v>
      </c>
      <c r="S104" s="43">
        <f>SBLEE!S104+FNA!S104</f>
        <v>0</v>
      </c>
      <c r="T104" s="43">
        <f>SBLEE!T104+FNA!T104</f>
        <v>0</v>
      </c>
      <c r="U104" s="34">
        <f t="shared" si="102"/>
        <v>0</v>
      </c>
      <c r="V104" s="34">
        <f t="shared" si="103"/>
        <v>0</v>
      </c>
    </row>
    <row r="105" spans="1:22" ht="13.15" outlineLevel="2">
      <c r="A105" s="24"/>
      <c r="B105" s="27"/>
      <c r="C105" s="28" t="s">
        <v>26</v>
      </c>
      <c r="D105" s="27"/>
      <c r="E105" s="9">
        <v>0</v>
      </c>
      <c r="F105" s="43">
        <f>SBLEE!F105+FNA!F105</f>
        <v>1745000</v>
      </c>
      <c r="G105" s="43">
        <f>SBLEE!G105+FNA!G105</f>
        <v>1945000</v>
      </c>
      <c r="H105" s="43">
        <f>SBLEE!H105+FNA!H105</f>
        <v>1945000</v>
      </c>
      <c r="I105" s="34">
        <f t="shared" si="104"/>
        <v>5635000</v>
      </c>
      <c r="J105" s="43">
        <f>SBLEE!J105+FNA!J105</f>
        <v>1945000</v>
      </c>
      <c r="K105" s="43">
        <f>SBLEE!K105+FNA!K105</f>
        <v>1945000</v>
      </c>
      <c r="L105" s="43">
        <f>SBLEE!L105+FNA!L105</f>
        <v>1945000</v>
      </c>
      <c r="M105" s="34">
        <f t="shared" si="105"/>
        <v>5835000</v>
      </c>
      <c r="N105" s="43">
        <f>SBLEE!N105+FNA!N105</f>
        <v>1945000</v>
      </c>
      <c r="O105" s="43">
        <f>SBLEE!O105+FNA!O105</f>
        <v>1945000</v>
      </c>
      <c r="P105" s="43">
        <f>SBLEE!P105+FNA!P105</f>
        <v>1945000</v>
      </c>
      <c r="Q105" s="34">
        <f t="shared" si="106"/>
        <v>5835000</v>
      </c>
      <c r="R105" s="43">
        <f>SBLEE!R105+FNA!R105</f>
        <v>1945000</v>
      </c>
      <c r="S105" s="43">
        <f>SBLEE!S105+FNA!S105</f>
        <v>1945000</v>
      </c>
      <c r="T105" s="43">
        <f>SBLEE!T105+FNA!T105</f>
        <v>1945000</v>
      </c>
      <c r="U105" s="34">
        <f t="shared" si="102"/>
        <v>5835000</v>
      </c>
      <c r="V105" s="34">
        <f t="shared" si="103"/>
        <v>23140000</v>
      </c>
    </row>
    <row r="106" spans="1:22" ht="13.15" outlineLevel="1">
      <c r="A106" s="24"/>
      <c r="B106" s="29" t="s">
        <v>19</v>
      </c>
      <c r="C106" s="30"/>
      <c r="D106" s="30"/>
      <c r="E106" s="10"/>
      <c r="F106" s="45">
        <f t="shared" ref="F106:U106" si="107">SUM(F99:F105)</f>
        <v>2265000</v>
      </c>
      <c r="G106" s="45">
        <f t="shared" ref="G106:H106" si="108">SUM(G99:G105)</f>
        <v>2465000</v>
      </c>
      <c r="H106" s="45">
        <f t="shared" si="108"/>
        <v>2465000</v>
      </c>
      <c r="I106" s="35">
        <f t="shared" si="107"/>
        <v>7195000</v>
      </c>
      <c r="J106" s="45">
        <f t="shared" ref="J106:L106" si="109">SUM(J99:J105)</f>
        <v>2465000</v>
      </c>
      <c r="K106" s="45">
        <f t="shared" si="109"/>
        <v>2465000</v>
      </c>
      <c r="L106" s="45">
        <f t="shared" si="109"/>
        <v>2465000</v>
      </c>
      <c r="M106" s="35">
        <f t="shared" si="107"/>
        <v>7395000</v>
      </c>
      <c r="N106" s="45">
        <f t="shared" ref="N106:P106" si="110">SUM(N99:N105)</f>
        <v>2465000</v>
      </c>
      <c r="O106" s="45">
        <f t="shared" si="110"/>
        <v>2465000</v>
      </c>
      <c r="P106" s="45">
        <f t="shared" si="110"/>
        <v>2465000</v>
      </c>
      <c r="Q106" s="35">
        <f t="shared" si="107"/>
        <v>7395000</v>
      </c>
      <c r="R106" s="45">
        <f t="shared" ref="R106:T106" si="111">SUM(R99:R105)</f>
        <v>2465000</v>
      </c>
      <c r="S106" s="45">
        <f t="shared" si="111"/>
        <v>2465000</v>
      </c>
      <c r="T106" s="45">
        <f t="shared" si="111"/>
        <v>2465000</v>
      </c>
      <c r="U106" s="35">
        <f t="shared" si="107"/>
        <v>7395000</v>
      </c>
      <c r="V106" s="35">
        <f t="shared" si="103"/>
        <v>29380000</v>
      </c>
    </row>
    <row r="107" spans="1:22" ht="13.15" outlineLevel="2">
      <c r="A107" s="24"/>
      <c r="B107" s="26" t="s">
        <v>20</v>
      </c>
      <c r="C107" s="27"/>
      <c r="D107" s="27"/>
      <c r="E107" s="9"/>
      <c r="F107" s="43"/>
      <c r="G107" s="43"/>
      <c r="H107" s="43"/>
      <c r="I107" s="36"/>
      <c r="J107" s="43"/>
      <c r="K107" s="43"/>
      <c r="L107" s="43"/>
      <c r="M107" s="36"/>
      <c r="N107" s="43"/>
      <c r="O107" s="43"/>
      <c r="P107" s="43"/>
      <c r="Q107" s="36"/>
      <c r="R107" s="43"/>
      <c r="S107" s="43"/>
      <c r="T107" s="43"/>
      <c r="U107" s="36"/>
      <c r="V107" s="36"/>
    </row>
    <row r="108" spans="1:22" ht="13.15" outlineLevel="2">
      <c r="A108" s="24"/>
      <c r="B108" s="27"/>
      <c r="C108" s="28" t="s">
        <v>29</v>
      </c>
      <c r="D108" s="27"/>
      <c r="E108" s="9">
        <v>0</v>
      </c>
      <c r="F108" s="43">
        <f>SBLEE!F108+FNA!F108</f>
        <v>0</v>
      </c>
      <c r="G108" s="43">
        <f>SBLEE!G108+FNA!G108</f>
        <v>0</v>
      </c>
      <c r="H108" s="43">
        <f>SBLEE!H108+FNA!H108</f>
        <v>0</v>
      </c>
      <c r="I108" s="34">
        <f t="shared" ref="I108" si="112">SUM(F108:H108)</f>
        <v>0</v>
      </c>
      <c r="J108" s="43">
        <f>SBLEE!J108+FNA!J108</f>
        <v>0</v>
      </c>
      <c r="K108" s="43">
        <f>SBLEE!K108+FNA!K108</f>
        <v>0</v>
      </c>
      <c r="L108" s="43">
        <f>SBLEE!L108+FNA!L108</f>
        <v>0</v>
      </c>
      <c r="M108" s="34">
        <f t="shared" ref="M108" si="113">SUM(J108:L108)</f>
        <v>0</v>
      </c>
      <c r="N108" s="43">
        <f>SBLEE!N108+FNA!N108</f>
        <v>0</v>
      </c>
      <c r="O108" s="43">
        <f>SBLEE!O108+FNA!O108</f>
        <v>0</v>
      </c>
      <c r="P108" s="43">
        <f>SBLEE!P108+FNA!P108</f>
        <v>0</v>
      </c>
      <c r="Q108" s="34">
        <f t="shared" ref="Q108" si="114">SUM(N108:P108)</f>
        <v>0</v>
      </c>
      <c r="R108" s="43">
        <f>SBLEE!R108+FNA!R108</f>
        <v>0</v>
      </c>
      <c r="S108" s="43">
        <f>SBLEE!S108+FNA!S108</f>
        <v>0</v>
      </c>
      <c r="T108" s="43">
        <f>SBLEE!T108+FNA!T108</f>
        <v>0</v>
      </c>
      <c r="U108" s="34">
        <f t="shared" ref="U108:U112" si="115">SUM(R108:T108)</f>
        <v>0</v>
      </c>
      <c r="V108" s="34">
        <f t="shared" ref="V108:V115" si="116">I108+M108+Q108+U108</f>
        <v>0</v>
      </c>
    </row>
    <row r="109" spans="1:22" ht="13.15" outlineLevel="2">
      <c r="A109" s="24"/>
      <c r="B109" s="27"/>
      <c r="C109" s="28" t="s">
        <v>33</v>
      </c>
      <c r="D109" s="27"/>
      <c r="E109" s="9">
        <v>0</v>
      </c>
      <c r="F109" s="43">
        <f>SBLEE!F109+FNA!F109</f>
        <v>0</v>
      </c>
      <c r="G109" s="43">
        <f>SBLEE!G109+FNA!G109</f>
        <v>0</v>
      </c>
      <c r="H109" s="43">
        <f>SBLEE!H109+FNA!H109</f>
        <v>0</v>
      </c>
      <c r="I109" s="34">
        <f t="shared" ref="I109:I112" si="117">SUM(F109:H109)</f>
        <v>0</v>
      </c>
      <c r="J109" s="43">
        <f>SBLEE!J109+FNA!J109</f>
        <v>0</v>
      </c>
      <c r="K109" s="43">
        <f>SBLEE!K109+FNA!K109</f>
        <v>0</v>
      </c>
      <c r="L109" s="43">
        <f>SBLEE!L109+FNA!L109</f>
        <v>0</v>
      </c>
      <c r="M109" s="34">
        <f t="shared" ref="M109:M112" si="118">SUM(J109:L109)</f>
        <v>0</v>
      </c>
      <c r="N109" s="43">
        <f>SBLEE!N109+FNA!N109</f>
        <v>0</v>
      </c>
      <c r="O109" s="43">
        <f>SBLEE!O109+FNA!O109</f>
        <v>0</v>
      </c>
      <c r="P109" s="43">
        <f>SBLEE!P109+FNA!P109</f>
        <v>0</v>
      </c>
      <c r="Q109" s="34">
        <f t="shared" ref="Q109:Q112" si="119">SUM(N109:P109)</f>
        <v>0</v>
      </c>
      <c r="R109" s="43">
        <f>SBLEE!R109+FNA!R109</f>
        <v>0</v>
      </c>
      <c r="S109" s="43">
        <f>SBLEE!S109+FNA!S109</f>
        <v>0</v>
      </c>
      <c r="T109" s="43">
        <f>SBLEE!T109+FNA!T109</f>
        <v>0</v>
      </c>
      <c r="U109" s="34">
        <f t="shared" si="115"/>
        <v>0</v>
      </c>
      <c r="V109" s="34">
        <f t="shared" si="116"/>
        <v>0</v>
      </c>
    </row>
    <row r="110" spans="1:22" ht="13.15" outlineLevel="2">
      <c r="A110" s="24"/>
      <c r="B110" s="27"/>
      <c r="C110" s="28" t="s">
        <v>95</v>
      </c>
      <c r="D110" s="27"/>
      <c r="E110" s="9"/>
      <c r="F110" s="43">
        <f>SBLEE!F110+FNA!F110</f>
        <v>0</v>
      </c>
      <c r="G110" s="43">
        <f>SBLEE!G110+FNA!G110</f>
        <v>0</v>
      </c>
      <c r="H110" s="43">
        <f>SBLEE!H110+FNA!H110</f>
        <v>0</v>
      </c>
      <c r="I110" s="34">
        <f t="shared" si="117"/>
        <v>0</v>
      </c>
      <c r="J110" s="43">
        <f>SBLEE!J110+FNA!J110</f>
        <v>0</v>
      </c>
      <c r="K110" s="43">
        <f>SBLEE!K110+FNA!K110</f>
        <v>0</v>
      </c>
      <c r="L110" s="43">
        <f>SBLEE!L110+FNA!L110</f>
        <v>0</v>
      </c>
      <c r="M110" s="34">
        <f t="shared" si="118"/>
        <v>0</v>
      </c>
      <c r="N110" s="43">
        <f>SBLEE!N110+FNA!N110</f>
        <v>0</v>
      </c>
      <c r="O110" s="43">
        <f>SBLEE!O110+FNA!O110</f>
        <v>0</v>
      </c>
      <c r="P110" s="43">
        <f>SBLEE!P110+FNA!P110</f>
        <v>0</v>
      </c>
      <c r="Q110" s="34">
        <f t="shared" si="119"/>
        <v>0</v>
      </c>
      <c r="R110" s="43">
        <f>SBLEE!R110+FNA!R110</f>
        <v>0</v>
      </c>
      <c r="S110" s="43">
        <f>SBLEE!S110+FNA!S110</f>
        <v>0</v>
      </c>
      <c r="T110" s="43">
        <f>SBLEE!T110+FNA!T110</f>
        <v>0</v>
      </c>
      <c r="U110" s="34">
        <f t="shared" si="115"/>
        <v>0</v>
      </c>
      <c r="V110" s="34">
        <f t="shared" si="116"/>
        <v>0</v>
      </c>
    </row>
    <row r="111" spans="1:22" ht="13.15" outlineLevel="2">
      <c r="A111" s="24"/>
      <c r="B111" s="27"/>
      <c r="C111" s="28" t="s">
        <v>152</v>
      </c>
      <c r="D111" s="27"/>
      <c r="E111" s="9"/>
      <c r="F111" s="43">
        <f>SBLEE!F111+FNA!F111</f>
        <v>0</v>
      </c>
      <c r="G111" s="43">
        <f>SBLEE!G111+FNA!G111</f>
        <v>0</v>
      </c>
      <c r="H111" s="43">
        <f>SBLEE!H111+FNA!H111</f>
        <v>0</v>
      </c>
      <c r="I111" s="34">
        <f t="shared" si="117"/>
        <v>0</v>
      </c>
      <c r="J111" s="43">
        <f>SBLEE!J111+FNA!J111</f>
        <v>0</v>
      </c>
      <c r="K111" s="43">
        <f>SBLEE!K111+FNA!K111</f>
        <v>0</v>
      </c>
      <c r="L111" s="43">
        <f>SBLEE!L111+FNA!L111</f>
        <v>0</v>
      </c>
      <c r="M111" s="34">
        <f t="shared" si="118"/>
        <v>0</v>
      </c>
      <c r="N111" s="43">
        <f>SBLEE!N111+FNA!N111</f>
        <v>0</v>
      </c>
      <c r="O111" s="43">
        <f>SBLEE!O111+FNA!O111</f>
        <v>0</v>
      </c>
      <c r="P111" s="43">
        <f>SBLEE!P111+FNA!P111</f>
        <v>0</v>
      </c>
      <c r="Q111" s="34">
        <f t="shared" si="119"/>
        <v>0</v>
      </c>
      <c r="R111" s="43">
        <f>SBLEE!R111+FNA!R111</f>
        <v>0</v>
      </c>
      <c r="S111" s="43">
        <f>SBLEE!S111+FNA!S111</f>
        <v>0</v>
      </c>
      <c r="T111" s="43">
        <f>SBLEE!T111+FNA!T111</f>
        <v>0</v>
      </c>
      <c r="U111" s="34">
        <f t="shared" si="115"/>
        <v>0</v>
      </c>
      <c r="V111" s="34">
        <f t="shared" si="116"/>
        <v>0</v>
      </c>
    </row>
    <row r="112" spans="1:22" ht="13.15" outlineLevel="2">
      <c r="A112" s="24"/>
      <c r="B112" s="27"/>
      <c r="C112" s="28" t="s">
        <v>153</v>
      </c>
      <c r="D112" s="27"/>
      <c r="E112" s="9">
        <v>0</v>
      </c>
      <c r="F112" s="43">
        <f>SBLEE!F112+FNA!F112</f>
        <v>0</v>
      </c>
      <c r="G112" s="43">
        <f>SBLEE!G112+FNA!G112</f>
        <v>0</v>
      </c>
      <c r="H112" s="43">
        <f>SBLEE!H112+FNA!H112</f>
        <v>0</v>
      </c>
      <c r="I112" s="34">
        <f t="shared" si="117"/>
        <v>0</v>
      </c>
      <c r="J112" s="43">
        <f>SBLEE!J112+FNA!J112</f>
        <v>0</v>
      </c>
      <c r="K112" s="43">
        <f>SBLEE!K112+FNA!K112</f>
        <v>0</v>
      </c>
      <c r="L112" s="43">
        <f>SBLEE!L112+FNA!L112</f>
        <v>0</v>
      </c>
      <c r="M112" s="34">
        <f t="shared" si="118"/>
        <v>0</v>
      </c>
      <c r="N112" s="43">
        <f>SBLEE!N112+FNA!N112</f>
        <v>0</v>
      </c>
      <c r="O112" s="43">
        <f>SBLEE!O112+FNA!O112</f>
        <v>0</v>
      </c>
      <c r="P112" s="43">
        <f>SBLEE!P112+FNA!P112</f>
        <v>0</v>
      </c>
      <c r="Q112" s="34">
        <f t="shared" si="119"/>
        <v>0</v>
      </c>
      <c r="R112" s="43">
        <f>SBLEE!R112+FNA!R112</f>
        <v>0</v>
      </c>
      <c r="S112" s="43">
        <f>SBLEE!S112+FNA!S112</f>
        <v>0</v>
      </c>
      <c r="T112" s="43">
        <f>SBLEE!T112+FNA!T112</f>
        <v>0</v>
      </c>
      <c r="U112" s="34">
        <f t="shared" si="115"/>
        <v>0</v>
      </c>
      <c r="V112" s="34">
        <f t="shared" si="116"/>
        <v>0</v>
      </c>
    </row>
    <row r="113" spans="1:22" ht="13.15" outlineLevel="1">
      <c r="A113" s="24"/>
      <c r="B113" s="30" t="s">
        <v>21</v>
      </c>
      <c r="C113" s="30"/>
      <c r="D113" s="30"/>
      <c r="E113" s="10"/>
      <c r="F113" s="45">
        <f t="shared" ref="F113:U113" si="120">SUM(F108:F112)</f>
        <v>0</v>
      </c>
      <c r="G113" s="45">
        <f t="shared" si="120"/>
        <v>0</v>
      </c>
      <c r="H113" s="45">
        <f t="shared" si="120"/>
        <v>0</v>
      </c>
      <c r="I113" s="35">
        <f t="shared" si="120"/>
        <v>0</v>
      </c>
      <c r="J113" s="45">
        <f t="shared" si="120"/>
        <v>0</v>
      </c>
      <c r="K113" s="45">
        <f t="shared" si="120"/>
        <v>0</v>
      </c>
      <c r="L113" s="45">
        <f t="shared" si="120"/>
        <v>0</v>
      </c>
      <c r="M113" s="35">
        <f t="shared" si="120"/>
        <v>0</v>
      </c>
      <c r="N113" s="45">
        <f t="shared" si="120"/>
        <v>0</v>
      </c>
      <c r="O113" s="45">
        <f t="shared" si="120"/>
        <v>0</v>
      </c>
      <c r="P113" s="45">
        <f t="shared" si="120"/>
        <v>0</v>
      </c>
      <c r="Q113" s="35">
        <f t="shared" si="120"/>
        <v>0</v>
      </c>
      <c r="R113" s="45">
        <f t="shared" si="120"/>
        <v>0</v>
      </c>
      <c r="S113" s="45">
        <f t="shared" si="120"/>
        <v>0</v>
      </c>
      <c r="T113" s="45">
        <f t="shared" si="120"/>
        <v>0</v>
      </c>
      <c r="U113" s="35">
        <f t="shared" si="120"/>
        <v>0</v>
      </c>
      <c r="V113" s="35">
        <f t="shared" si="116"/>
        <v>0</v>
      </c>
    </row>
    <row r="114" spans="1:22" ht="13.15">
      <c r="A114" s="24"/>
      <c r="B114" s="24"/>
      <c r="C114" s="24"/>
      <c r="D114" s="24" t="s">
        <v>22</v>
      </c>
      <c r="E114" s="8"/>
      <c r="F114" s="44">
        <f>F88+F89+F97+F106+F113</f>
        <v>24808000</v>
      </c>
      <c r="G114" s="44">
        <f>G88+G89+G97+G106+G113</f>
        <v>25008000</v>
      </c>
      <c r="H114" s="44">
        <f>H88+H89+H97+H106+H113</f>
        <v>25008000</v>
      </c>
      <c r="I114" s="35">
        <f>I113+I106+I97+I89+I88</f>
        <v>74824000</v>
      </c>
      <c r="J114" s="44">
        <f>J88+J89+J97+J106+J113</f>
        <v>25008000</v>
      </c>
      <c r="K114" s="44">
        <f>K88+K89+K97+K106+K113</f>
        <v>25008000</v>
      </c>
      <c r="L114" s="44">
        <f>L88+L89+L97+L106+L113</f>
        <v>25008000</v>
      </c>
      <c r="M114" s="35">
        <f>M113+M106+M97+M89+M88</f>
        <v>75024000</v>
      </c>
      <c r="N114" s="44">
        <f>N88+N89+N97+N106+N113</f>
        <v>25008000</v>
      </c>
      <c r="O114" s="44">
        <f>O88+O89+O97+O106+O113</f>
        <v>25008000</v>
      </c>
      <c r="P114" s="44">
        <f>P88+P89+P97+P106+P113</f>
        <v>25008000</v>
      </c>
      <c r="Q114" s="35">
        <f>Q113+Q106+Q97+Q89+Q88</f>
        <v>75024000</v>
      </c>
      <c r="R114" s="44">
        <f>R88+R89+R97+R106+R113</f>
        <v>25008000</v>
      </c>
      <c r="S114" s="44">
        <f>S88+S89+S97+S106+S113</f>
        <v>25008000</v>
      </c>
      <c r="T114" s="44">
        <f>T88+T89+T97+T106+T113</f>
        <v>25008000</v>
      </c>
      <c r="U114" s="35">
        <f>U113+U106+U97+U89+U88</f>
        <v>75024000</v>
      </c>
      <c r="V114" s="35">
        <f t="shared" si="116"/>
        <v>299896000</v>
      </c>
    </row>
    <row r="115" spans="1:22" ht="13.9">
      <c r="A115" s="11" t="s">
        <v>23</v>
      </c>
      <c r="B115" s="11"/>
      <c r="C115" s="11"/>
      <c r="D115" s="11"/>
      <c r="E115" s="12"/>
      <c r="F115" s="46">
        <f t="shared" ref="F115:U115" si="121">F114+F77</f>
        <v>55158000</v>
      </c>
      <c r="G115" s="46">
        <f t="shared" si="121"/>
        <v>54577000</v>
      </c>
      <c r="H115" s="46">
        <f t="shared" si="121"/>
        <v>54577000</v>
      </c>
      <c r="I115" s="109">
        <f t="shared" si="121"/>
        <v>163772000</v>
      </c>
      <c r="J115" s="46">
        <f t="shared" si="121"/>
        <v>54577000</v>
      </c>
      <c r="K115" s="46">
        <f t="shared" si="121"/>
        <v>54577000</v>
      </c>
      <c r="L115" s="46">
        <f t="shared" si="121"/>
        <v>54577000</v>
      </c>
      <c r="M115" s="109">
        <f t="shared" si="121"/>
        <v>163731000</v>
      </c>
      <c r="N115" s="46">
        <f t="shared" si="121"/>
        <v>54577000</v>
      </c>
      <c r="O115" s="46">
        <f t="shared" si="121"/>
        <v>54577000</v>
      </c>
      <c r="P115" s="46">
        <f t="shared" si="121"/>
        <v>54577000</v>
      </c>
      <c r="Q115" s="109">
        <f t="shared" si="121"/>
        <v>163731000</v>
      </c>
      <c r="R115" s="46">
        <f t="shared" si="121"/>
        <v>54577000</v>
      </c>
      <c r="S115" s="46">
        <f t="shared" si="121"/>
        <v>54577000</v>
      </c>
      <c r="T115" s="46">
        <f t="shared" si="121"/>
        <v>54577000</v>
      </c>
      <c r="U115" s="109">
        <f t="shared" si="121"/>
        <v>163731000</v>
      </c>
      <c r="V115" s="40">
        <f t="shared" si="116"/>
        <v>654965000</v>
      </c>
    </row>
    <row r="116" spans="1:22" ht="13.15" thickBot="1">
      <c r="A116" s="14"/>
      <c r="B116" s="14"/>
      <c r="C116" s="14"/>
      <c r="D116" s="14"/>
      <c r="E116" s="15"/>
      <c r="F116" s="47"/>
      <c r="G116" s="47"/>
      <c r="H116" s="47"/>
      <c r="I116" s="37"/>
      <c r="J116" s="47"/>
      <c r="K116" s="47"/>
      <c r="L116" s="47"/>
      <c r="M116" s="37"/>
      <c r="N116" s="47"/>
      <c r="O116" s="47"/>
      <c r="P116" s="47"/>
      <c r="Q116" s="37"/>
      <c r="R116" s="47"/>
      <c r="S116" s="47"/>
      <c r="T116" s="47"/>
      <c r="U116" s="37"/>
      <c r="V116" s="37"/>
    </row>
    <row r="117" spans="1:22">
      <c r="A117" s="7"/>
      <c r="B117" s="7"/>
      <c r="C117" s="7"/>
      <c r="D117" s="7"/>
      <c r="F117" s="13"/>
      <c r="G117" s="13"/>
      <c r="H117" s="13"/>
      <c r="J117" s="13"/>
      <c r="K117" s="13"/>
      <c r="L117" s="13"/>
      <c r="N117" s="13"/>
      <c r="O117" s="13"/>
      <c r="P117" s="13"/>
      <c r="R117" s="13"/>
      <c r="S117" s="13"/>
      <c r="T117" s="13"/>
    </row>
    <row r="118" spans="1:22">
      <c r="D118" s="94" t="s">
        <v>205</v>
      </c>
      <c r="F118" s="39">
        <f>SBLEE!F115</f>
        <v>15151000</v>
      </c>
      <c r="G118" s="39">
        <f>SBLEE!G115</f>
        <v>14570000</v>
      </c>
      <c r="H118" s="39">
        <f>SBLEE!H115</f>
        <v>14570000</v>
      </c>
      <c r="I118" s="39"/>
      <c r="J118" s="39">
        <f>SBLEE!J115</f>
        <v>14570000</v>
      </c>
      <c r="K118" s="39">
        <f>SBLEE!K115</f>
        <v>14570000</v>
      </c>
      <c r="L118" s="39">
        <f>SBLEE!L115</f>
        <v>14570000</v>
      </c>
      <c r="M118" s="39"/>
      <c r="N118" s="39">
        <f>SBLEE!N115</f>
        <v>14570000</v>
      </c>
      <c r="O118" s="39">
        <f>SBLEE!O115</f>
        <v>14570000</v>
      </c>
      <c r="P118" s="39">
        <f>SBLEE!P115</f>
        <v>14570000</v>
      </c>
      <c r="Q118" s="39"/>
      <c r="R118" s="39">
        <f>SBLEE!R115</f>
        <v>14570000</v>
      </c>
      <c r="S118" s="39">
        <f>SBLEE!S115</f>
        <v>14570000</v>
      </c>
      <c r="T118" s="39">
        <f>SBLEE!T115</f>
        <v>14570000</v>
      </c>
    </row>
    <row r="119" spans="1:22">
      <c r="D119" s="94" t="s">
        <v>156</v>
      </c>
      <c r="F119" s="39">
        <f>FNA!F115</f>
        <v>40007000</v>
      </c>
      <c r="G119" s="39">
        <f>FNA!G115</f>
        <v>40007000</v>
      </c>
      <c r="H119" s="39">
        <f>FNA!H115</f>
        <v>40007000</v>
      </c>
      <c r="I119" s="39"/>
      <c r="J119" s="39">
        <f>FNA!J115</f>
        <v>40007000</v>
      </c>
      <c r="K119" s="39">
        <f>FNA!K115</f>
        <v>40007000</v>
      </c>
      <c r="L119" s="39">
        <f>FNA!L115</f>
        <v>40007000</v>
      </c>
      <c r="M119" s="39"/>
      <c r="N119" s="39">
        <f>FNA!N115</f>
        <v>40007000</v>
      </c>
      <c r="O119" s="39">
        <f>FNA!O115</f>
        <v>40007000</v>
      </c>
      <c r="P119" s="39">
        <f>FNA!P115</f>
        <v>40007000</v>
      </c>
      <c r="Q119" s="39"/>
      <c r="R119" s="39">
        <f>FNA!R115</f>
        <v>40007000</v>
      </c>
      <c r="S119" s="39">
        <f>FNA!S115</f>
        <v>40007000</v>
      </c>
      <c r="T119" s="39">
        <f>FNA!T115</f>
        <v>40007000</v>
      </c>
    </row>
    <row r="120" spans="1:22" ht="13.5">
      <c r="D120" s="105"/>
      <c r="F120" s="95">
        <f>SUM(F118:F119)</f>
        <v>55158000</v>
      </c>
      <c r="G120" s="95">
        <f>SUM(G118:G119)</f>
        <v>54577000</v>
      </c>
      <c r="H120" s="95">
        <f>SUM(H118:H119)</f>
        <v>54577000</v>
      </c>
      <c r="J120" s="95">
        <f>SUM(J118:J119)</f>
        <v>54577000</v>
      </c>
      <c r="K120" s="95">
        <f>SUM(K118:K119)</f>
        <v>54577000</v>
      </c>
      <c r="L120" s="95">
        <f>SUM(L118:L119)</f>
        <v>54577000</v>
      </c>
      <c r="N120" s="95">
        <f>SUM(N118:N119)</f>
        <v>54577000</v>
      </c>
      <c r="O120" s="95">
        <f>SUM(O118:O119)</f>
        <v>54577000</v>
      </c>
      <c r="P120" s="95">
        <f>SUM(P118:P119)</f>
        <v>54577000</v>
      </c>
      <c r="R120" s="95">
        <f>SUM(R118:R119)</f>
        <v>54577000</v>
      </c>
      <c r="S120" s="95">
        <f>SUM(S118:S119)</f>
        <v>54577000</v>
      </c>
      <c r="T120" s="95">
        <f>SUM(T118:T119)</f>
        <v>54577000</v>
      </c>
    </row>
    <row r="121" spans="1:22" ht="13.5">
      <c r="D121" s="105" t="s">
        <v>270</v>
      </c>
      <c r="F121" s="42">
        <f>SDT!F114</f>
        <v>3213000</v>
      </c>
      <c r="G121" s="95">
        <f>SDT!G114</f>
        <v>2110000</v>
      </c>
      <c r="H121" s="95">
        <f>SDT!H114</f>
        <v>2110000</v>
      </c>
      <c r="I121" s="95"/>
      <c r="J121" s="95">
        <f>SDT!J114</f>
        <v>2110000</v>
      </c>
      <c r="K121" s="95">
        <f>SDT!K114</f>
        <v>2110000</v>
      </c>
      <c r="L121" s="95">
        <f>SDT!L114</f>
        <v>2110000</v>
      </c>
      <c r="M121" s="95"/>
      <c r="N121" s="95">
        <f>SDT!N114</f>
        <v>2110000</v>
      </c>
      <c r="O121" s="95">
        <f>SDT!O114</f>
        <v>2110000</v>
      </c>
      <c r="P121" s="95">
        <f>SDT!P114</f>
        <v>2110000</v>
      </c>
      <c r="Q121" s="95"/>
      <c r="R121" s="95">
        <f>SDT!R114</f>
        <v>2110000</v>
      </c>
      <c r="S121" s="95">
        <f>SDT!S114</f>
        <v>2110000</v>
      </c>
      <c r="T121" s="95">
        <f>SDT!T114</f>
        <v>2110000</v>
      </c>
    </row>
    <row r="122" spans="1:22" ht="13.15">
      <c r="D122" s="104" t="s">
        <v>334</v>
      </c>
      <c r="F122" s="39">
        <f>TST!F121</f>
        <v>935000</v>
      </c>
      <c r="G122" s="39">
        <f>TST!G121</f>
        <v>322000</v>
      </c>
      <c r="H122" s="39">
        <f>TST!H121</f>
        <v>322000</v>
      </c>
      <c r="J122" s="39">
        <f>TST!J121</f>
        <v>322000</v>
      </c>
      <c r="K122" s="39">
        <f>TST!K121</f>
        <v>322000</v>
      </c>
      <c r="L122" s="39">
        <f>TST!L121</f>
        <v>322000</v>
      </c>
      <c r="N122" s="39">
        <f>TST!N121</f>
        <v>322000</v>
      </c>
      <c r="O122" s="39">
        <f>TST!O121</f>
        <v>322000</v>
      </c>
      <c r="P122" s="39">
        <f>TST!P121</f>
        <v>322000</v>
      </c>
      <c r="R122" s="39">
        <f>TST!R121</f>
        <v>322000</v>
      </c>
      <c r="S122" s="39">
        <f>TST!S121</f>
        <v>322000</v>
      </c>
      <c r="T122" s="39">
        <f>TST!T121</f>
        <v>322000</v>
      </c>
    </row>
    <row r="123" spans="1:22" ht="13.15">
      <c r="D123" s="104" t="s">
        <v>269</v>
      </c>
      <c r="F123" s="39">
        <f>TSG!F121</f>
        <v>30000</v>
      </c>
      <c r="G123" s="39">
        <f>TSG!G121</f>
        <v>310000</v>
      </c>
      <c r="H123" s="39">
        <f>TSG!H121</f>
        <v>310000</v>
      </c>
      <c r="J123" s="39">
        <f>TSG!J121</f>
        <v>310000</v>
      </c>
      <c r="K123" s="39">
        <f>TSG!K121</f>
        <v>310000</v>
      </c>
      <c r="L123" s="39">
        <f>TSG!L121</f>
        <v>310000</v>
      </c>
      <c r="N123" s="39">
        <f>TSG!N121</f>
        <v>310000</v>
      </c>
      <c r="O123" s="39">
        <f>TSG!O121</f>
        <v>310000</v>
      </c>
      <c r="P123" s="39">
        <f>TSG!P121</f>
        <v>310000</v>
      </c>
      <c r="R123" s="39">
        <f>TSG!R121</f>
        <v>310000</v>
      </c>
      <c r="S123" s="39">
        <f>TSG!S121</f>
        <v>310000</v>
      </c>
      <c r="T123" s="39">
        <f>TSG!T121</f>
        <v>310000</v>
      </c>
    </row>
    <row r="124" spans="1:22" ht="13.15">
      <c r="F124" s="95">
        <f>F120+F121+F122+F123</f>
        <v>59336000</v>
      </c>
      <c r="G124" s="95">
        <f>G120+G121+G122+G123</f>
        <v>57319000</v>
      </c>
      <c r="H124" s="95">
        <f t="shared" ref="H124:U124" si="122">H120+H121+H122+H123</f>
        <v>57319000</v>
      </c>
      <c r="I124" s="95">
        <f t="shared" si="122"/>
        <v>0</v>
      </c>
      <c r="J124" s="95">
        <f t="shared" si="122"/>
        <v>57319000</v>
      </c>
      <c r="K124" s="95">
        <f t="shared" si="122"/>
        <v>57319000</v>
      </c>
      <c r="L124" s="95">
        <f t="shared" si="122"/>
        <v>57319000</v>
      </c>
      <c r="M124" s="95">
        <f t="shared" si="122"/>
        <v>0</v>
      </c>
      <c r="N124" s="95">
        <f t="shared" si="122"/>
        <v>57319000</v>
      </c>
      <c r="O124" s="95">
        <f t="shared" si="122"/>
        <v>57319000</v>
      </c>
      <c r="P124" s="95">
        <f t="shared" si="122"/>
        <v>57319000</v>
      </c>
      <c r="Q124" s="95">
        <f t="shared" si="122"/>
        <v>0</v>
      </c>
      <c r="R124" s="95">
        <f t="shared" si="122"/>
        <v>57319000</v>
      </c>
      <c r="S124" s="95">
        <f t="shared" si="122"/>
        <v>57319000</v>
      </c>
      <c r="T124" s="95">
        <f t="shared" si="122"/>
        <v>57319000</v>
      </c>
      <c r="U124" s="95">
        <f t="shared" si="122"/>
        <v>0</v>
      </c>
    </row>
    <row r="125" spans="1:22">
      <c r="D125" s="94"/>
    </row>
    <row r="126" spans="1:22">
      <c r="D126" s="94"/>
    </row>
    <row r="127" spans="1:22">
      <c r="D127" s="94"/>
    </row>
  </sheetData>
  <mergeCells count="15">
    <mergeCell ref="C24:D24"/>
    <mergeCell ref="C25:D25"/>
    <mergeCell ref="A26:D26"/>
    <mergeCell ref="A28:D28"/>
    <mergeCell ref="C29:D29"/>
    <mergeCell ref="A15:A25"/>
    <mergeCell ref="C15:D15"/>
    <mergeCell ref="C21:D21"/>
    <mergeCell ref="C22:D22"/>
    <mergeCell ref="C23:D23"/>
    <mergeCell ref="A3:D3"/>
    <mergeCell ref="A4:A11"/>
    <mergeCell ref="B5:B10"/>
    <mergeCell ref="A12:D12"/>
    <mergeCell ref="A14:D14"/>
  </mergeCells>
  <phoneticPr fontId="8" type="noConversion"/>
  <pageMargins left="0.59055118110236227" right="0.39370078740157483" top="0.98425196850393704" bottom="0.39370078740157483" header="0.51181102362204722" footer="0.51181102362204722"/>
  <pageSetup paperSize="9" scale="10" fitToHeight="2" orientation="portrait" r:id="rId1"/>
  <headerFooter alignWithMargins="0">
    <oddHeader>&amp;L&amp;Z&amp;F&amp;A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8">
    <tabColor indexed="52"/>
    <pageSetUpPr fitToPage="1"/>
  </sheetPr>
  <dimension ref="A1:AX130"/>
  <sheetViews>
    <sheetView zoomScaleNormal="100" workbookViewId="0">
      <pane xSplit="5" ySplit="5" topLeftCell="G96" activePane="bottomRight" state="frozen"/>
      <selection pane="topRight" activeCell="F1" sqref="F1"/>
      <selection pane="bottomLeft" activeCell="A3" sqref="A3"/>
      <selection pane="bottomRight" activeCell="R76" sqref="R76"/>
    </sheetView>
  </sheetViews>
  <sheetFormatPr defaultColWidth="8.87890625" defaultRowHeight="12.75" outlineLevelRow="2" outlineLevelCol="1"/>
  <cols>
    <col min="1" max="3" width="1.3515625" style="3" customWidth="1"/>
    <col min="4" max="4" width="21.1171875" style="3" customWidth="1"/>
    <col min="5" max="5" width="1.64453125" style="7" customWidth="1"/>
    <col min="6" max="6" width="11.41015625" style="3" bestFit="1" customWidth="1" outlineLevel="1"/>
    <col min="7" max="8" width="10.87890625" style="3" customWidth="1" outlineLevel="1"/>
    <col min="9" max="9" width="11.64453125" style="3" bestFit="1" customWidth="1"/>
    <col min="10" max="10" width="10.234375" style="3" customWidth="1" outlineLevel="1"/>
    <col min="11" max="12" width="10.87890625" style="3" customWidth="1" outlineLevel="1"/>
    <col min="13" max="13" width="10.87890625" style="3" bestFit="1" customWidth="1"/>
    <col min="14" max="16" width="10.234375" style="3" customWidth="1" outlineLevel="1"/>
    <col min="17" max="17" width="10.87890625" style="3" bestFit="1" customWidth="1"/>
    <col min="18" max="20" width="10.234375" style="3" customWidth="1" outlineLevel="1"/>
    <col min="21" max="21" width="10.87890625" style="3" bestFit="1" customWidth="1"/>
    <col min="22" max="22" width="11.64453125" style="3" bestFit="1" customWidth="1"/>
    <col min="23" max="23" width="2.87890625" style="3" customWidth="1"/>
    <col min="24" max="24" width="13.234375" style="39" customWidth="1"/>
    <col min="25" max="25" width="11.41015625" style="3" customWidth="1"/>
    <col min="26" max="26" width="6.87890625" style="3" customWidth="1"/>
    <col min="27" max="27" width="11" style="39" hidden="1" customWidth="1"/>
    <col min="28" max="28" width="10.64453125" style="39" hidden="1" customWidth="1"/>
    <col min="29" max="29" width="10.64453125" style="72" hidden="1" customWidth="1"/>
    <col min="30" max="30" width="10.64453125" style="39" hidden="1" customWidth="1"/>
    <col min="31" max="31" width="10.76171875" style="39" hidden="1" customWidth="1"/>
    <col min="32" max="32" width="2.234375" style="39" hidden="1" customWidth="1"/>
    <col min="33" max="33" width="12.1171875" style="3" hidden="1" customWidth="1"/>
    <col min="34" max="34" width="3.41015625" style="3" hidden="1" customWidth="1"/>
    <col min="35" max="36" width="10.64453125" style="39" hidden="1" customWidth="1"/>
    <col min="37" max="37" width="9.87890625" style="3" hidden="1" customWidth="1"/>
    <col min="38" max="38" width="8.87890625" style="3" hidden="1" customWidth="1"/>
    <col min="39" max="39" width="5.76171875" style="3" hidden="1" customWidth="1"/>
    <col min="40" max="40" width="10.64453125" style="3" hidden="1" customWidth="1"/>
    <col min="41" max="41" width="11.1171875" style="3" hidden="1" customWidth="1"/>
    <col min="42" max="42" width="4" style="3" hidden="1" customWidth="1"/>
    <col min="43" max="45" width="12.1171875" style="3" hidden="1" customWidth="1"/>
    <col min="46" max="46" width="0" style="3" hidden="1" customWidth="1"/>
    <col min="47" max="16384" width="8.87890625" style="3"/>
  </cols>
  <sheetData>
    <row r="1" spans="1:50" ht="13.5">
      <c r="A1" s="474" t="s">
        <v>102</v>
      </c>
      <c r="B1" s="475"/>
      <c r="C1" s="475"/>
      <c r="D1" s="475"/>
      <c r="E1" s="475"/>
      <c r="F1" s="475"/>
      <c r="G1" s="475"/>
      <c r="H1" s="475"/>
      <c r="I1" s="475"/>
      <c r="J1" s="475"/>
      <c r="K1" s="475"/>
      <c r="L1" s="475"/>
      <c r="M1" s="475"/>
      <c r="N1" s="475"/>
      <c r="O1" s="475"/>
      <c r="P1" s="475"/>
      <c r="Q1" s="475"/>
      <c r="R1" s="475"/>
      <c r="S1" s="475"/>
      <c r="T1" s="475"/>
      <c r="U1" s="475"/>
      <c r="V1" s="475"/>
      <c r="X1"/>
      <c r="Y1"/>
    </row>
    <row r="2" spans="1:50" ht="13.15">
      <c r="A2" s="474" t="s">
        <v>103</v>
      </c>
      <c r="B2" s="475"/>
      <c r="C2" s="475"/>
      <c r="D2" s="475"/>
      <c r="E2" s="475"/>
      <c r="F2" s="475"/>
      <c r="G2" s="475"/>
      <c r="H2" s="475"/>
      <c r="I2" s="475"/>
      <c r="J2" s="475"/>
      <c r="K2" s="475"/>
      <c r="L2" s="475"/>
      <c r="M2" s="475"/>
      <c r="N2" s="475"/>
      <c r="O2" s="475"/>
      <c r="P2" s="475"/>
      <c r="Q2" s="475"/>
      <c r="R2" s="475"/>
      <c r="S2" s="475"/>
      <c r="T2" s="475"/>
      <c r="U2" s="475"/>
      <c r="V2" s="475"/>
      <c r="X2" s="3"/>
    </row>
    <row r="3" spans="1:50" ht="13.5" thickBot="1">
      <c r="A3" s="474" t="s">
        <v>104</v>
      </c>
      <c r="B3" s="474"/>
      <c r="C3" s="474"/>
      <c r="D3" s="474"/>
      <c r="E3" s="474"/>
      <c r="F3" s="474"/>
      <c r="G3" s="474"/>
      <c r="H3" s="474"/>
      <c r="I3" s="474"/>
      <c r="J3" s="474"/>
      <c r="K3" s="474"/>
      <c r="L3" s="474"/>
      <c r="M3" s="474"/>
      <c r="N3" s="474"/>
      <c r="O3" s="474"/>
      <c r="P3" s="474"/>
      <c r="Q3" s="474"/>
      <c r="R3" s="474"/>
      <c r="S3" s="474"/>
      <c r="T3" s="474"/>
      <c r="U3" s="474"/>
      <c r="V3" s="474"/>
      <c r="X3" s="3"/>
    </row>
    <row r="4" spans="1:50" ht="13.9" thickBot="1">
      <c r="A4" s="1"/>
      <c r="B4" s="1"/>
      <c r="C4" s="1"/>
      <c r="D4" s="38"/>
      <c r="E4" s="2"/>
      <c r="F4" s="18" t="s">
        <v>69</v>
      </c>
      <c r="G4" s="18" t="s">
        <v>70</v>
      </c>
      <c r="H4" s="18" t="s">
        <v>71</v>
      </c>
      <c r="I4" s="18" t="s">
        <v>72</v>
      </c>
      <c r="J4" s="18" t="s">
        <v>74</v>
      </c>
      <c r="K4" s="18" t="s">
        <v>75</v>
      </c>
      <c r="L4" s="18" t="s">
        <v>79</v>
      </c>
      <c r="M4" s="18" t="s">
        <v>77</v>
      </c>
      <c r="N4" s="18" t="s">
        <v>80</v>
      </c>
      <c r="O4" s="18" t="s">
        <v>84</v>
      </c>
      <c r="P4" s="18" t="s">
        <v>85</v>
      </c>
      <c r="Q4" s="18" t="s">
        <v>83</v>
      </c>
      <c r="R4" s="18" t="s">
        <v>88</v>
      </c>
      <c r="S4" s="18" t="s">
        <v>91</v>
      </c>
      <c r="T4" s="18" t="s">
        <v>92</v>
      </c>
      <c r="U4" s="18" t="s">
        <v>89</v>
      </c>
      <c r="V4" s="18">
        <v>2026</v>
      </c>
      <c r="X4"/>
      <c r="Y4"/>
      <c r="AX4" s="4"/>
    </row>
    <row r="5" spans="1:50" ht="16.149999999999999" thickBot="1">
      <c r="A5" s="5"/>
      <c r="B5" s="5"/>
      <c r="C5" s="5"/>
      <c r="D5" s="6"/>
      <c r="E5" s="2"/>
      <c r="F5" s="110" t="s">
        <v>24</v>
      </c>
      <c r="G5" s="110" t="s">
        <v>24</v>
      </c>
      <c r="H5" s="110" t="s">
        <v>24</v>
      </c>
      <c r="I5" s="137" t="s">
        <v>25</v>
      </c>
      <c r="J5" s="110" t="s">
        <v>24</v>
      </c>
      <c r="K5" s="110" t="s">
        <v>24</v>
      </c>
      <c r="L5" s="110" t="s">
        <v>24</v>
      </c>
      <c r="M5" s="137" t="s">
        <v>25</v>
      </c>
      <c r="N5" s="110" t="s">
        <v>24</v>
      </c>
      <c r="O5" s="110" t="s">
        <v>24</v>
      </c>
      <c r="P5" s="110" t="s">
        <v>24</v>
      </c>
      <c r="Q5" s="137" t="s">
        <v>25</v>
      </c>
      <c r="R5" s="110" t="s">
        <v>24</v>
      </c>
      <c r="S5" s="110" t="s">
        <v>24</v>
      </c>
      <c r="T5" s="110" t="s">
        <v>24</v>
      </c>
      <c r="U5" s="137" t="s">
        <v>25</v>
      </c>
      <c r="V5" s="137" t="s">
        <v>25</v>
      </c>
      <c r="X5" s="88" t="s">
        <v>262</v>
      </c>
      <c r="Y5" s="3" t="s">
        <v>97</v>
      </c>
      <c r="AA5" s="57" t="s">
        <v>142</v>
      </c>
      <c r="AB5" s="71" t="s">
        <v>147</v>
      </c>
      <c r="AC5" s="82" t="s">
        <v>148</v>
      </c>
      <c r="AD5" s="57" t="s">
        <v>143</v>
      </c>
      <c r="AE5" s="70" t="s">
        <v>144</v>
      </c>
      <c r="AF5" s="70"/>
      <c r="AG5" s="59" t="s">
        <v>122</v>
      </c>
      <c r="AH5" s="59"/>
      <c r="AI5" s="69" t="s">
        <v>140</v>
      </c>
      <c r="AJ5" s="60" t="s">
        <v>124</v>
      </c>
      <c r="AK5" s="61" t="s">
        <v>123</v>
      </c>
      <c r="AN5" s="59" t="s">
        <v>143</v>
      </c>
      <c r="AO5" s="81" t="s">
        <v>145</v>
      </c>
      <c r="AQ5" s="3" t="s">
        <v>149</v>
      </c>
      <c r="AR5" s="3" t="s">
        <v>150</v>
      </c>
      <c r="AS5" s="80" t="s">
        <v>151</v>
      </c>
    </row>
    <row r="6" spans="1:50" s="111" customFormat="1" ht="12.75" customHeight="1">
      <c r="A6" s="447" t="s">
        <v>159</v>
      </c>
      <c r="B6" s="448"/>
      <c r="C6" s="448"/>
      <c r="D6" s="449"/>
      <c r="E6" s="2"/>
      <c r="F6" s="133"/>
      <c r="G6" s="133"/>
      <c r="H6" s="133"/>
      <c r="I6" s="134"/>
      <c r="J6" s="133"/>
      <c r="K6" s="133"/>
      <c r="L6" s="133"/>
      <c r="M6" s="134"/>
      <c r="N6" s="133"/>
      <c r="O6" s="133"/>
      <c r="P6" s="133"/>
      <c r="Q6" s="134"/>
      <c r="R6" s="133"/>
      <c r="S6" s="133"/>
      <c r="T6" s="133"/>
      <c r="U6" s="134"/>
      <c r="V6" s="134"/>
    </row>
    <row r="7" spans="1:50" s="111" customFormat="1" ht="12.75" customHeight="1">
      <c r="A7" s="450"/>
      <c r="B7" s="112" t="s">
        <v>160</v>
      </c>
      <c r="C7" s="112"/>
      <c r="D7" s="113"/>
      <c r="E7" s="2"/>
      <c r="F7" s="43"/>
      <c r="G7" s="43"/>
      <c r="H7" s="43"/>
      <c r="I7" s="34"/>
      <c r="J7" s="43"/>
      <c r="K7" s="43"/>
      <c r="L7" s="43"/>
      <c r="M7" s="34"/>
      <c r="N7" s="43"/>
      <c r="O7" s="43"/>
      <c r="P7" s="43"/>
      <c r="Q7" s="34"/>
      <c r="R7" s="43"/>
      <c r="S7" s="43"/>
      <c r="T7" s="43"/>
      <c r="U7" s="34"/>
      <c r="V7" s="34"/>
    </row>
    <row r="8" spans="1:50" s="111" customFormat="1" ht="12.75" customHeight="1" outlineLevel="1">
      <c r="A8" s="450"/>
      <c r="B8" s="451"/>
      <c r="C8" s="114"/>
      <c r="D8" s="115" t="s">
        <v>161</v>
      </c>
      <c r="E8" s="7">
        <v>1</v>
      </c>
      <c r="F8" s="43">
        <f>SDT!F5+TST!F5+TSG!F5+간접!F5</f>
        <v>350975000</v>
      </c>
      <c r="G8" s="43">
        <f>SDT!G5+TST!G5+TSG!G5+간접!G5</f>
        <v>28000000</v>
      </c>
      <c r="H8" s="43">
        <f>SDT!H5+TST!H5+TSG!H5+간접!H5</f>
        <v>28000000</v>
      </c>
      <c r="I8" s="34">
        <f t="shared" ref="I8:I12" si="0">H8+G8+F8</f>
        <v>406975000</v>
      </c>
      <c r="J8" s="43">
        <f>SDT!J5+TST!J5+TSG!J5+간접!J5</f>
        <v>28000000</v>
      </c>
      <c r="K8" s="43">
        <f>SDT!K5+TST!K5+TSG!K5+간접!K5</f>
        <v>28000000</v>
      </c>
      <c r="L8" s="43">
        <f>SDT!L5+TST!L5+TSG!L5+간접!L5</f>
        <v>28000000</v>
      </c>
      <c r="M8" s="34">
        <f t="shared" ref="M8:M13" si="1">L8+K8+J8</f>
        <v>84000000</v>
      </c>
      <c r="N8" s="43">
        <f>SDT!N5+TST!N5+TSG!N5+간접!N5</f>
        <v>28000000</v>
      </c>
      <c r="O8" s="43">
        <f>SDT!O5+TST!O5+TSG!O5+간접!O5</f>
        <v>28000000</v>
      </c>
      <c r="P8" s="43">
        <f>SDT!P5+TST!P5+TSG!P5+간접!P5</f>
        <v>28000000</v>
      </c>
      <c r="Q8" s="34">
        <f t="shared" ref="Q8:Q13" si="2">P8+O8+N8</f>
        <v>84000000</v>
      </c>
      <c r="R8" s="43">
        <f>SDT!R5+TST!R5+TSG!R5+간접!R5</f>
        <v>28000000</v>
      </c>
      <c r="S8" s="43">
        <f>SDT!S5+TST!S5+TSG!S5+간접!S5</f>
        <v>28000000</v>
      </c>
      <c r="T8" s="43">
        <f>SDT!T5+TST!T5+TSG!T5+간접!T5</f>
        <v>28000000</v>
      </c>
      <c r="U8" s="34">
        <f t="shared" ref="U8:U13" si="3">T8+S8+R8</f>
        <v>84000000</v>
      </c>
      <c r="V8" s="34">
        <f t="shared" ref="V8:V13" si="4">U8+Q8+M8+I8</f>
        <v>658975000</v>
      </c>
    </row>
    <row r="9" spans="1:50" s="111" customFormat="1" ht="12.75" customHeight="1" outlineLevel="1">
      <c r="A9" s="450"/>
      <c r="B9" s="451"/>
      <c r="C9" s="116"/>
      <c r="D9" s="117" t="s">
        <v>162</v>
      </c>
      <c r="E9" s="7">
        <v>1</v>
      </c>
      <c r="F9" s="43">
        <f>SDT!F6+TST!F6+TSG!F6+간접!F6</f>
        <v>672883000</v>
      </c>
      <c r="G9" s="43">
        <f>SDT!G6+TST!G6+TSG!G6+간접!G6</f>
        <v>105000000</v>
      </c>
      <c r="H9" s="43">
        <f>SDT!H6+TST!H6+TSG!H6+간접!H6</f>
        <v>105000000</v>
      </c>
      <c r="I9" s="34">
        <f t="shared" si="0"/>
        <v>882883000</v>
      </c>
      <c r="J9" s="43">
        <f>SDT!J6+TST!J6+TSG!J6+간접!J6</f>
        <v>105000000</v>
      </c>
      <c r="K9" s="43">
        <f>SDT!K6+TST!K6+TSG!K6+간접!K6</f>
        <v>105000000</v>
      </c>
      <c r="L9" s="43">
        <f>SDT!L6+TST!L6+TSG!L6+간접!L6</f>
        <v>105000000</v>
      </c>
      <c r="M9" s="34">
        <f t="shared" si="1"/>
        <v>315000000</v>
      </c>
      <c r="N9" s="43">
        <f>SDT!N6+TST!N6+TSG!N6+간접!N6</f>
        <v>105000000</v>
      </c>
      <c r="O9" s="43">
        <f>SDT!O6+TST!O6+TSG!O6+간접!O6</f>
        <v>105000000</v>
      </c>
      <c r="P9" s="43">
        <f>SDT!P6+TST!P6+TSG!P6+간접!P6</f>
        <v>105000000</v>
      </c>
      <c r="Q9" s="34">
        <f t="shared" si="2"/>
        <v>315000000</v>
      </c>
      <c r="R9" s="43">
        <f>SDT!R6+TST!R6+TSG!R6+간접!R6</f>
        <v>105000000</v>
      </c>
      <c r="S9" s="43">
        <f>SDT!S6+TST!S6+TSG!S6+간접!S6</f>
        <v>105000000</v>
      </c>
      <c r="T9" s="43">
        <f>SDT!T6+TST!T6+TSG!T6+간접!T6</f>
        <v>105000000</v>
      </c>
      <c r="U9" s="34">
        <f t="shared" si="3"/>
        <v>315000000</v>
      </c>
      <c r="V9" s="34">
        <f t="shared" si="4"/>
        <v>1827883000</v>
      </c>
    </row>
    <row r="10" spans="1:50" s="111" customFormat="1" ht="12.75" customHeight="1" outlineLevel="1">
      <c r="A10" s="450"/>
      <c r="B10" s="451"/>
      <c r="C10" s="116"/>
      <c r="D10" s="117" t="s">
        <v>163</v>
      </c>
      <c r="E10" s="7">
        <v>1</v>
      </c>
      <c r="F10" s="43">
        <f>SDT!F7+TST!F7+TSG!F7+간접!F7</f>
        <v>93609000</v>
      </c>
      <c r="G10" s="43">
        <f>SDT!G7+TST!G7+TSG!G7+간접!G7</f>
        <v>90000000</v>
      </c>
      <c r="H10" s="43">
        <f>SDT!H7+TST!H7+TSG!H7+간접!H7</f>
        <v>90000000</v>
      </c>
      <c r="I10" s="34">
        <f t="shared" si="0"/>
        <v>273609000</v>
      </c>
      <c r="J10" s="43">
        <f>SDT!J7+TST!J7+TSG!J7+간접!J7</f>
        <v>90000000</v>
      </c>
      <c r="K10" s="43">
        <f>SDT!K7+TST!K7+TSG!K7+간접!K7</f>
        <v>90000000</v>
      </c>
      <c r="L10" s="43">
        <f>SDT!L7+TST!L7+TSG!L7+간접!L7</f>
        <v>90000000</v>
      </c>
      <c r="M10" s="34">
        <f t="shared" si="1"/>
        <v>270000000</v>
      </c>
      <c r="N10" s="43">
        <f>SDT!N7+TST!N7+TSG!N7+간접!N7</f>
        <v>90000000</v>
      </c>
      <c r="O10" s="43">
        <f>SDT!O7+TST!O7+TSG!O7+간접!O7</f>
        <v>90000000</v>
      </c>
      <c r="P10" s="43">
        <f>SDT!P7+TST!P7+TSG!P7+간접!P7</f>
        <v>90000000</v>
      </c>
      <c r="Q10" s="34">
        <f t="shared" si="2"/>
        <v>270000000</v>
      </c>
      <c r="R10" s="43">
        <f>SDT!R7+TST!R7+TSG!R7+간접!R7</f>
        <v>90000000</v>
      </c>
      <c r="S10" s="43">
        <f>SDT!S7+TST!S7+TSG!S7+간접!S7</f>
        <v>90000000</v>
      </c>
      <c r="T10" s="43">
        <f>SDT!T7+TST!T7+TSG!T7+간접!T7</f>
        <v>90000000</v>
      </c>
      <c r="U10" s="34">
        <f t="shared" si="3"/>
        <v>270000000</v>
      </c>
      <c r="V10" s="34">
        <f t="shared" si="4"/>
        <v>1083609000</v>
      </c>
    </row>
    <row r="11" spans="1:50" s="111" customFormat="1" ht="12.75" customHeight="1" outlineLevel="1">
      <c r="A11" s="450"/>
      <c r="B11" s="451"/>
      <c r="C11" s="116"/>
      <c r="D11" s="118" t="s">
        <v>164</v>
      </c>
      <c r="E11" s="7"/>
      <c r="F11" s="43">
        <f>SDT!F8+TST!F8+TSG!F8+간접!F8</f>
        <v>0</v>
      </c>
      <c r="G11" s="43">
        <f>SDT!G8+TST!G8+TSG!G8+간접!G8</f>
        <v>0</v>
      </c>
      <c r="H11" s="43">
        <f>SDT!H8+TST!H8+TSG!H8+간접!H8</f>
        <v>0</v>
      </c>
      <c r="I11" s="34">
        <f t="shared" si="0"/>
        <v>0</v>
      </c>
      <c r="J11" s="43">
        <f>SDT!J8+TST!J8+TSG!J8+간접!J8</f>
        <v>0</v>
      </c>
      <c r="K11" s="43">
        <f>SDT!K8+TST!K8+TSG!K8+간접!K8</f>
        <v>0</v>
      </c>
      <c r="L11" s="43">
        <f>SDT!L8+TST!L8+TSG!L8+간접!L8</f>
        <v>0</v>
      </c>
      <c r="M11" s="34">
        <f t="shared" si="1"/>
        <v>0</v>
      </c>
      <c r="N11" s="43">
        <f>SDT!N8+TST!N8+TSG!N8+간접!N8</f>
        <v>0</v>
      </c>
      <c r="O11" s="43">
        <f>SDT!O8+TST!O8+TSG!O8+간접!O8</f>
        <v>0</v>
      </c>
      <c r="P11" s="43">
        <f>SDT!P8+TST!P8+TSG!P8+간접!P8</f>
        <v>0</v>
      </c>
      <c r="Q11" s="34">
        <f t="shared" si="2"/>
        <v>0</v>
      </c>
      <c r="R11" s="43">
        <f>SDT!R8+TST!R8+TSG!R8+간접!R8</f>
        <v>0</v>
      </c>
      <c r="S11" s="43">
        <f>SDT!S8+TST!S8+TSG!S8+간접!S8</f>
        <v>0</v>
      </c>
      <c r="T11" s="43">
        <f>SDT!T8+TST!T8+TSG!T8+간접!T8</f>
        <v>0</v>
      </c>
      <c r="U11" s="34">
        <f t="shared" si="3"/>
        <v>0</v>
      </c>
      <c r="V11" s="34">
        <f t="shared" si="4"/>
        <v>0</v>
      </c>
    </row>
    <row r="12" spans="1:50" s="111" customFormat="1" ht="12.75" customHeight="1" outlineLevel="1">
      <c r="A12" s="450"/>
      <c r="B12" s="451"/>
      <c r="C12" s="116"/>
      <c r="D12" s="117" t="s">
        <v>166</v>
      </c>
      <c r="E12" s="7"/>
      <c r="F12" s="43">
        <f>SDT!F9+TST!F9+TSG!F9+간접!F9</f>
        <v>1600000</v>
      </c>
      <c r="G12" s="43">
        <f>SDT!G9+TST!G9+TSG!G9+간접!G9</f>
        <v>151000000</v>
      </c>
      <c r="H12" s="43">
        <f>SDT!H9+TST!H9+TSG!H9+간접!H9</f>
        <v>151000000</v>
      </c>
      <c r="I12" s="34">
        <f t="shared" si="0"/>
        <v>303600000</v>
      </c>
      <c r="J12" s="43">
        <f>SDT!J9+TST!J9+TSG!J9+간접!J9</f>
        <v>151000000</v>
      </c>
      <c r="K12" s="43">
        <f>SDT!K9+TST!K9+TSG!K9+간접!K9</f>
        <v>151000000</v>
      </c>
      <c r="L12" s="43">
        <f>SDT!L9+TST!L9+TSG!L9+간접!L9</f>
        <v>151000000</v>
      </c>
      <c r="M12" s="34">
        <f t="shared" si="1"/>
        <v>453000000</v>
      </c>
      <c r="N12" s="43">
        <f>SDT!N9+TST!N9+TSG!N9+간접!N9</f>
        <v>151000000</v>
      </c>
      <c r="O12" s="43">
        <f>SDT!O9+TST!O9+TSG!O9+간접!O9</f>
        <v>151000000</v>
      </c>
      <c r="P12" s="43">
        <f>SDT!P9+TST!P9+TSG!P9+간접!P9</f>
        <v>151000000</v>
      </c>
      <c r="Q12" s="34">
        <f t="shared" si="2"/>
        <v>453000000</v>
      </c>
      <c r="R12" s="43">
        <f>SDT!R9+TST!R9+TSG!R9+간접!R9</f>
        <v>151000000</v>
      </c>
      <c r="S12" s="43">
        <f>SDT!S9+TST!S9+TSG!S9+간접!S9</f>
        <v>151000000</v>
      </c>
      <c r="T12" s="43">
        <f>SDT!T9+TST!T9+TSG!T9+간접!T9</f>
        <v>151000000</v>
      </c>
      <c r="U12" s="34">
        <f t="shared" si="3"/>
        <v>453000000</v>
      </c>
      <c r="V12" s="34">
        <f t="shared" si="4"/>
        <v>1662600000</v>
      </c>
    </row>
    <row r="13" spans="1:50" s="111" customFormat="1" ht="12.75" customHeight="1" outlineLevel="1">
      <c r="A13" s="450"/>
      <c r="B13" s="451"/>
      <c r="C13" s="116"/>
      <c r="D13" s="117" t="s">
        <v>165</v>
      </c>
      <c r="E13" s="7"/>
      <c r="F13" s="43">
        <f>SDT!F10+TST!F10+TSG!F10+간접!F10</f>
        <v>0</v>
      </c>
      <c r="G13" s="43">
        <f>SDT!G10+TST!G10+TSG!G10+간접!G10</f>
        <v>5000000</v>
      </c>
      <c r="H13" s="43">
        <f>SDT!H10+TST!H10+TSG!H10+간접!H10</f>
        <v>5000000</v>
      </c>
      <c r="I13" s="34">
        <f>H13+G13+F13</f>
        <v>10000000</v>
      </c>
      <c r="J13" s="43">
        <f>SDT!J10+TST!J10+TSG!J10+간접!J10</f>
        <v>5000000</v>
      </c>
      <c r="K13" s="43">
        <f>SDT!K10+TST!K10+TSG!K10+간접!K10</f>
        <v>5000000</v>
      </c>
      <c r="L13" s="43">
        <f>SDT!L10+TST!L10+TSG!L10+간접!L10</f>
        <v>5000000</v>
      </c>
      <c r="M13" s="34">
        <f t="shared" si="1"/>
        <v>15000000</v>
      </c>
      <c r="N13" s="43">
        <f>SDT!N10+TST!N10+TSG!N10+간접!N10</f>
        <v>5000000</v>
      </c>
      <c r="O13" s="43">
        <f>SDT!O10+TST!O10+TSG!O10+간접!O10</f>
        <v>5000000</v>
      </c>
      <c r="P13" s="43">
        <f>SDT!P10+TST!P10+TSG!P10+간접!P10</f>
        <v>5000000</v>
      </c>
      <c r="Q13" s="34">
        <f t="shared" si="2"/>
        <v>15000000</v>
      </c>
      <c r="R13" s="43">
        <f>SDT!R10+TST!R10+TSG!R10+간접!R10</f>
        <v>5000000</v>
      </c>
      <c r="S13" s="43">
        <f>SDT!S10+TST!S10+TSG!S10+간접!S10</f>
        <v>5000000</v>
      </c>
      <c r="T13" s="43">
        <f>SDT!T10+TST!T10+TSG!T10+간접!T10</f>
        <v>5000000</v>
      </c>
      <c r="U13" s="34">
        <f t="shared" si="3"/>
        <v>15000000</v>
      </c>
      <c r="V13" s="34">
        <f t="shared" si="4"/>
        <v>55000000</v>
      </c>
    </row>
    <row r="14" spans="1:50" s="111" customFormat="1" ht="6.75" customHeight="1">
      <c r="A14" s="450"/>
      <c r="B14" s="4"/>
      <c r="C14" s="4"/>
      <c r="D14" s="119"/>
      <c r="E14" s="120"/>
      <c r="F14" s="43"/>
      <c r="G14" s="43"/>
      <c r="H14" s="43"/>
      <c r="I14" s="34"/>
      <c r="J14" s="43"/>
      <c r="K14" s="43"/>
      <c r="L14" s="43"/>
      <c r="M14" s="34"/>
      <c r="N14" s="43"/>
      <c r="O14" s="43"/>
      <c r="P14" s="43"/>
      <c r="Q14" s="34"/>
      <c r="R14" s="43"/>
      <c r="S14" s="43"/>
      <c r="T14" s="43"/>
      <c r="U14" s="34"/>
      <c r="V14" s="34"/>
    </row>
    <row r="15" spans="1:50" s="111" customFormat="1" ht="12.75" customHeight="1">
      <c r="A15" s="447" t="s">
        <v>167</v>
      </c>
      <c r="B15" s="448"/>
      <c r="C15" s="448"/>
      <c r="D15" s="449"/>
      <c r="E15" s="8"/>
      <c r="F15" s="44">
        <f t="shared" ref="F15:V15" si="5">SUM(F8:F13)</f>
        <v>1119067000</v>
      </c>
      <c r="G15" s="44">
        <f>SUM(G8:G13)</f>
        <v>379000000</v>
      </c>
      <c r="H15" s="44">
        <f t="shared" ref="H15" si="6">SUM(H8:H13)</f>
        <v>379000000</v>
      </c>
      <c r="I15" s="35">
        <f>SUM(I8:I13)</f>
        <v>1877067000</v>
      </c>
      <c r="J15" s="44">
        <f t="shared" ref="J15" si="7">SUM(J8:J13)</f>
        <v>379000000</v>
      </c>
      <c r="K15" s="44">
        <f t="shared" ref="K15:L15" si="8">SUM(K8:K13)</f>
        <v>379000000</v>
      </c>
      <c r="L15" s="44">
        <f t="shared" si="8"/>
        <v>379000000</v>
      </c>
      <c r="M15" s="35">
        <f t="shared" si="5"/>
        <v>1137000000</v>
      </c>
      <c r="N15" s="44">
        <f t="shared" ref="N15" si="9">SUM(N8:N13)</f>
        <v>379000000</v>
      </c>
      <c r="O15" s="44">
        <f t="shared" ref="O15:P15" si="10">SUM(O8:O13)</f>
        <v>379000000</v>
      </c>
      <c r="P15" s="44">
        <f t="shared" si="10"/>
        <v>379000000</v>
      </c>
      <c r="Q15" s="35">
        <f t="shared" si="5"/>
        <v>1137000000</v>
      </c>
      <c r="R15" s="44">
        <f t="shared" ref="R15" si="11">SUM(R8:R13)</f>
        <v>379000000</v>
      </c>
      <c r="S15" s="44">
        <f t="shared" ref="S15:T15" si="12">SUM(S8:S13)</f>
        <v>379000000</v>
      </c>
      <c r="T15" s="44">
        <f t="shared" si="12"/>
        <v>379000000</v>
      </c>
      <c r="U15" s="35">
        <f t="shared" si="5"/>
        <v>1137000000</v>
      </c>
      <c r="V15" s="35">
        <f t="shared" si="5"/>
        <v>5288067000</v>
      </c>
    </row>
    <row r="16" spans="1:50" s="111" customFormat="1" ht="5.25" customHeight="1">
      <c r="A16" s="121"/>
      <c r="B16" s="3"/>
      <c r="C16" s="3"/>
      <c r="D16" s="119"/>
      <c r="E16" s="4"/>
      <c r="F16" s="43"/>
      <c r="G16" s="43"/>
      <c r="H16" s="43"/>
      <c r="I16" s="34"/>
      <c r="J16" s="43"/>
      <c r="K16" s="43"/>
      <c r="L16" s="43"/>
      <c r="M16" s="34"/>
      <c r="N16" s="43"/>
      <c r="O16" s="43"/>
      <c r="P16" s="43"/>
      <c r="Q16" s="34"/>
      <c r="R16" s="43"/>
      <c r="S16" s="43"/>
      <c r="T16" s="43"/>
      <c r="U16" s="34"/>
      <c r="V16" s="34"/>
    </row>
    <row r="17" spans="1:24" s="111" customFormat="1" ht="12.75" customHeight="1">
      <c r="A17" s="452" t="s">
        <v>168</v>
      </c>
      <c r="B17" s="453"/>
      <c r="C17" s="453"/>
      <c r="D17" s="454"/>
      <c r="E17" s="7"/>
      <c r="F17" s="43"/>
      <c r="G17" s="43"/>
      <c r="H17" s="43"/>
      <c r="I17" s="34"/>
      <c r="J17" s="43"/>
      <c r="K17" s="43"/>
      <c r="L17" s="43"/>
      <c r="M17" s="34"/>
      <c r="N17" s="43"/>
      <c r="O17" s="43"/>
      <c r="P17" s="43"/>
      <c r="Q17" s="34"/>
      <c r="R17" s="43"/>
      <c r="S17" s="43"/>
      <c r="T17" s="43"/>
      <c r="U17" s="34"/>
      <c r="V17" s="34"/>
    </row>
    <row r="18" spans="1:24" s="111" customFormat="1" ht="12.75" customHeight="1" outlineLevel="1">
      <c r="A18" s="465"/>
      <c r="B18" s="3"/>
      <c r="C18" s="466" t="s">
        <v>169</v>
      </c>
      <c r="D18" s="467"/>
      <c r="E18" s="7"/>
      <c r="F18" s="43">
        <f>SDT!F15+TST!F15+TSG!F15+간접!F15</f>
        <v>0</v>
      </c>
      <c r="G18" s="43">
        <f>SDT!G15+TST!G15+TSG!G15+간접!G15</f>
        <v>0</v>
      </c>
      <c r="H18" s="43">
        <f>SDT!H15+TST!H15+TSG!H15+간접!H15</f>
        <v>0</v>
      </c>
      <c r="I18" s="34"/>
      <c r="J18" s="43">
        <f>SDT!J15+TST!J15+TSG!J15+간접!J15</f>
        <v>0</v>
      </c>
      <c r="K18" s="43">
        <f>SDT!K15+TST!K15+TSG!K15+간접!K15</f>
        <v>0</v>
      </c>
      <c r="L18" s="43">
        <f>SDT!L15+TST!L15+TSG!L15+간접!L15</f>
        <v>0</v>
      </c>
      <c r="M18" s="34"/>
      <c r="N18" s="43">
        <f>SDT!N15+TST!N15+TSG!N15+간접!N15</f>
        <v>0</v>
      </c>
      <c r="O18" s="43">
        <f>SDT!O15+TST!O15+TSG!O15+간접!O15</f>
        <v>0</v>
      </c>
      <c r="P18" s="43">
        <f>SDT!P15+TST!P15+TSG!P15+간접!P15</f>
        <v>0</v>
      </c>
      <c r="Q18" s="34"/>
      <c r="R18" s="43">
        <f>SDT!R15+TST!R15+TSG!R15+간접!R15</f>
        <v>0</v>
      </c>
      <c r="S18" s="43">
        <f>SDT!S15+TST!S15+TSG!S15+간접!S15</f>
        <v>0</v>
      </c>
      <c r="T18" s="43">
        <f>SDT!T15+TST!T15+TSG!T15+간접!T15</f>
        <v>0</v>
      </c>
      <c r="U18" s="34"/>
      <c r="V18" s="34"/>
    </row>
    <row r="19" spans="1:24" s="111" customFormat="1" ht="12.75" customHeight="1" outlineLevel="1">
      <c r="A19" s="465"/>
      <c r="B19" s="3"/>
      <c r="C19" s="116"/>
      <c r="D19" s="117" t="s">
        <v>170</v>
      </c>
      <c r="E19" s="7">
        <v>0</v>
      </c>
      <c r="F19" s="43">
        <f>SDT!F16+TST!F16+TSG!F16+간접!F16</f>
        <v>124632000</v>
      </c>
      <c r="G19" s="43">
        <f>SDT!G16+TST!G16+TSG!G16+간접!G16</f>
        <v>65000000</v>
      </c>
      <c r="H19" s="43">
        <f>SDT!H16+TST!H16+TSG!H16+간접!H16</f>
        <v>65000000</v>
      </c>
      <c r="I19" s="34">
        <f t="shared" ref="I19:I26" si="13">H19+G19+F19</f>
        <v>254632000</v>
      </c>
      <c r="J19" s="43">
        <f>SDT!J16+TST!J16+TSG!J16+간접!J16</f>
        <v>65000000</v>
      </c>
      <c r="K19" s="43">
        <f>SDT!K16+TST!K16+TSG!K16+간접!K16</f>
        <v>65000000</v>
      </c>
      <c r="L19" s="43">
        <f>SDT!L16+TST!L16+TSG!L16+간접!L16</f>
        <v>65000000</v>
      </c>
      <c r="M19" s="34">
        <f t="shared" ref="M19:M26" si="14">L19+K19+J19</f>
        <v>195000000</v>
      </c>
      <c r="N19" s="43">
        <f>SDT!N16+TST!N16+TSG!N16+간접!N16</f>
        <v>65000000</v>
      </c>
      <c r="O19" s="43">
        <f>SDT!O16+TST!O16+TSG!O16+간접!O16</f>
        <v>65000000</v>
      </c>
      <c r="P19" s="43">
        <f>SDT!P16+TST!P16+TSG!P16+간접!P16</f>
        <v>65000000</v>
      </c>
      <c r="Q19" s="34">
        <f t="shared" ref="Q19:Q26" si="15">P19+O19+N19</f>
        <v>195000000</v>
      </c>
      <c r="R19" s="43">
        <f>SDT!R16+TST!R16+TSG!R16+간접!R16</f>
        <v>65000000</v>
      </c>
      <c r="S19" s="43">
        <f>SDT!S16+TST!S16+TSG!S16+간접!S16</f>
        <v>65000000</v>
      </c>
      <c r="T19" s="43">
        <f>SDT!T16+TST!T16+TSG!T16+간접!T16</f>
        <v>65000000</v>
      </c>
      <c r="U19" s="34">
        <f t="shared" ref="U19:U26" si="16">T19+S19+R19</f>
        <v>195000000</v>
      </c>
      <c r="V19" s="34">
        <f t="shared" ref="V19:V26" si="17">U19+Q19+M19+I19</f>
        <v>839632000</v>
      </c>
    </row>
    <row r="20" spans="1:24" s="111" customFormat="1" ht="12.75" customHeight="1" outlineLevel="1">
      <c r="A20" s="465"/>
      <c r="B20" s="3"/>
      <c r="C20" s="116"/>
      <c r="D20" s="117" t="s">
        <v>171</v>
      </c>
      <c r="E20" s="7"/>
      <c r="F20" s="43">
        <f>SDT!F17+TST!F17+TSG!F17+간접!F17</f>
        <v>201336000</v>
      </c>
      <c r="G20" s="43">
        <f>SDT!G17+TST!G17+TSG!G17+간접!G17</f>
        <v>43000000</v>
      </c>
      <c r="H20" s="43">
        <f>SDT!H17+TST!H17+TSG!H17+간접!H17</f>
        <v>43000000</v>
      </c>
      <c r="I20" s="34">
        <f t="shared" si="13"/>
        <v>287336000</v>
      </c>
      <c r="J20" s="43">
        <f>SDT!J17+TST!J17+TSG!J17+간접!J17</f>
        <v>43000000</v>
      </c>
      <c r="K20" s="43">
        <f>SDT!K17+TST!K17+TSG!K17+간접!K17</f>
        <v>43000000</v>
      </c>
      <c r="L20" s="43">
        <f>SDT!L17+TST!L17+TSG!L17+간접!L17</f>
        <v>43000000</v>
      </c>
      <c r="M20" s="34">
        <f t="shared" si="14"/>
        <v>129000000</v>
      </c>
      <c r="N20" s="43">
        <f>SDT!N17+TST!N17+TSG!N17+간접!N17</f>
        <v>43000000</v>
      </c>
      <c r="O20" s="43">
        <f>SDT!O17+TST!O17+TSG!O17+간접!O17</f>
        <v>43000000</v>
      </c>
      <c r="P20" s="43">
        <f>SDT!P17+TST!P17+TSG!P17+간접!P17</f>
        <v>43000000</v>
      </c>
      <c r="Q20" s="34">
        <f t="shared" si="15"/>
        <v>129000000</v>
      </c>
      <c r="R20" s="43">
        <f>SDT!R17+TST!R17+TSG!R17+간접!R17</f>
        <v>43000000</v>
      </c>
      <c r="S20" s="43">
        <f>SDT!S17+TST!S17+TSG!S17+간접!S17</f>
        <v>43000000</v>
      </c>
      <c r="T20" s="43">
        <f>SDT!T17+TST!T17+TSG!T17+간접!T17</f>
        <v>43000000</v>
      </c>
      <c r="U20" s="34">
        <f t="shared" si="16"/>
        <v>129000000</v>
      </c>
      <c r="V20" s="34">
        <f t="shared" si="17"/>
        <v>674336000</v>
      </c>
    </row>
    <row r="21" spans="1:24" s="111" customFormat="1" ht="12.75" customHeight="1" outlineLevel="1">
      <c r="A21" s="465"/>
      <c r="B21" s="3"/>
      <c r="C21" s="116"/>
      <c r="D21" s="117" t="s">
        <v>172</v>
      </c>
      <c r="E21" s="7"/>
      <c r="F21" s="43">
        <f>SDT!F18+TST!F18+TSG!F18+간접!F18</f>
        <v>0</v>
      </c>
      <c r="G21" s="43">
        <f>SDT!G18+TST!G18+TSG!G18+간접!G18</f>
        <v>0</v>
      </c>
      <c r="H21" s="43">
        <f>SDT!H18+TST!H18+TSG!H18+간접!H18</f>
        <v>0</v>
      </c>
      <c r="I21" s="34">
        <f t="shared" si="13"/>
        <v>0</v>
      </c>
      <c r="J21" s="43">
        <f>SDT!J18+TST!J18+TSG!J18+간접!J18</f>
        <v>0</v>
      </c>
      <c r="K21" s="43">
        <f>SDT!K18+TST!K18+TSG!K18+간접!K18</f>
        <v>0</v>
      </c>
      <c r="L21" s="43">
        <f>SDT!L18+TST!L18+TSG!L18+간접!L18</f>
        <v>0</v>
      </c>
      <c r="M21" s="34">
        <f t="shared" si="14"/>
        <v>0</v>
      </c>
      <c r="N21" s="43">
        <f>SDT!N18+TST!N18+TSG!N18+간접!N18</f>
        <v>0</v>
      </c>
      <c r="O21" s="43">
        <f>SDT!O18+TST!O18+TSG!O18+간접!O18</f>
        <v>0</v>
      </c>
      <c r="P21" s="43">
        <f>SDT!P18+TST!P18+TSG!P18+간접!P18</f>
        <v>0</v>
      </c>
      <c r="Q21" s="34">
        <f t="shared" si="15"/>
        <v>0</v>
      </c>
      <c r="R21" s="43">
        <f>SDT!R18+TST!R18+TSG!R18+간접!R18</f>
        <v>0</v>
      </c>
      <c r="S21" s="43">
        <f>SDT!S18+TST!S18+TSG!S18+간접!S18</f>
        <v>0</v>
      </c>
      <c r="T21" s="43">
        <f>SDT!T18+TST!T18+TSG!T18+간접!T18</f>
        <v>0</v>
      </c>
      <c r="U21" s="34">
        <f t="shared" si="16"/>
        <v>0</v>
      </c>
      <c r="V21" s="34">
        <f t="shared" si="17"/>
        <v>0</v>
      </c>
    </row>
    <row r="22" spans="1:24" s="111" customFormat="1" ht="12.75" customHeight="1" outlineLevel="1">
      <c r="A22" s="465"/>
      <c r="B22" s="3"/>
      <c r="C22" s="116"/>
      <c r="D22" s="117" t="s">
        <v>173</v>
      </c>
      <c r="E22" s="7"/>
      <c r="F22" s="43">
        <f>SDT!F19+TST!F19+TSG!F19+간접!F19</f>
        <v>9090000</v>
      </c>
      <c r="G22" s="43">
        <f>SDT!G19+TST!G19+TSG!G19+간접!G19</f>
        <v>0</v>
      </c>
      <c r="H22" s="43">
        <f>SDT!H19+TST!H19+TSG!H19+간접!H19</f>
        <v>0</v>
      </c>
      <c r="I22" s="34">
        <f t="shared" si="13"/>
        <v>9090000</v>
      </c>
      <c r="J22" s="43">
        <f>SDT!J19+TST!J19+TSG!J19+간접!J19</f>
        <v>0</v>
      </c>
      <c r="K22" s="43">
        <f>SDT!K19+TST!K19+TSG!K19+간접!K19</f>
        <v>0</v>
      </c>
      <c r="L22" s="43">
        <f>SDT!L19+TST!L19+TSG!L19+간접!L19</f>
        <v>0</v>
      </c>
      <c r="M22" s="34">
        <f t="shared" si="14"/>
        <v>0</v>
      </c>
      <c r="N22" s="43">
        <f>SDT!N19+TST!N19+TSG!N19+간접!N19</f>
        <v>0</v>
      </c>
      <c r="O22" s="43">
        <f>SDT!O19+TST!O19+TSG!O19+간접!O19</f>
        <v>0</v>
      </c>
      <c r="P22" s="43">
        <f>SDT!P19+TST!P19+TSG!P19+간접!P19</f>
        <v>0</v>
      </c>
      <c r="Q22" s="34">
        <f t="shared" si="15"/>
        <v>0</v>
      </c>
      <c r="R22" s="43">
        <f>SDT!R19+TST!R19+TSG!R19+간접!R19</f>
        <v>0</v>
      </c>
      <c r="S22" s="43">
        <f>SDT!S19+TST!S19+TSG!S19+간접!S19</f>
        <v>0</v>
      </c>
      <c r="T22" s="43">
        <f>SDT!T19+TST!T19+TSG!T19+간접!T19</f>
        <v>0</v>
      </c>
      <c r="U22" s="34">
        <f t="shared" si="16"/>
        <v>0</v>
      </c>
      <c r="V22" s="34">
        <f t="shared" si="17"/>
        <v>9090000</v>
      </c>
    </row>
    <row r="23" spans="1:24" s="111" customFormat="1" ht="12.75" customHeight="1" outlineLevel="1">
      <c r="A23" s="465"/>
      <c r="B23" s="3"/>
      <c r="C23" s="116"/>
      <c r="D23" s="118" t="s">
        <v>174</v>
      </c>
      <c r="E23" s="7">
        <v>0</v>
      </c>
      <c r="F23" s="43">
        <f>SDT!F20+TST!F20+TSG!F20+간접!F20</f>
        <v>0</v>
      </c>
      <c r="G23" s="43">
        <f>SDT!G20+TST!G20+TSG!G20+간접!G20</f>
        <v>0</v>
      </c>
      <c r="H23" s="43">
        <f>SDT!H20+TST!H20+TSG!H20+간접!H20</f>
        <v>0</v>
      </c>
      <c r="I23" s="34">
        <f t="shared" si="13"/>
        <v>0</v>
      </c>
      <c r="J23" s="43">
        <f>SDT!J20+TST!J20+TSG!J20+간접!J20</f>
        <v>0</v>
      </c>
      <c r="K23" s="43">
        <f>SDT!K20+TST!K20+TSG!K20+간접!K20</f>
        <v>0</v>
      </c>
      <c r="L23" s="43">
        <f>SDT!L20+TST!L20+TSG!L20+간접!L20</f>
        <v>0</v>
      </c>
      <c r="M23" s="34">
        <f t="shared" si="14"/>
        <v>0</v>
      </c>
      <c r="N23" s="43">
        <f>SDT!N20+TST!N20+TSG!N20+간접!N20</f>
        <v>0</v>
      </c>
      <c r="O23" s="43">
        <f>SDT!O20+TST!O20+TSG!O20+간접!O20</f>
        <v>0</v>
      </c>
      <c r="P23" s="43">
        <f>SDT!P20+TST!P20+TSG!P20+간접!P20</f>
        <v>0</v>
      </c>
      <c r="Q23" s="34">
        <f t="shared" si="15"/>
        <v>0</v>
      </c>
      <c r="R23" s="43">
        <f>SDT!R20+TST!R20+TSG!R20+간접!R20</f>
        <v>0</v>
      </c>
      <c r="S23" s="43">
        <f>SDT!S20+TST!S20+TSG!S20+간접!S20</f>
        <v>0</v>
      </c>
      <c r="T23" s="43">
        <f>SDT!T20+TST!T20+TSG!T20+간접!T20</f>
        <v>0</v>
      </c>
      <c r="U23" s="34">
        <f t="shared" si="16"/>
        <v>0</v>
      </c>
      <c r="V23" s="34">
        <f t="shared" si="17"/>
        <v>0</v>
      </c>
    </row>
    <row r="24" spans="1:24" s="111" customFormat="1" ht="12.75" customHeight="1" outlineLevel="1">
      <c r="A24" s="465"/>
      <c r="B24" s="3"/>
      <c r="C24" s="468" t="s">
        <v>175</v>
      </c>
      <c r="D24" s="469"/>
      <c r="E24" s="7"/>
      <c r="F24" s="43">
        <f>SDT!F21+TST!F21+TSG!F21+간접!F21</f>
        <v>0</v>
      </c>
      <c r="G24" s="43">
        <f>SDT!G21+TST!G21+TSG!G21+간접!G21</f>
        <v>1000000</v>
      </c>
      <c r="H24" s="43">
        <f>SDT!H21+TST!H21+TSG!H21+간접!H21</f>
        <v>1000000</v>
      </c>
      <c r="I24" s="34">
        <f t="shared" si="13"/>
        <v>2000000</v>
      </c>
      <c r="J24" s="43">
        <f>SDT!J21+TST!J21+TSG!J21+간접!J21</f>
        <v>1000000</v>
      </c>
      <c r="K24" s="43">
        <f>SDT!K21+TST!K21+TSG!K21+간접!K21</f>
        <v>1000000</v>
      </c>
      <c r="L24" s="43">
        <f>SDT!L21+TST!L21+TSG!L21+간접!L21</f>
        <v>1000000</v>
      </c>
      <c r="M24" s="34">
        <f t="shared" si="14"/>
        <v>3000000</v>
      </c>
      <c r="N24" s="43">
        <f>SDT!N21+TST!N21+TSG!N21+간접!N21</f>
        <v>1000000</v>
      </c>
      <c r="O24" s="43">
        <f>SDT!O21+TST!O21+TSG!O21+간접!O21</f>
        <v>1000000</v>
      </c>
      <c r="P24" s="43">
        <f>SDT!P21+TST!P21+TSG!P21+간접!P21</f>
        <v>1000000</v>
      </c>
      <c r="Q24" s="34">
        <f t="shared" si="15"/>
        <v>3000000</v>
      </c>
      <c r="R24" s="43">
        <f>SDT!R21+TST!R21+TSG!R21+간접!R21</f>
        <v>1000000</v>
      </c>
      <c r="S24" s="43">
        <f>SDT!S21+TST!S21+TSG!S21+간접!S21</f>
        <v>1000000</v>
      </c>
      <c r="T24" s="43">
        <f>SDT!T21+TST!T21+TSG!T21+간접!T21</f>
        <v>1000000</v>
      </c>
      <c r="U24" s="34">
        <f t="shared" si="16"/>
        <v>3000000</v>
      </c>
      <c r="V24" s="34">
        <f t="shared" si="17"/>
        <v>11000000</v>
      </c>
      <c r="X24" s="170" t="s">
        <v>237</v>
      </c>
    </row>
    <row r="25" spans="1:24" s="111" customFormat="1" ht="12.75" customHeight="1" outlineLevel="1">
      <c r="A25" s="465"/>
      <c r="B25" s="3"/>
      <c r="C25" s="468" t="s">
        <v>176</v>
      </c>
      <c r="D25" s="469"/>
      <c r="E25" s="7"/>
      <c r="F25" s="43">
        <f>SDT!F22+TST!F22+TSG!F22+간접!F22</f>
        <v>0</v>
      </c>
      <c r="G25" s="43">
        <f>SDT!G22+TST!G22+TSG!G22+간접!G22</f>
        <v>0</v>
      </c>
      <c r="H25" s="43">
        <f>SDT!H22+TST!H22+TSG!H22+간접!H22</f>
        <v>0</v>
      </c>
      <c r="I25" s="34">
        <f t="shared" si="13"/>
        <v>0</v>
      </c>
      <c r="J25" s="43">
        <f>SDT!J22+TST!J22+TSG!J22+간접!J22</f>
        <v>0</v>
      </c>
      <c r="K25" s="43">
        <f>SDT!K22+TST!K22+TSG!K22+간접!K22</f>
        <v>0</v>
      </c>
      <c r="L25" s="43">
        <f>SDT!L22+TST!L22+TSG!L22+간접!L22</f>
        <v>0</v>
      </c>
      <c r="M25" s="34">
        <f t="shared" si="14"/>
        <v>0</v>
      </c>
      <c r="N25" s="43">
        <f>SDT!N22+TST!N22+TSG!N22+간접!N22</f>
        <v>0</v>
      </c>
      <c r="O25" s="43">
        <f>SDT!O22+TST!O22+TSG!O22+간접!O22</f>
        <v>0</v>
      </c>
      <c r="P25" s="43">
        <f>SDT!P22+TST!P22+TSG!P22+간접!P22</f>
        <v>0</v>
      </c>
      <c r="Q25" s="34">
        <f t="shared" si="15"/>
        <v>0</v>
      </c>
      <c r="R25" s="43">
        <f>SDT!R22+TST!R22+TSG!R22+간접!R22</f>
        <v>0</v>
      </c>
      <c r="S25" s="43">
        <f>SDT!S22+TST!S22+TSG!S22+간접!S22</f>
        <v>0</v>
      </c>
      <c r="T25" s="43">
        <f>SDT!T22+TST!T22+TSG!T22+간접!T22</f>
        <v>0</v>
      </c>
      <c r="U25" s="34">
        <f t="shared" si="16"/>
        <v>0</v>
      </c>
      <c r="V25" s="34">
        <f t="shared" si="17"/>
        <v>0</v>
      </c>
      <c r="X25" s="170"/>
    </row>
    <row r="26" spans="1:24" s="111" customFormat="1" ht="12.75" customHeight="1" outlineLevel="1">
      <c r="A26" s="465"/>
      <c r="B26" s="3"/>
      <c r="C26" s="457" t="s">
        <v>203</v>
      </c>
      <c r="D26" s="470"/>
      <c r="E26" s="7"/>
      <c r="F26" s="43">
        <f>SDT!F23+TST!F23+TSG!F23+간접!F23</f>
        <v>1165000</v>
      </c>
      <c r="G26" s="43">
        <f>SDT!G23+TST!G23+TSG!G23+간접!G23</f>
        <v>1162000</v>
      </c>
      <c r="H26" s="43">
        <f>SDT!H23+TST!H23+TSG!H23+간접!H23</f>
        <v>1162000</v>
      </c>
      <c r="I26" s="34">
        <f t="shared" si="13"/>
        <v>3489000</v>
      </c>
      <c r="J26" s="43">
        <f>SDT!J23+TST!J23+TSG!J23+간접!J23</f>
        <v>1162000</v>
      </c>
      <c r="K26" s="43">
        <f>SDT!K23+TST!K23+TSG!K23+간접!K23</f>
        <v>1162000</v>
      </c>
      <c r="L26" s="43">
        <f>SDT!L23+TST!L23+TSG!L23+간접!L23</f>
        <v>1162000</v>
      </c>
      <c r="M26" s="34">
        <f t="shared" si="14"/>
        <v>3486000</v>
      </c>
      <c r="N26" s="43">
        <f>SDT!N23+TST!N23+TSG!N23+간접!N23</f>
        <v>1162000</v>
      </c>
      <c r="O26" s="43">
        <f>SDT!O23+TST!O23+TSG!O23+간접!O23</f>
        <v>1162000</v>
      </c>
      <c r="P26" s="43">
        <f>SDT!P23+TST!P23+TSG!P23+간접!P23</f>
        <v>1162000</v>
      </c>
      <c r="Q26" s="34">
        <f t="shared" si="15"/>
        <v>3486000</v>
      </c>
      <c r="R26" s="43">
        <f>SDT!R23+TST!R23+TSG!R23+간접!R23</f>
        <v>1162000</v>
      </c>
      <c r="S26" s="43">
        <f>SDT!S23+TST!S23+TSG!S23+간접!S23</f>
        <v>1162000</v>
      </c>
      <c r="T26" s="43">
        <f>SDT!T23+TST!T23+TSG!T23+간접!T23</f>
        <v>1162000</v>
      </c>
      <c r="U26" s="34">
        <f t="shared" si="16"/>
        <v>3486000</v>
      </c>
      <c r="V26" s="34">
        <f t="shared" si="17"/>
        <v>13947000</v>
      </c>
      <c r="X26" s="170" t="s">
        <v>244</v>
      </c>
    </row>
    <row r="27" spans="1:24" s="111" customFormat="1" ht="12.75" customHeight="1" outlineLevel="1">
      <c r="A27" s="465"/>
      <c r="B27" s="3"/>
      <c r="C27" s="457" t="s">
        <v>184</v>
      </c>
      <c r="D27" s="458"/>
      <c r="E27" s="7"/>
      <c r="F27" s="43">
        <f>SDT!F24+TST!F24+TSG!F24+간접!F24</f>
        <v>3111000</v>
      </c>
      <c r="G27" s="43">
        <f>SDT!G24+TST!G24+TSG!G24+간접!G24</f>
        <v>1027000</v>
      </c>
      <c r="H27" s="43">
        <f>SDT!H24+TST!H24+TSG!H24+간접!H24</f>
        <v>1027000</v>
      </c>
      <c r="I27" s="34">
        <f t="shared" ref="I27:I28" si="18">H27+G27+F27</f>
        <v>5165000</v>
      </c>
      <c r="J27" s="43">
        <f>SDT!J24+TST!J24+TSG!J24+간접!J24</f>
        <v>1027000</v>
      </c>
      <c r="K27" s="43">
        <f>SDT!K24+TST!K24+TSG!K24+간접!K24</f>
        <v>1027000</v>
      </c>
      <c r="L27" s="43">
        <f>SDT!L24+TST!L24+TSG!L24+간접!L24</f>
        <v>1027000</v>
      </c>
      <c r="M27" s="34">
        <f t="shared" ref="M27:M28" si="19">L27+K27+J27</f>
        <v>3081000</v>
      </c>
      <c r="N27" s="43">
        <f>SDT!N24+TST!N24+TSG!N24+간접!N24</f>
        <v>1027000</v>
      </c>
      <c r="O27" s="43">
        <f>SDT!O24+TST!O24+TSG!O24+간접!O24</f>
        <v>1027000</v>
      </c>
      <c r="P27" s="43">
        <f>SDT!P24+TST!P24+TSG!P24+간접!P24</f>
        <v>1027000</v>
      </c>
      <c r="Q27" s="34">
        <f t="shared" ref="Q27:Q28" si="20">P27+O27+N27</f>
        <v>3081000</v>
      </c>
      <c r="R27" s="43">
        <f>SDT!R24+TST!R24+TSG!R24+간접!R24</f>
        <v>1027000</v>
      </c>
      <c r="S27" s="43">
        <f>SDT!S24+TST!S24+TSG!S24+간접!S24</f>
        <v>1027000</v>
      </c>
      <c r="T27" s="43">
        <f>SDT!T24+TST!T24+TSG!T24+간접!T24</f>
        <v>1027000</v>
      </c>
      <c r="U27" s="34">
        <f t="shared" ref="U27:U28" si="21">T27+S27+R27</f>
        <v>3081000</v>
      </c>
      <c r="V27" s="34">
        <f t="shared" ref="V27:V28" si="22">U27+Q27+M27+I27</f>
        <v>14408000</v>
      </c>
      <c r="X27" s="170" t="s">
        <v>245</v>
      </c>
    </row>
    <row r="28" spans="1:24" s="111" customFormat="1" ht="12.75" customHeight="1" outlineLevel="1">
      <c r="A28" s="465"/>
      <c r="B28" s="3"/>
      <c r="C28" s="457" t="s">
        <v>183</v>
      </c>
      <c r="D28" s="458"/>
      <c r="E28" s="7">
        <v>0</v>
      </c>
      <c r="F28" s="43">
        <f>SDT!F25+TST!F25+TSG!F25+간접!F25</f>
        <v>15000</v>
      </c>
      <c r="G28" s="43">
        <f>SDT!G25+TST!G25+TSG!G25+간접!G25</f>
        <v>15000</v>
      </c>
      <c r="H28" s="43">
        <f>SDT!H25+TST!H25+TSG!H25+간접!H25</f>
        <v>15000</v>
      </c>
      <c r="I28" s="34">
        <f t="shared" si="18"/>
        <v>45000</v>
      </c>
      <c r="J28" s="43">
        <f>SDT!J25+TST!J25+TSG!J25+간접!J25</f>
        <v>15000</v>
      </c>
      <c r="K28" s="43">
        <f>SDT!K25+TST!K25+TSG!K25+간접!K25</f>
        <v>15000</v>
      </c>
      <c r="L28" s="43">
        <f>SDT!L25+TST!L25+TSG!L25+간접!L25</f>
        <v>15000</v>
      </c>
      <c r="M28" s="34">
        <f t="shared" si="19"/>
        <v>45000</v>
      </c>
      <c r="N28" s="43">
        <f>SDT!N25+TST!N25+TSG!N25+간접!N25</f>
        <v>15000</v>
      </c>
      <c r="O28" s="43">
        <f>SDT!O25+TST!O25+TSG!O25+간접!O25</f>
        <v>15000</v>
      </c>
      <c r="P28" s="43">
        <f>SDT!P25+TST!P25+TSG!P25+간접!P25</f>
        <v>15000</v>
      </c>
      <c r="Q28" s="34">
        <f t="shared" si="20"/>
        <v>45000</v>
      </c>
      <c r="R28" s="43">
        <f>SDT!R25+TST!R25+TSG!R25+간접!R25</f>
        <v>15000</v>
      </c>
      <c r="S28" s="43">
        <f>SDT!S25+TST!S25+TSG!S25+간접!S25</f>
        <v>15000</v>
      </c>
      <c r="T28" s="43">
        <f>SDT!T25+TST!T25+TSG!T25+간접!T25</f>
        <v>15000</v>
      </c>
      <c r="U28" s="34">
        <f t="shared" si="21"/>
        <v>45000</v>
      </c>
      <c r="V28" s="34">
        <f t="shared" si="22"/>
        <v>180000</v>
      </c>
      <c r="X28" s="171" t="s">
        <v>246</v>
      </c>
    </row>
    <row r="29" spans="1:24" s="111" customFormat="1" ht="12.75" customHeight="1">
      <c r="A29" s="459" t="s">
        <v>177</v>
      </c>
      <c r="B29" s="460"/>
      <c r="C29" s="460"/>
      <c r="D29" s="461"/>
      <c r="E29" s="8"/>
      <c r="F29" s="44">
        <f t="shared" ref="F29:V29" si="23">SUM(F19:F28)</f>
        <v>339349000</v>
      </c>
      <c r="G29" s="44">
        <f>SUM(G19:G28)</f>
        <v>111204000</v>
      </c>
      <c r="H29" s="44">
        <f t="shared" si="23"/>
        <v>111204000</v>
      </c>
      <c r="I29" s="35">
        <f>SUM(I19:I28)</f>
        <v>561757000</v>
      </c>
      <c r="J29" s="44">
        <f t="shared" ref="J29:L29" si="24">SUM(J19:J28)</f>
        <v>111204000</v>
      </c>
      <c r="K29" s="44">
        <f t="shared" si="24"/>
        <v>111204000</v>
      </c>
      <c r="L29" s="44">
        <f t="shared" si="24"/>
        <v>111204000</v>
      </c>
      <c r="M29" s="35">
        <f t="shared" si="23"/>
        <v>333612000</v>
      </c>
      <c r="N29" s="44">
        <f t="shared" ref="N29:P29" si="25">SUM(N19:N28)</f>
        <v>111204000</v>
      </c>
      <c r="O29" s="44">
        <f t="shared" si="25"/>
        <v>111204000</v>
      </c>
      <c r="P29" s="44">
        <f t="shared" si="25"/>
        <v>111204000</v>
      </c>
      <c r="Q29" s="35">
        <f t="shared" si="23"/>
        <v>333612000</v>
      </c>
      <c r="R29" s="44">
        <f t="shared" ref="R29:T29" si="26">SUM(R19:R28)</f>
        <v>111204000</v>
      </c>
      <c r="S29" s="44">
        <f t="shared" si="26"/>
        <v>111204000</v>
      </c>
      <c r="T29" s="44">
        <f t="shared" si="26"/>
        <v>111204000</v>
      </c>
      <c r="U29" s="35">
        <f t="shared" si="23"/>
        <v>333612000</v>
      </c>
      <c r="V29" s="35">
        <f t="shared" si="23"/>
        <v>1562593000</v>
      </c>
    </row>
    <row r="30" spans="1:24" s="111" customFormat="1" ht="8.25" customHeight="1">
      <c r="A30" s="122"/>
      <c r="B30" s="123"/>
      <c r="C30" s="123"/>
      <c r="D30" s="124"/>
      <c r="E30" s="8"/>
      <c r="F30" s="43"/>
      <c r="G30" s="43"/>
      <c r="H30" s="43"/>
      <c r="I30" s="34"/>
      <c r="J30" s="43"/>
      <c r="K30" s="43"/>
      <c r="L30" s="43"/>
      <c r="M30" s="34"/>
      <c r="N30" s="43"/>
      <c r="O30" s="43"/>
      <c r="P30" s="43"/>
      <c r="Q30" s="34"/>
      <c r="R30" s="43"/>
      <c r="S30" s="43"/>
      <c r="T30" s="43"/>
      <c r="U30" s="34"/>
      <c r="V30" s="34"/>
    </row>
    <row r="31" spans="1:24" s="111" customFormat="1" ht="12.75" customHeight="1">
      <c r="A31" s="462" t="s">
        <v>178</v>
      </c>
      <c r="B31" s="463"/>
      <c r="C31" s="463"/>
      <c r="D31" s="464"/>
      <c r="E31" s="8"/>
      <c r="F31" s="43"/>
      <c r="G31" s="43"/>
      <c r="H31" s="43"/>
      <c r="I31" s="34"/>
      <c r="J31" s="43"/>
      <c r="K31" s="43"/>
      <c r="L31" s="43"/>
      <c r="M31" s="34"/>
      <c r="N31" s="43"/>
      <c r="O31" s="43"/>
      <c r="P31" s="43"/>
      <c r="Q31" s="34"/>
      <c r="R31" s="43"/>
      <c r="S31" s="43"/>
      <c r="T31" s="43"/>
      <c r="U31" s="34"/>
      <c r="V31" s="34"/>
    </row>
    <row r="32" spans="1:24" s="111" customFormat="1" ht="12.75" customHeight="1">
      <c r="A32" s="125"/>
      <c r="B32" s="4"/>
      <c r="C32" s="455" t="s">
        <v>179</v>
      </c>
      <c r="D32" s="456"/>
      <c r="E32" s="8"/>
      <c r="F32" s="44">
        <f>F15-F29</f>
        <v>779718000</v>
      </c>
      <c r="G32" s="44">
        <f>G15-G29</f>
        <v>267796000</v>
      </c>
      <c r="H32" s="44">
        <f t="shared" ref="H32:V32" si="27">H15-H29</f>
        <v>267796000</v>
      </c>
      <c r="I32" s="35">
        <f t="shared" si="27"/>
        <v>1315310000</v>
      </c>
      <c r="J32" s="44">
        <f t="shared" ref="J32:L32" si="28">J15-J29</f>
        <v>267796000</v>
      </c>
      <c r="K32" s="44">
        <f t="shared" si="28"/>
        <v>267796000</v>
      </c>
      <c r="L32" s="44">
        <f t="shared" si="28"/>
        <v>267796000</v>
      </c>
      <c r="M32" s="35">
        <f t="shared" si="27"/>
        <v>803388000</v>
      </c>
      <c r="N32" s="44">
        <f t="shared" ref="N32:P32" si="29">N15-N29</f>
        <v>267796000</v>
      </c>
      <c r="O32" s="44">
        <f t="shared" si="29"/>
        <v>267796000</v>
      </c>
      <c r="P32" s="44">
        <f t="shared" si="29"/>
        <v>267796000</v>
      </c>
      <c r="Q32" s="35">
        <f t="shared" si="27"/>
        <v>803388000</v>
      </c>
      <c r="R32" s="44">
        <f t="shared" ref="R32:T32" si="30">R15-R29</f>
        <v>267796000</v>
      </c>
      <c r="S32" s="44">
        <f t="shared" si="30"/>
        <v>267796000</v>
      </c>
      <c r="T32" s="44">
        <f t="shared" si="30"/>
        <v>267796000</v>
      </c>
      <c r="U32" s="35">
        <f t="shared" si="27"/>
        <v>803388000</v>
      </c>
      <c r="V32" s="35">
        <f t="shared" si="27"/>
        <v>3725474000</v>
      </c>
    </row>
    <row r="33" spans="1:45" s="111" customFormat="1" ht="12.75" customHeight="1">
      <c r="A33" s="121"/>
      <c r="B33" s="3"/>
      <c r="C33" s="3"/>
      <c r="D33" s="118" t="s">
        <v>180</v>
      </c>
      <c r="E33" s="7"/>
      <c r="F33" s="126">
        <f t="shared" ref="F33:V33" si="31">IF(F15=0,0,F32/F15)</f>
        <v>0.69675720935386354</v>
      </c>
      <c r="G33" s="126">
        <f t="shared" si="31"/>
        <v>0.70658575197889184</v>
      </c>
      <c r="H33" s="126">
        <f t="shared" si="31"/>
        <v>0.70658575197889184</v>
      </c>
      <c r="I33" s="127">
        <f t="shared" si="31"/>
        <v>0.70072618611908899</v>
      </c>
      <c r="J33" s="126">
        <f t="shared" ref="J33:L33" si="32">IF(J15=0,0,J32/J15)</f>
        <v>0.70658575197889184</v>
      </c>
      <c r="K33" s="126">
        <f t="shared" si="32"/>
        <v>0.70658575197889184</v>
      </c>
      <c r="L33" s="126">
        <f t="shared" si="32"/>
        <v>0.70658575197889184</v>
      </c>
      <c r="M33" s="127">
        <f t="shared" si="31"/>
        <v>0.70658575197889184</v>
      </c>
      <c r="N33" s="126">
        <f t="shared" ref="N33:P33" si="33">IF(N15=0,0,N32/N15)</f>
        <v>0.70658575197889184</v>
      </c>
      <c r="O33" s="126">
        <f t="shared" si="33"/>
        <v>0.70658575197889184</v>
      </c>
      <c r="P33" s="126">
        <f t="shared" si="33"/>
        <v>0.70658575197889184</v>
      </c>
      <c r="Q33" s="127">
        <f t="shared" si="31"/>
        <v>0.70658575197889184</v>
      </c>
      <c r="R33" s="126">
        <f t="shared" ref="R33:T33" si="34">IF(R15=0,0,R32/R15)</f>
        <v>0.70658575197889184</v>
      </c>
      <c r="S33" s="126">
        <f t="shared" si="34"/>
        <v>0.70658575197889184</v>
      </c>
      <c r="T33" s="126">
        <f t="shared" si="34"/>
        <v>0.70658575197889184</v>
      </c>
      <c r="U33" s="127">
        <f t="shared" si="31"/>
        <v>0.70658575197889184</v>
      </c>
      <c r="V33" s="127">
        <f t="shared" si="31"/>
        <v>0.70450582415086649</v>
      </c>
    </row>
    <row r="34" spans="1:45" ht="13.5" outlineLevel="1">
      <c r="A34" s="21" t="s">
        <v>49</v>
      </c>
      <c r="B34" s="22"/>
      <c r="C34" s="22"/>
      <c r="D34" s="22"/>
      <c r="F34" s="43"/>
      <c r="G34" s="43"/>
      <c r="H34" s="43"/>
      <c r="I34" s="34"/>
      <c r="J34" s="43"/>
      <c r="K34" s="43"/>
      <c r="L34" s="43"/>
      <c r="M34" s="34"/>
      <c r="N34" s="43"/>
      <c r="O34" s="43"/>
      <c r="P34" s="43"/>
      <c r="Q34" s="34"/>
      <c r="R34" s="43"/>
      <c r="S34" s="43"/>
      <c r="T34" s="43"/>
      <c r="U34" s="34"/>
      <c r="V34" s="34"/>
      <c r="X34"/>
      <c r="Y34"/>
    </row>
    <row r="35" spans="1:45" ht="13.5" outlineLevel="2">
      <c r="A35" s="22"/>
      <c r="B35" s="22"/>
      <c r="C35" s="23" t="s">
        <v>37</v>
      </c>
      <c r="D35" s="24"/>
      <c r="E35" s="8"/>
      <c r="F35" s="43"/>
      <c r="G35" s="43"/>
      <c r="H35" s="43"/>
      <c r="I35" s="34"/>
      <c r="J35" s="43"/>
      <c r="K35" s="43"/>
      <c r="L35" s="43"/>
      <c r="M35" s="34"/>
      <c r="N35" s="43"/>
      <c r="O35" s="43"/>
      <c r="P35" s="43"/>
      <c r="Q35" s="34"/>
      <c r="R35" s="43"/>
      <c r="S35" s="43"/>
      <c r="T35" s="43"/>
      <c r="U35" s="34"/>
      <c r="V35" s="34"/>
      <c r="X35"/>
      <c r="Y35"/>
    </row>
    <row r="36" spans="1:45" ht="15.75" outlineLevel="2">
      <c r="A36" s="22"/>
      <c r="B36" s="22"/>
      <c r="C36" s="22"/>
      <c r="D36" s="25" t="s">
        <v>27</v>
      </c>
      <c r="E36" s="7">
        <v>0</v>
      </c>
      <c r="F36" s="43">
        <f>SDT!F33+TST!F33+TSG!F33+간접!F33</f>
        <v>168000000</v>
      </c>
      <c r="G36" s="43">
        <f>SDT!G33+TST!G33+TSG!G33+간접!G33</f>
        <v>168000000</v>
      </c>
      <c r="H36" s="43">
        <f>SDT!H33+TST!H33+TSG!H33+간접!H33</f>
        <v>168000000</v>
      </c>
      <c r="I36" s="34">
        <f>SUM(F36:H36)</f>
        <v>504000000</v>
      </c>
      <c r="J36" s="43">
        <f>SDT!J33+TST!J33+TSG!J33+간접!J33</f>
        <v>168000000</v>
      </c>
      <c r="K36" s="43">
        <f>SDT!K33+TST!K33+TSG!K33+간접!K33</f>
        <v>168000000</v>
      </c>
      <c r="L36" s="43">
        <f>SDT!L33+TST!L33+TSG!L33+간접!L33</f>
        <v>168000000</v>
      </c>
      <c r="M36" s="34">
        <f>SUM(J36:L36)</f>
        <v>504000000</v>
      </c>
      <c r="N36" s="43">
        <f>SDT!N33+TST!N33+TSG!N33+간접!N33</f>
        <v>168000000</v>
      </c>
      <c r="O36" s="43">
        <f>SDT!O33+TST!O33+TSG!O33+간접!O33</f>
        <v>168000000</v>
      </c>
      <c r="P36" s="43">
        <f>SDT!P33+TST!P33+TSG!P33+간접!P33</f>
        <v>168000000</v>
      </c>
      <c r="Q36" s="34">
        <f>SUM(N36:P36)</f>
        <v>504000000</v>
      </c>
      <c r="R36" s="43">
        <f>SDT!R33+TST!R33+TSG!R33+간접!R33</f>
        <v>168000000</v>
      </c>
      <c r="S36" s="43">
        <f>SDT!S33+TST!S33+TSG!S33+간접!S33</f>
        <v>168000000</v>
      </c>
      <c r="T36" s="43">
        <f>SDT!T33+TST!T33+TSG!T33+간접!T33</f>
        <v>168000000</v>
      </c>
      <c r="U36" s="34">
        <f>SUM(R36:T36)</f>
        <v>504000000</v>
      </c>
      <c r="V36" s="34">
        <f t="shared" ref="V36:V40" si="35">I36+M36+Q36+U36</f>
        <v>2016000000</v>
      </c>
      <c r="X36" s="72">
        <v>228233000</v>
      </c>
      <c r="Y36" s="42">
        <f t="shared" ref="Y36:Y67" si="36">X36-F36</f>
        <v>60233000</v>
      </c>
      <c r="Z36" s="91" t="s">
        <v>295</v>
      </c>
      <c r="AA36" s="39">
        <v>123596000</v>
      </c>
      <c r="AB36" s="39">
        <f>T36</f>
        <v>168000000</v>
      </c>
      <c r="AC36" s="72">
        <f>AA36-AB36</f>
        <v>-44404000</v>
      </c>
      <c r="AD36" s="39">
        <f>100083000+22783000</f>
        <v>122866000</v>
      </c>
      <c r="AE36" s="39">
        <f>AB36-AD36</f>
        <v>45134000</v>
      </c>
      <c r="AG36" s="42">
        <f>V36+AB36</f>
        <v>2184000000</v>
      </c>
      <c r="AH36" s="42"/>
      <c r="AI36" s="39">
        <v>370784000</v>
      </c>
      <c r="AJ36" s="39">
        <f>R36+S36+AB36</f>
        <v>504000000</v>
      </c>
      <c r="AK36" s="42">
        <f>AI36-AJ36</f>
        <v>-133216000</v>
      </c>
      <c r="AN36" s="42">
        <f>R36+S36+AD36</f>
        <v>458866000</v>
      </c>
      <c r="AO36" s="42">
        <f>AI36-AN36</f>
        <v>-88082000</v>
      </c>
      <c r="AQ36" s="39">
        <v>1482576000</v>
      </c>
      <c r="AR36" s="39">
        <f>V36</f>
        <v>2016000000</v>
      </c>
      <c r="AS36" s="87">
        <f>AQ36-AR36</f>
        <v>-533424000</v>
      </c>
    </row>
    <row r="37" spans="1:45" ht="13.15" outlineLevel="2">
      <c r="A37" s="22"/>
      <c r="B37" s="22"/>
      <c r="C37" s="22"/>
      <c r="D37" s="25" t="s">
        <v>73</v>
      </c>
      <c r="F37" s="43">
        <f>SDT!F34+TST!F34+TSG!F34+간접!F34</f>
        <v>0</v>
      </c>
      <c r="G37" s="43">
        <f>SDT!G34+TST!G34+TSG!G34+간접!G34</f>
        <v>0</v>
      </c>
      <c r="H37" s="43">
        <f>SDT!H34+TST!H34+TSG!H34+간접!H34</f>
        <v>0</v>
      </c>
      <c r="I37" s="34">
        <f t="shared" ref="I37:I39" si="37">SUM(F37:H37)</f>
        <v>0</v>
      </c>
      <c r="J37" s="43">
        <f>SDT!J34+TST!J34+TSG!J34+간접!J34</f>
        <v>0</v>
      </c>
      <c r="K37" s="43">
        <f>SDT!K34+TST!K34+TSG!K34+간접!K34</f>
        <v>0</v>
      </c>
      <c r="L37" s="43">
        <f>SDT!L34+TST!L34+TSG!L34+간접!L34</f>
        <v>0</v>
      </c>
      <c r="M37" s="34">
        <f t="shared" ref="M37:M39" si="38">SUM(J37:L37)</f>
        <v>0</v>
      </c>
      <c r="N37" s="43">
        <f>SDT!N34+TST!N34+TSG!N34+간접!N34</f>
        <v>0</v>
      </c>
      <c r="O37" s="43">
        <f>SDT!O34+TST!O34+TSG!O34+간접!O34</f>
        <v>0</v>
      </c>
      <c r="P37" s="43">
        <f>SDT!P34+TST!P34+TSG!P34+간접!P34</f>
        <v>0</v>
      </c>
      <c r="Q37" s="34">
        <f t="shared" ref="Q37:Q39" si="39">SUM(N37:P37)</f>
        <v>0</v>
      </c>
      <c r="R37" s="43">
        <f>SDT!R34+TST!R34+TSG!R34+간접!R34</f>
        <v>0</v>
      </c>
      <c r="S37" s="43">
        <f>SDT!S34+TST!S34+TSG!S34+간접!S34</f>
        <v>0</v>
      </c>
      <c r="T37" s="43">
        <f>SDT!T34+TST!T34+TSG!T34+간접!T34</f>
        <v>0</v>
      </c>
      <c r="U37" s="34">
        <f>SUM(R37:T37)</f>
        <v>0</v>
      </c>
      <c r="V37" s="34">
        <f t="shared" si="35"/>
        <v>0</v>
      </c>
      <c r="X37" s="72">
        <v>2200000</v>
      </c>
      <c r="Y37" s="42">
        <f t="shared" si="36"/>
        <v>2200000</v>
      </c>
      <c r="Z37" s="188"/>
      <c r="AA37" s="39">
        <v>2100000</v>
      </c>
      <c r="AB37" s="39">
        <f>T37</f>
        <v>0</v>
      </c>
      <c r="AC37" s="87">
        <f t="shared" ref="AC37:AC39" si="40">AA37-AB37</f>
        <v>2100000</v>
      </c>
      <c r="AD37" s="39">
        <v>916760</v>
      </c>
      <c r="AE37" s="39">
        <f>AB37-AD37</f>
        <v>-916760</v>
      </c>
      <c r="AG37" s="42">
        <f>V37+AB37</f>
        <v>0</v>
      </c>
      <c r="AH37" s="42"/>
      <c r="AI37" s="39">
        <v>6300000</v>
      </c>
      <c r="AJ37" s="39">
        <f t="shared" ref="AJ37:AJ39" si="41">R37+S37+AB37</f>
        <v>0</v>
      </c>
      <c r="AK37" s="42">
        <f>AI37-AJ37</f>
        <v>6300000</v>
      </c>
      <c r="AN37" s="42">
        <f t="shared" ref="AN37:AN39" si="42">R37+S37+AD37</f>
        <v>916760</v>
      </c>
      <c r="AO37" s="42">
        <f t="shared" ref="AO37:AO39" si="43">AI37-AN37</f>
        <v>5383240</v>
      </c>
      <c r="AQ37" s="39">
        <f>24150000+15900000</f>
        <v>40050000</v>
      </c>
      <c r="AR37" s="39">
        <f>V37</f>
        <v>0</v>
      </c>
      <c r="AS37" s="87">
        <f t="shared" ref="AS37:AS39" si="44">AQ37-AR37</f>
        <v>40050000</v>
      </c>
    </row>
    <row r="38" spans="1:45" ht="13.15" outlineLevel="2">
      <c r="A38" s="22"/>
      <c r="B38" s="22"/>
      <c r="C38" s="22"/>
      <c r="D38" s="25" t="s">
        <v>55</v>
      </c>
      <c r="E38" s="7">
        <v>0</v>
      </c>
      <c r="F38" s="43">
        <f>SDT!F35+TST!F35+TSG!F35+간접!F35</f>
        <v>0</v>
      </c>
      <c r="G38" s="43">
        <f>SDT!G35+TST!G35+TSG!G35+간접!G35</f>
        <v>0</v>
      </c>
      <c r="H38" s="43">
        <f>SDT!H35+TST!H35+TSG!H35+간접!H35</f>
        <v>0</v>
      </c>
      <c r="I38" s="34">
        <f t="shared" si="37"/>
        <v>0</v>
      </c>
      <c r="J38" s="43">
        <f>SDT!J35+TST!J35+TSG!J35+간접!J35</f>
        <v>0</v>
      </c>
      <c r="K38" s="43">
        <f>SDT!K35+TST!K35+TSG!K35+간접!K35</f>
        <v>0</v>
      </c>
      <c r="L38" s="43">
        <f>SDT!L35+TST!L35+TSG!L35+간접!L35</f>
        <v>0</v>
      </c>
      <c r="M38" s="34">
        <f t="shared" si="38"/>
        <v>0</v>
      </c>
      <c r="N38" s="43">
        <f>SDT!N35+TST!N35+TSG!N35+간접!N35</f>
        <v>0</v>
      </c>
      <c r="O38" s="43">
        <f>SDT!O35+TST!O35+TSG!O35+간접!O35</f>
        <v>0</v>
      </c>
      <c r="P38" s="43">
        <f>SDT!P35+TST!P35+TSG!P35+간접!P35</f>
        <v>0</v>
      </c>
      <c r="Q38" s="34">
        <f t="shared" si="39"/>
        <v>0</v>
      </c>
      <c r="R38" s="43">
        <f>SDT!R35+TST!R35+TSG!R35+간접!R35</f>
        <v>0</v>
      </c>
      <c r="S38" s="43">
        <f>SDT!S35+TST!S35+TSG!S35+간접!S35</f>
        <v>0</v>
      </c>
      <c r="T38" s="43">
        <f>SDT!T35+TST!T35+TSG!T35+간접!T35</f>
        <v>0</v>
      </c>
      <c r="U38" s="34">
        <f>SUM(R38:T38)</f>
        <v>0</v>
      </c>
      <c r="V38" s="34">
        <f t="shared" si="35"/>
        <v>0</v>
      </c>
      <c r="X38" s="72"/>
      <c r="Y38" s="42">
        <f t="shared" si="36"/>
        <v>0</v>
      </c>
      <c r="AA38" s="39">
        <v>30236000</v>
      </c>
      <c r="AB38" s="39">
        <f>T38</f>
        <v>0</v>
      </c>
      <c r="AC38" s="72">
        <f t="shared" si="40"/>
        <v>30236000</v>
      </c>
      <c r="AD38" s="39">
        <f>24777920+4714390</f>
        <v>29492310</v>
      </c>
      <c r="AE38" s="76">
        <f>AB38-AD38</f>
        <v>-29492310</v>
      </c>
      <c r="AG38" s="42">
        <f>V38+AB38</f>
        <v>0</v>
      </c>
      <c r="AH38" s="42"/>
      <c r="AI38" s="39">
        <v>30236000</v>
      </c>
      <c r="AJ38" s="39">
        <f t="shared" si="41"/>
        <v>0</v>
      </c>
      <c r="AK38" s="42">
        <f>AI38-AJ38</f>
        <v>30236000</v>
      </c>
      <c r="AN38" s="42">
        <f t="shared" si="42"/>
        <v>29492310</v>
      </c>
      <c r="AO38" s="42">
        <f t="shared" si="43"/>
        <v>743690</v>
      </c>
      <c r="AQ38" s="39">
        <v>30933000</v>
      </c>
      <c r="AR38" s="39">
        <f>V38</f>
        <v>0</v>
      </c>
      <c r="AS38" s="72">
        <f t="shared" si="44"/>
        <v>30933000</v>
      </c>
    </row>
    <row r="39" spans="1:45" ht="13.15" outlineLevel="2">
      <c r="A39" s="22"/>
      <c r="B39" s="22"/>
      <c r="C39" s="22"/>
      <c r="D39" s="25" t="s">
        <v>96</v>
      </c>
      <c r="E39" s="7">
        <v>0</v>
      </c>
      <c r="F39" s="43">
        <f>SDT!F36+TST!F36+TSG!F36+간접!F36</f>
        <v>19000000</v>
      </c>
      <c r="G39" s="43">
        <f>SDT!G36+TST!G36+TSG!G36+간접!G36</f>
        <v>19000000</v>
      </c>
      <c r="H39" s="43">
        <f>SDT!H36+TST!H36+TSG!H36+간접!H36</f>
        <v>19000000</v>
      </c>
      <c r="I39" s="34">
        <f t="shared" si="37"/>
        <v>57000000</v>
      </c>
      <c r="J39" s="43">
        <f>SDT!J36+TST!J36+TSG!J36+간접!J36</f>
        <v>19000000</v>
      </c>
      <c r="K39" s="43">
        <f>SDT!K36+TST!K36+TSG!K36+간접!K36</f>
        <v>19000000</v>
      </c>
      <c r="L39" s="43">
        <f>SDT!L36+TST!L36+TSG!L36+간접!L36</f>
        <v>19000000</v>
      </c>
      <c r="M39" s="34">
        <f t="shared" si="38"/>
        <v>57000000</v>
      </c>
      <c r="N39" s="43">
        <f>SDT!N36+TST!N36+TSG!N36+간접!N36</f>
        <v>19000000</v>
      </c>
      <c r="O39" s="43">
        <f>SDT!O36+TST!O36+TSG!O36+간접!O36</f>
        <v>19000000</v>
      </c>
      <c r="P39" s="43">
        <f>SDT!P36+TST!P36+TSG!P36+간접!P36</f>
        <v>19000000</v>
      </c>
      <c r="Q39" s="34">
        <f t="shared" si="39"/>
        <v>57000000</v>
      </c>
      <c r="R39" s="43">
        <f>SDT!R36+TST!R36+TSG!R36+간접!R36</f>
        <v>19000000</v>
      </c>
      <c r="S39" s="43">
        <f>SDT!S36+TST!S36+TSG!S36+간접!S36</f>
        <v>19000000</v>
      </c>
      <c r="T39" s="43">
        <f>SDT!T36+TST!T36+TSG!T36+간접!T36</f>
        <v>19000000</v>
      </c>
      <c r="U39" s="34">
        <f>SUM(R39:T39)</f>
        <v>57000000</v>
      </c>
      <c r="V39" s="34">
        <f t="shared" si="35"/>
        <v>228000000</v>
      </c>
      <c r="X39" s="72">
        <v>32873000</v>
      </c>
      <c r="Y39" s="42">
        <f t="shared" si="36"/>
        <v>13873000</v>
      </c>
      <c r="Z39" s="187"/>
      <c r="AA39" s="39">
        <v>13129000</v>
      </c>
      <c r="AB39" s="39">
        <f>T39</f>
        <v>19000000</v>
      </c>
      <c r="AC39" s="87">
        <f t="shared" si="40"/>
        <v>-5871000</v>
      </c>
      <c r="AD39" s="39">
        <f>28556935+1748518</f>
        <v>30305453</v>
      </c>
      <c r="AE39" s="76">
        <f>AB39-AD39</f>
        <v>-11305453</v>
      </c>
      <c r="AG39" s="42">
        <f>V39+AB39</f>
        <v>247000000</v>
      </c>
      <c r="AH39" s="42"/>
      <c r="AI39" s="39">
        <v>39387000</v>
      </c>
      <c r="AJ39" s="39">
        <f t="shared" si="41"/>
        <v>57000000</v>
      </c>
      <c r="AK39" s="65">
        <f>AI39-AJ39</f>
        <v>-17613000</v>
      </c>
      <c r="AL39" s="67" t="s">
        <v>134</v>
      </c>
      <c r="AM39" s="77"/>
      <c r="AN39" s="42">
        <f t="shared" si="42"/>
        <v>68305453</v>
      </c>
      <c r="AO39" s="65">
        <f t="shared" si="43"/>
        <v>-28918453</v>
      </c>
      <c r="AQ39" s="39">
        <v>160094000</v>
      </c>
      <c r="AR39" s="39">
        <f>V39</f>
        <v>228000000</v>
      </c>
      <c r="AS39" s="87">
        <f t="shared" si="44"/>
        <v>-67906000</v>
      </c>
    </row>
    <row r="40" spans="1:45" ht="13.15" outlineLevel="1">
      <c r="A40" s="24"/>
      <c r="B40" s="24" t="s">
        <v>0</v>
      </c>
      <c r="C40" s="24"/>
      <c r="D40" s="24"/>
      <c r="E40" s="8"/>
      <c r="F40" s="44">
        <f>SUM(F36:F39)</f>
        <v>187000000</v>
      </c>
      <c r="G40" s="44">
        <f>SUM(G36:G39)</f>
        <v>187000000</v>
      </c>
      <c r="H40" s="44">
        <f t="shared" ref="H40" si="45">SUM(H36:H39)</f>
        <v>187000000</v>
      </c>
      <c r="I40" s="35">
        <f t="shared" ref="I40:U40" si="46">SUM(I36:I39)</f>
        <v>561000000</v>
      </c>
      <c r="J40" s="44">
        <f>SUM(J36:J39)</f>
        <v>187000000</v>
      </c>
      <c r="K40" s="44">
        <f t="shared" ref="K40:L40" si="47">SUM(K36:K39)</f>
        <v>187000000</v>
      </c>
      <c r="L40" s="44">
        <f t="shared" si="47"/>
        <v>187000000</v>
      </c>
      <c r="M40" s="35">
        <f t="shared" si="46"/>
        <v>561000000</v>
      </c>
      <c r="N40" s="44">
        <f>SUM(N36:N39)</f>
        <v>187000000</v>
      </c>
      <c r="O40" s="44">
        <f t="shared" ref="O40:P40" si="48">SUM(O36:O39)</f>
        <v>187000000</v>
      </c>
      <c r="P40" s="44">
        <f t="shared" si="48"/>
        <v>187000000</v>
      </c>
      <c r="Q40" s="35">
        <f t="shared" si="46"/>
        <v>561000000</v>
      </c>
      <c r="R40" s="44">
        <f>SUM(R36:R39)</f>
        <v>187000000</v>
      </c>
      <c r="S40" s="44">
        <f t="shared" ref="S40:T40" si="49">SUM(S36:S39)</f>
        <v>187000000</v>
      </c>
      <c r="T40" s="44">
        <f t="shared" si="49"/>
        <v>187000000</v>
      </c>
      <c r="U40" s="35">
        <f t="shared" si="46"/>
        <v>561000000</v>
      </c>
      <c r="V40" s="35">
        <f t="shared" si="35"/>
        <v>2244000000</v>
      </c>
      <c r="X40" s="74">
        <f>SUM(X36:X39)</f>
        <v>263306000</v>
      </c>
      <c r="Y40" s="95">
        <f t="shared" si="36"/>
        <v>76306000</v>
      </c>
      <c r="AA40" s="41">
        <f>SUM(AA36:AA39)</f>
        <v>169061000</v>
      </c>
      <c r="AB40" s="41">
        <f>SUM(AB36:AB39)</f>
        <v>187000000</v>
      </c>
      <c r="AC40" s="41">
        <f>SUM(AC36:AC39)</f>
        <v>-17939000</v>
      </c>
      <c r="AD40" s="41">
        <f>SUM(AD36:AD39)</f>
        <v>183580523</v>
      </c>
      <c r="AE40" s="41">
        <f>SUM(AE36:AE39)</f>
        <v>3419477</v>
      </c>
      <c r="AF40" s="41"/>
      <c r="AG40" s="42">
        <f>V40+AB40</f>
        <v>2431000000</v>
      </c>
      <c r="AH40" s="42"/>
      <c r="AI40" s="41">
        <f>SUM(AI36:AI39)</f>
        <v>446707000</v>
      </c>
      <c r="AJ40" s="41">
        <f>SUM(AJ36:AJ39)</f>
        <v>561000000</v>
      </c>
      <c r="AK40" s="41">
        <f>SUM(AK36:AK39)</f>
        <v>-114293000</v>
      </c>
      <c r="AN40" s="41">
        <f>SUM(AN36:AN39)</f>
        <v>557580523</v>
      </c>
      <c r="AO40" s="41">
        <f>SUM(AO36:AO39)</f>
        <v>-110873523</v>
      </c>
      <c r="AQ40" s="41">
        <f>SUM(AQ36:AQ39)</f>
        <v>1713653000</v>
      </c>
      <c r="AR40" s="41">
        <f>SUM(AR36:AR39)</f>
        <v>2244000000</v>
      </c>
      <c r="AS40" s="41">
        <f>SUM(AS36:AS39)</f>
        <v>-530347000</v>
      </c>
    </row>
    <row r="41" spans="1:45" ht="13.5" outlineLevel="2">
      <c r="A41" s="22"/>
      <c r="B41" s="22"/>
      <c r="C41" s="23" t="s">
        <v>38</v>
      </c>
      <c r="D41" s="22"/>
      <c r="F41" s="96"/>
      <c r="G41" s="96"/>
      <c r="H41" s="96"/>
      <c r="I41" s="34"/>
      <c r="J41" s="96"/>
      <c r="K41" s="96"/>
      <c r="L41" s="96"/>
      <c r="M41" s="34"/>
      <c r="N41" s="96"/>
      <c r="O41" s="96"/>
      <c r="P41" s="96"/>
      <c r="Q41" s="34"/>
      <c r="R41" s="96"/>
      <c r="S41" s="96"/>
      <c r="T41" s="96"/>
      <c r="U41" s="34"/>
      <c r="V41" s="34"/>
      <c r="X41"/>
      <c r="Y41" s="42">
        <f t="shared" si="36"/>
        <v>0</v>
      </c>
      <c r="AQ41" s="39"/>
      <c r="AR41" s="39"/>
      <c r="AS41" s="72"/>
    </row>
    <row r="42" spans="1:45" ht="15.75" outlineLevel="2">
      <c r="A42" s="22"/>
      <c r="B42" s="22"/>
      <c r="C42" s="22"/>
      <c r="D42" s="25" t="s">
        <v>30</v>
      </c>
      <c r="E42" s="7">
        <v>0</v>
      </c>
      <c r="F42" s="43">
        <f>SDT!F39+TST!F39+TSG!F39+간접!F39</f>
        <v>7500000</v>
      </c>
      <c r="G42" s="43">
        <f>SDT!G39+TST!G39+TSG!G39+간접!G39</f>
        <v>7500000</v>
      </c>
      <c r="H42" s="43">
        <f>SDT!H39+TST!H39+TSG!H39+간접!H39</f>
        <v>7500000</v>
      </c>
      <c r="I42" s="34">
        <f t="shared" ref="I42" si="50">SUM(F42:H42)</f>
        <v>22500000</v>
      </c>
      <c r="J42" s="43">
        <f>SDT!J39+TST!J39+TSG!J39+간접!J39</f>
        <v>7500000</v>
      </c>
      <c r="K42" s="43">
        <f>SDT!K39+TST!K39+TSG!K39+간접!K39</f>
        <v>7500000</v>
      </c>
      <c r="L42" s="43">
        <f>SDT!L39+TST!L39+TSG!L39+간접!L39</f>
        <v>7500000</v>
      </c>
      <c r="M42" s="34">
        <f t="shared" ref="M42" si="51">SUM(J42:L42)</f>
        <v>22500000</v>
      </c>
      <c r="N42" s="43">
        <f>SDT!N39+TST!N39+TSG!N39+간접!N39</f>
        <v>7500000</v>
      </c>
      <c r="O42" s="43">
        <f>SDT!O39+TST!O39+TSG!O39+간접!O39</f>
        <v>7500000</v>
      </c>
      <c r="P42" s="43">
        <f>SDT!P39+TST!P39+TSG!P39+간접!P39</f>
        <v>7500000</v>
      </c>
      <c r="Q42" s="34">
        <f t="shared" ref="Q42" si="52">SUM(N42:P42)</f>
        <v>22500000</v>
      </c>
      <c r="R42" s="43">
        <f>SDT!R39+TST!R39+TSG!R39+간접!R39</f>
        <v>7500000</v>
      </c>
      <c r="S42" s="43">
        <f>SDT!S39+TST!S39+TSG!S39+간접!S39</f>
        <v>7500000</v>
      </c>
      <c r="T42" s="43">
        <f>SDT!T39+TST!T39+TSG!T39+간접!T39</f>
        <v>7500000</v>
      </c>
      <c r="U42" s="34">
        <f t="shared" ref="U42:U53" si="53">SUM(R42:T42)</f>
        <v>22500000</v>
      </c>
      <c r="V42" s="34">
        <f t="shared" ref="V42:V56" si="54">I42+M42+Q42+U42</f>
        <v>90000000</v>
      </c>
      <c r="X42" s="102">
        <v>8177770</v>
      </c>
      <c r="Y42" s="42">
        <f t="shared" si="36"/>
        <v>677770</v>
      </c>
      <c r="Z42" s="91" t="s">
        <v>295</v>
      </c>
      <c r="AA42" s="39">
        <v>4749000</v>
      </c>
      <c r="AB42" s="39">
        <f t="shared" ref="AB42:AB53" si="55">T42</f>
        <v>7500000</v>
      </c>
      <c r="AC42" s="72">
        <f t="shared" ref="AC42:AC53" si="56">AA42-AB42</f>
        <v>-2751000</v>
      </c>
      <c r="AD42" s="39">
        <f>3406790+746210</f>
        <v>4153000</v>
      </c>
      <c r="AE42" s="39">
        <f t="shared" ref="AE42:AE53" si="57">AB42-AD42</f>
        <v>3347000</v>
      </c>
      <c r="AG42" s="42">
        <f t="shared" ref="AG42:AG55" si="58">V42+AB42</f>
        <v>97500000</v>
      </c>
      <c r="AH42" s="42"/>
      <c r="AI42" s="39">
        <v>14245000</v>
      </c>
      <c r="AJ42" s="39">
        <f t="shared" ref="AJ42:AJ53" si="59">R42+S42+AB42</f>
        <v>22500000</v>
      </c>
      <c r="AK42" s="42">
        <f t="shared" ref="AK42:AK53" si="60">AI42-AJ42</f>
        <v>-8255000</v>
      </c>
      <c r="AN42" s="42">
        <f>R42+S42+AD42</f>
        <v>19153000</v>
      </c>
      <c r="AO42" s="42">
        <f t="shared" ref="AO42:AO53" si="61">AI42-AN42</f>
        <v>-4908000</v>
      </c>
      <c r="AQ42" s="39">
        <v>56047000</v>
      </c>
      <c r="AR42" s="39">
        <f t="shared" ref="AR42:AR53" si="62">V42</f>
        <v>90000000</v>
      </c>
      <c r="AS42" s="72">
        <f t="shared" ref="AS42:AS53" si="63">AQ42-AR42</f>
        <v>-33953000</v>
      </c>
    </row>
    <row r="43" spans="1:45" ht="15.75" outlineLevel="2">
      <c r="A43" s="22"/>
      <c r="B43" s="22"/>
      <c r="C43" s="22"/>
      <c r="D43" s="25" t="s">
        <v>31</v>
      </c>
      <c r="E43" s="7">
        <v>0</v>
      </c>
      <c r="F43" s="43">
        <f>SDT!F40+TST!F40+TSG!F40+간접!F40</f>
        <v>7700000</v>
      </c>
      <c r="G43" s="43">
        <f>SDT!G40+TST!G40+TSG!G40+간접!G40</f>
        <v>7700000</v>
      </c>
      <c r="H43" s="43">
        <f>SDT!H40+TST!H40+TSG!H40+간접!H40</f>
        <v>7700000</v>
      </c>
      <c r="I43" s="34">
        <f t="shared" ref="I43:I53" si="64">SUM(F43:H43)</f>
        <v>23100000</v>
      </c>
      <c r="J43" s="43">
        <f>SDT!J40+TST!J40+TSG!J40+간접!J40</f>
        <v>7700000</v>
      </c>
      <c r="K43" s="43">
        <f>SDT!K40+TST!K40+TSG!K40+간접!K40</f>
        <v>7700000</v>
      </c>
      <c r="L43" s="43">
        <f>SDT!L40+TST!L40+TSG!L40+간접!L40</f>
        <v>7700000</v>
      </c>
      <c r="M43" s="34">
        <f t="shared" ref="M43:M53" si="65">SUM(J43:L43)</f>
        <v>23100000</v>
      </c>
      <c r="N43" s="43">
        <f>SDT!N40+TST!N40+TSG!N40+간접!N40</f>
        <v>7700000</v>
      </c>
      <c r="O43" s="43">
        <f>SDT!O40+TST!O40+TSG!O40+간접!O40</f>
        <v>7700000</v>
      </c>
      <c r="P43" s="43">
        <f>SDT!P40+TST!P40+TSG!P40+간접!P40</f>
        <v>7700000</v>
      </c>
      <c r="Q43" s="34">
        <f t="shared" ref="Q43:Q53" si="66">SUM(N43:P43)</f>
        <v>23100000</v>
      </c>
      <c r="R43" s="43">
        <f>SDT!R40+TST!R40+TSG!R40+간접!R40</f>
        <v>7700000</v>
      </c>
      <c r="S43" s="43">
        <f>SDT!S40+TST!S40+TSG!S40+간접!S40</f>
        <v>7700000</v>
      </c>
      <c r="T43" s="43">
        <f>SDT!T40+TST!T40+TSG!T40+간접!T40</f>
        <v>7700000</v>
      </c>
      <c r="U43" s="34">
        <f t="shared" si="53"/>
        <v>23100000</v>
      </c>
      <c r="V43" s="34">
        <f t="shared" si="54"/>
        <v>92400000</v>
      </c>
      <c r="X43" s="102">
        <v>11743530</v>
      </c>
      <c r="Y43" s="42">
        <f t="shared" si="36"/>
        <v>4043530</v>
      </c>
      <c r="Z43" s="91" t="s">
        <v>295</v>
      </c>
      <c r="AA43" s="39">
        <v>4669000</v>
      </c>
      <c r="AB43" s="39">
        <f t="shared" si="55"/>
        <v>7700000</v>
      </c>
      <c r="AC43" s="72">
        <f t="shared" si="56"/>
        <v>-3031000</v>
      </c>
      <c r="AD43" s="39">
        <f>3689280+763440</f>
        <v>4452720</v>
      </c>
      <c r="AE43" s="39">
        <f t="shared" si="57"/>
        <v>3247280</v>
      </c>
      <c r="AG43" s="42">
        <f t="shared" si="58"/>
        <v>100100000</v>
      </c>
      <c r="AH43" s="42"/>
      <c r="AI43" s="39">
        <v>14005000</v>
      </c>
      <c r="AJ43" s="39">
        <f t="shared" si="59"/>
        <v>23100000</v>
      </c>
      <c r="AK43" s="42">
        <f t="shared" si="60"/>
        <v>-9095000</v>
      </c>
      <c r="AN43" s="42">
        <f t="shared" ref="AN43:AN53" si="67">R43+S43+AD43</f>
        <v>19852720</v>
      </c>
      <c r="AO43" s="42">
        <f t="shared" si="61"/>
        <v>-5847720</v>
      </c>
      <c r="AQ43" s="39">
        <v>55537000</v>
      </c>
      <c r="AR43" s="39">
        <f t="shared" si="62"/>
        <v>92400000</v>
      </c>
      <c r="AS43" s="87">
        <f t="shared" si="63"/>
        <v>-36863000</v>
      </c>
    </row>
    <row r="44" spans="1:45" ht="13.15" outlineLevel="2">
      <c r="A44" s="22"/>
      <c r="B44" s="22"/>
      <c r="C44" s="22"/>
      <c r="D44" s="25" t="s">
        <v>32</v>
      </c>
      <c r="E44" s="7">
        <v>0</v>
      </c>
      <c r="F44" s="43">
        <f>SDT!F41+TST!F41+TSG!F41+간접!F41</f>
        <v>2150000</v>
      </c>
      <c r="G44" s="43">
        <f>SDT!G41+TST!G41+TSG!G41+간접!G41</f>
        <v>2150000</v>
      </c>
      <c r="H44" s="43">
        <f>SDT!H41+TST!H41+TSG!H41+간접!H41</f>
        <v>2150000</v>
      </c>
      <c r="I44" s="34">
        <f t="shared" si="64"/>
        <v>6450000</v>
      </c>
      <c r="J44" s="43">
        <f>SDT!J41+TST!J41+TSG!J41+간접!J41</f>
        <v>2150000</v>
      </c>
      <c r="K44" s="43">
        <f>SDT!K41+TST!K41+TSG!K41+간접!K41</f>
        <v>2150000</v>
      </c>
      <c r="L44" s="43">
        <f>SDT!L41+TST!L41+TSG!L41+간접!L41</f>
        <v>2150000</v>
      </c>
      <c r="M44" s="34">
        <f t="shared" si="65"/>
        <v>6450000</v>
      </c>
      <c r="N44" s="43">
        <f>SDT!N41+TST!N41+TSG!N41+간접!N41</f>
        <v>2150000</v>
      </c>
      <c r="O44" s="43">
        <f>SDT!O41+TST!O41+TSG!O41+간접!O41</f>
        <v>2150000</v>
      </c>
      <c r="P44" s="43">
        <f>SDT!P41+TST!P41+TSG!P41+간접!P41</f>
        <v>2150000</v>
      </c>
      <c r="Q44" s="34">
        <f t="shared" si="66"/>
        <v>6450000</v>
      </c>
      <c r="R44" s="43">
        <f>SDT!R41+TST!R41+TSG!R41+간접!R41</f>
        <v>2150000</v>
      </c>
      <c r="S44" s="43">
        <f>SDT!S41+TST!S41+TSG!S41+간접!S41</f>
        <v>2150000</v>
      </c>
      <c r="T44" s="43">
        <f>SDT!T41+TST!T41+TSG!T41+간접!T41</f>
        <v>2150000</v>
      </c>
      <c r="U44" s="34">
        <f t="shared" si="53"/>
        <v>6450000</v>
      </c>
      <c r="V44" s="34">
        <f t="shared" si="54"/>
        <v>25800000</v>
      </c>
      <c r="W44" s="3" t="s">
        <v>87</v>
      </c>
      <c r="X44" s="102">
        <v>2419970</v>
      </c>
      <c r="Y44" s="42">
        <f t="shared" si="36"/>
        <v>269970</v>
      </c>
      <c r="AA44" s="39">
        <v>1175000</v>
      </c>
      <c r="AB44" s="39">
        <f t="shared" si="55"/>
        <v>2150000</v>
      </c>
      <c r="AC44" s="87">
        <f t="shared" si="56"/>
        <v>-975000</v>
      </c>
      <c r="AD44" s="39">
        <f>1057220+228700</f>
        <v>1285920</v>
      </c>
      <c r="AE44" s="39">
        <f t="shared" si="57"/>
        <v>864080</v>
      </c>
      <c r="AG44" s="42">
        <f t="shared" si="58"/>
        <v>27950000</v>
      </c>
      <c r="AH44" s="42"/>
      <c r="AI44" s="39">
        <v>3521000</v>
      </c>
      <c r="AJ44" s="39">
        <f t="shared" si="59"/>
        <v>6450000</v>
      </c>
      <c r="AK44" s="65">
        <f t="shared" si="60"/>
        <v>-2929000</v>
      </c>
      <c r="AL44" s="67" t="s">
        <v>135</v>
      </c>
      <c r="AM44" s="77"/>
      <c r="AN44" s="42">
        <f t="shared" si="67"/>
        <v>5585920</v>
      </c>
      <c r="AO44" s="42">
        <f t="shared" si="61"/>
        <v>-2064920</v>
      </c>
      <c r="AQ44" s="39">
        <v>13956000</v>
      </c>
      <c r="AR44" s="39">
        <f t="shared" si="62"/>
        <v>25800000</v>
      </c>
      <c r="AS44" s="87">
        <f t="shared" si="63"/>
        <v>-11844000</v>
      </c>
    </row>
    <row r="45" spans="1:45" ht="13.15" outlineLevel="2">
      <c r="A45" s="22"/>
      <c r="B45" s="22"/>
      <c r="C45" s="22"/>
      <c r="D45" s="25" t="s">
        <v>98</v>
      </c>
      <c r="E45" s="7">
        <v>0</v>
      </c>
      <c r="F45" s="43">
        <f>SDT!F42+TST!F42+TSG!F42+간접!F42</f>
        <v>1060000</v>
      </c>
      <c r="G45" s="43">
        <f>SDT!G42+TST!G42+TSG!G42+간접!G42</f>
        <v>1060000</v>
      </c>
      <c r="H45" s="43">
        <f>SDT!H42+TST!H42+TSG!H42+간접!H42</f>
        <v>1060000</v>
      </c>
      <c r="I45" s="34">
        <f t="shared" si="64"/>
        <v>3180000</v>
      </c>
      <c r="J45" s="43">
        <f>SDT!J42+TST!J42+TSG!J42+간접!J42</f>
        <v>1060000</v>
      </c>
      <c r="K45" s="43">
        <f>SDT!K42+TST!K42+TSG!K42+간접!K42</f>
        <v>1060000</v>
      </c>
      <c r="L45" s="43">
        <f>SDT!L42+TST!L42+TSG!L42+간접!L42</f>
        <v>1060000</v>
      </c>
      <c r="M45" s="34">
        <f t="shared" si="65"/>
        <v>3180000</v>
      </c>
      <c r="N45" s="43">
        <f>SDT!N42+TST!N42+TSG!N42+간접!N42</f>
        <v>1060000</v>
      </c>
      <c r="O45" s="43">
        <f>SDT!O42+TST!O42+TSG!O42+간접!O42</f>
        <v>1060000</v>
      </c>
      <c r="P45" s="43">
        <f>SDT!P42+TST!P42+TSG!P42+간접!P42</f>
        <v>1060000</v>
      </c>
      <c r="Q45" s="34">
        <f t="shared" si="66"/>
        <v>3180000</v>
      </c>
      <c r="R45" s="43">
        <f>SDT!R42+TST!R42+TSG!R42+간접!R42</f>
        <v>1060000</v>
      </c>
      <c r="S45" s="43">
        <f>SDT!S42+TST!S42+TSG!S42+간접!S42</f>
        <v>1060000</v>
      </c>
      <c r="T45" s="43">
        <f>SDT!T42+TST!T42+TSG!T42+간접!T42</f>
        <v>1060000</v>
      </c>
      <c r="U45" s="34">
        <f t="shared" si="53"/>
        <v>3180000</v>
      </c>
      <c r="V45" s="34">
        <f t="shared" si="54"/>
        <v>12720000</v>
      </c>
      <c r="X45" s="102">
        <v>1275200</v>
      </c>
      <c r="Y45" s="42">
        <f t="shared" si="36"/>
        <v>215200</v>
      </c>
      <c r="AA45" s="39">
        <v>735000</v>
      </c>
      <c r="AB45" s="39">
        <f t="shared" si="55"/>
        <v>1060000</v>
      </c>
      <c r="AC45" s="87">
        <f t="shared" si="56"/>
        <v>-325000</v>
      </c>
      <c r="AD45" s="72">
        <f>818640+176430</f>
        <v>995070</v>
      </c>
      <c r="AE45" s="39">
        <f t="shared" si="57"/>
        <v>64930</v>
      </c>
      <c r="AF45" s="72"/>
      <c r="AG45" s="42">
        <f t="shared" si="58"/>
        <v>13780000</v>
      </c>
      <c r="AH45" s="42"/>
      <c r="AI45" s="39">
        <v>2201000</v>
      </c>
      <c r="AJ45" s="39">
        <f t="shared" si="59"/>
        <v>3180000</v>
      </c>
      <c r="AK45" s="65">
        <f t="shared" si="60"/>
        <v>-979000</v>
      </c>
      <c r="AL45" s="67" t="s">
        <v>136</v>
      </c>
      <c r="AM45" s="77"/>
      <c r="AN45" s="42">
        <f t="shared" si="67"/>
        <v>3115070</v>
      </c>
      <c r="AO45" s="42">
        <f t="shared" si="61"/>
        <v>-914070</v>
      </c>
      <c r="AQ45" s="39">
        <v>8688000</v>
      </c>
      <c r="AR45" s="39">
        <f t="shared" si="62"/>
        <v>12720000</v>
      </c>
      <c r="AS45" s="87">
        <f t="shared" si="63"/>
        <v>-4032000</v>
      </c>
    </row>
    <row r="46" spans="1:45" ht="13.15" outlineLevel="2">
      <c r="A46" s="22"/>
      <c r="B46" s="22"/>
      <c r="C46" s="22"/>
      <c r="D46" s="25" t="s">
        <v>56</v>
      </c>
      <c r="F46" s="43">
        <f>SDT!F43+TST!F43+TSG!F43+간접!F43</f>
        <v>322000</v>
      </c>
      <c r="G46" s="43">
        <f>SDT!G43+TST!G43+TSG!G43+간접!G43</f>
        <v>322000</v>
      </c>
      <c r="H46" s="43">
        <f>SDT!H43+TST!H43+TSG!H43+간접!H43</f>
        <v>322000</v>
      </c>
      <c r="I46" s="34">
        <f t="shared" si="64"/>
        <v>966000</v>
      </c>
      <c r="J46" s="43">
        <f>SDT!J43+TST!J43+TSG!J43+간접!J43</f>
        <v>322000</v>
      </c>
      <c r="K46" s="43">
        <f>SDT!K43+TST!K43+TSG!K43+간접!K43</f>
        <v>322000</v>
      </c>
      <c r="L46" s="43">
        <f>SDT!L43+TST!L43+TSG!L43+간접!L43</f>
        <v>322000</v>
      </c>
      <c r="M46" s="34">
        <f t="shared" si="65"/>
        <v>966000</v>
      </c>
      <c r="N46" s="43">
        <f>SDT!N43+TST!N43+TSG!N43+간접!N43</f>
        <v>322000</v>
      </c>
      <c r="O46" s="43">
        <f>SDT!O43+TST!O43+TSG!O43+간접!O43</f>
        <v>322000</v>
      </c>
      <c r="P46" s="43">
        <f>SDT!P43+TST!P43+TSG!P43+간접!P43</f>
        <v>322000</v>
      </c>
      <c r="Q46" s="34">
        <f t="shared" si="66"/>
        <v>966000</v>
      </c>
      <c r="R46" s="43">
        <f>SDT!R43+TST!R43+TSG!R43+간접!R43</f>
        <v>322000</v>
      </c>
      <c r="S46" s="43">
        <f>SDT!S43+TST!S43+TSG!S43+간접!S43</f>
        <v>322000</v>
      </c>
      <c r="T46" s="43">
        <f>SDT!T43+TST!T43+TSG!T43+간접!T43</f>
        <v>322000</v>
      </c>
      <c r="U46" s="34">
        <f t="shared" si="53"/>
        <v>966000</v>
      </c>
      <c r="V46" s="34">
        <f t="shared" si="54"/>
        <v>3864000</v>
      </c>
      <c r="X46" s="102">
        <v>322257</v>
      </c>
      <c r="Y46" s="42">
        <f t="shared" si="36"/>
        <v>257</v>
      </c>
      <c r="AA46" s="39">
        <v>225000</v>
      </c>
      <c r="AB46" s="39">
        <f t="shared" si="55"/>
        <v>322000</v>
      </c>
      <c r="AC46" s="72">
        <f t="shared" si="56"/>
        <v>-97000</v>
      </c>
      <c r="AD46" s="72">
        <f>38500+18900</f>
        <v>57400</v>
      </c>
      <c r="AE46" s="39">
        <f t="shared" si="57"/>
        <v>264600</v>
      </c>
      <c r="AF46" s="72"/>
      <c r="AG46" s="42">
        <f t="shared" si="58"/>
        <v>4186000</v>
      </c>
      <c r="AH46" s="42"/>
      <c r="AI46" s="39">
        <v>675000</v>
      </c>
      <c r="AJ46" s="39">
        <f t="shared" si="59"/>
        <v>966000</v>
      </c>
      <c r="AK46" s="65">
        <f t="shared" si="60"/>
        <v>-291000</v>
      </c>
      <c r="AL46" s="67" t="s">
        <v>137</v>
      </c>
      <c r="AM46" s="77"/>
      <c r="AN46" s="42">
        <f t="shared" si="67"/>
        <v>701400</v>
      </c>
      <c r="AO46" s="42">
        <f t="shared" si="61"/>
        <v>-26400</v>
      </c>
      <c r="AQ46" s="39">
        <v>2700000</v>
      </c>
      <c r="AR46" s="39">
        <f t="shared" si="62"/>
        <v>3864000</v>
      </c>
      <c r="AS46" s="87">
        <f t="shared" si="63"/>
        <v>-1164000</v>
      </c>
    </row>
    <row r="47" spans="1:45" ht="13.15" outlineLevel="2">
      <c r="A47" s="22"/>
      <c r="B47" s="22"/>
      <c r="C47" s="22"/>
      <c r="D47" s="25" t="s">
        <v>57</v>
      </c>
      <c r="E47" s="7">
        <v>0</v>
      </c>
      <c r="F47" s="43">
        <f>SDT!F44+TST!F44+TSG!F44+간접!F44</f>
        <v>1699000</v>
      </c>
      <c r="G47" s="43">
        <f>SDT!G44+TST!G44+TSG!G44+간접!G44</f>
        <v>1893000</v>
      </c>
      <c r="H47" s="43">
        <f>SDT!H44+TST!H44+TSG!H44+간접!H44</f>
        <v>1893000</v>
      </c>
      <c r="I47" s="34">
        <f t="shared" si="64"/>
        <v>5485000</v>
      </c>
      <c r="J47" s="43">
        <f>SDT!J44+TST!J44+TSG!J44+간접!J44</f>
        <v>1893000</v>
      </c>
      <c r="K47" s="43">
        <f>SDT!K44+TST!K44+TSG!K44+간접!K44</f>
        <v>1893000</v>
      </c>
      <c r="L47" s="43">
        <f>SDT!L44+TST!L44+TSG!L44+간접!L44</f>
        <v>1893000</v>
      </c>
      <c r="M47" s="34">
        <f t="shared" si="65"/>
        <v>5679000</v>
      </c>
      <c r="N47" s="43">
        <f>SDT!N44+TST!N44+TSG!N44+간접!N44</f>
        <v>1893000</v>
      </c>
      <c r="O47" s="43">
        <f>SDT!O44+TST!O44+TSG!O44+간접!O44</f>
        <v>1893000</v>
      </c>
      <c r="P47" s="43">
        <f>SDT!P44+TST!P44+TSG!P44+간접!P44</f>
        <v>1893000</v>
      </c>
      <c r="Q47" s="34">
        <f t="shared" si="66"/>
        <v>5679000</v>
      </c>
      <c r="R47" s="43">
        <f>SDT!R44+TST!R44+TSG!R44+간접!R44</f>
        <v>1893000</v>
      </c>
      <c r="S47" s="43">
        <f>SDT!S44+TST!S44+TSG!S44+간접!S44</f>
        <v>1893000</v>
      </c>
      <c r="T47" s="43">
        <f>SDT!T44+TST!T44+TSG!T44+간접!T44</f>
        <v>1893000</v>
      </c>
      <c r="U47" s="34">
        <f t="shared" si="53"/>
        <v>5679000</v>
      </c>
      <c r="V47" s="34">
        <f t="shared" si="54"/>
        <v>22522000</v>
      </c>
      <c r="X47" s="102">
        <v>1700518</v>
      </c>
      <c r="Y47" s="42">
        <f t="shared" si="36"/>
        <v>1518</v>
      </c>
      <c r="AA47" s="39">
        <v>1084000</v>
      </c>
      <c r="AB47" s="39">
        <f t="shared" si="55"/>
        <v>1893000</v>
      </c>
      <c r="AC47" s="87">
        <f t="shared" si="56"/>
        <v>-809000</v>
      </c>
      <c r="AD47" s="72">
        <f>1441263</f>
        <v>1441263</v>
      </c>
      <c r="AE47" s="76">
        <f t="shared" si="57"/>
        <v>451737</v>
      </c>
      <c r="AF47" s="72"/>
      <c r="AG47" s="42">
        <f t="shared" si="58"/>
        <v>24415000</v>
      </c>
      <c r="AH47" s="42"/>
      <c r="AI47" s="39">
        <v>3250000</v>
      </c>
      <c r="AJ47" s="39">
        <f t="shared" si="59"/>
        <v>5679000</v>
      </c>
      <c r="AK47" s="65">
        <f t="shared" si="60"/>
        <v>-2429000</v>
      </c>
      <c r="AL47" s="67" t="s">
        <v>132</v>
      </c>
      <c r="AM47" s="77"/>
      <c r="AN47" s="42">
        <f t="shared" si="67"/>
        <v>5227263</v>
      </c>
      <c r="AO47" s="42">
        <f t="shared" si="61"/>
        <v>-1977263</v>
      </c>
      <c r="AQ47" s="39">
        <v>13000000</v>
      </c>
      <c r="AR47" s="39">
        <f t="shared" si="62"/>
        <v>22522000</v>
      </c>
      <c r="AS47" s="87">
        <f t="shared" si="63"/>
        <v>-9522000</v>
      </c>
    </row>
    <row r="48" spans="1:45" ht="13.15" outlineLevel="2">
      <c r="A48" s="22"/>
      <c r="B48" s="22"/>
      <c r="C48" s="22"/>
      <c r="D48" s="25" t="s">
        <v>54</v>
      </c>
      <c r="E48" s="7">
        <v>0</v>
      </c>
      <c r="F48" s="43">
        <f>SDT!F45+TST!F45+TSG!F45+간접!F45</f>
        <v>850000</v>
      </c>
      <c r="G48" s="43">
        <f>SDT!G45+TST!G45+TSG!G45+간접!G45</f>
        <v>850000</v>
      </c>
      <c r="H48" s="43">
        <f>SDT!H45+TST!H45+TSG!H45+간접!H45</f>
        <v>850000</v>
      </c>
      <c r="I48" s="34">
        <f t="shared" si="64"/>
        <v>2550000</v>
      </c>
      <c r="J48" s="43">
        <f>SDT!J45+TST!J45+TSG!J45+간접!J45</f>
        <v>850000</v>
      </c>
      <c r="K48" s="43">
        <f>SDT!K45+TST!K45+TSG!K45+간접!K45</f>
        <v>850000</v>
      </c>
      <c r="L48" s="43">
        <f>SDT!L45+TST!L45+TSG!L45+간접!L45</f>
        <v>850000</v>
      </c>
      <c r="M48" s="34">
        <f t="shared" si="65"/>
        <v>2550000</v>
      </c>
      <c r="N48" s="43">
        <f>SDT!N45+TST!N45+TSG!N45+간접!N45</f>
        <v>850000</v>
      </c>
      <c r="O48" s="43">
        <f>SDT!O45+TST!O45+TSG!O45+간접!O45</f>
        <v>850000</v>
      </c>
      <c r="P48" s="43">
        <f>SDT!P45+TST!P45+TSG!P45+간접!P45</f>
        <v>850000</v>
      </c>
      <c r="Q48" s="34">
        <f t="shared" si="66"/>
        <v>2550000</v>
      </c>
      <c r="R48" s="43">
        <f>SDT!R45+TST!R45+TSG!R45+간접!R45</f>
        <v>850000</v>
      </c>
      <c r="S48" s="43">
        <f>SDT!S45+TST!S45+TSG!S45+간접!S45</f>
        <v>850000</v>
      </c>
      <c r="T48" s="43">
        <f>SDT!T45+TST!T45+TSG!T45+간접!T45</f>
        <v>850000</v>
      </c>
      <c r="U48" s="34">
        <f t="shared" si="53"/>
        <v>2550000</v>
      </c>
      <c r="V48" s="34">
        <f t="shared" si="54"/>
        <v>10200000</v>
      </c>
      <c r="X48" s="102">
        <v>850000</v>
      </c>
      <c r="Y48" s="42">
        <f t="shared" si="36"/>
        <v>0</v>
      </c>
      <c r="AA48" s="39">
        <v>418000</v>
      </c>
      <c r="AB48" s="39">
        <f t="shared" si="55"/>
        <v>850000</v>
      </c>
      <c r="AC48" s="87">
        <f t="shared" si="56"/>
        <v>-432000</v>
      </c>
      <c r="AD48" s="72">
        <f>450600</f>
        <v>450600</v>
      </c>
      <c r="AE48" s="76">
        <f t="shared" si="57"/>
        <v>399400</v>
      </c>
      <c r="AF48" s="72"/>
      <c r="AG48" s="42">
        <f t="shared" si="58"/>
        <v>11050000</v>
      </c>
      <c r="AH48" s="42"/>
      <c r="AI48" s="39">
        <v>1250000</v>
      </c>
      <c r="AJ48" s="39">
        <f t="shared" si="59"/>
        <v>2550000</v>
      </c>
      <c r="AK48" s="65">
        <f t="shared" si="60"/>
        <v>-1300000</v>
      </c>
      <c r="AL48" s="67" t="s">
        <v>138</v>
      </c>
      <c r="AM48" s="77"/>
      <c r="AN48" s="42">
        <f t="shared" si="67"/>
        <v>2150600</v>
      </c>
      <c r="AO48" s="65">
        <f t="shared" si="61"/>
        <v>-900600</v>
      </c>
      <c r="AQ48" s="39">
        <v>5000000</v>
      </c>
      <c r="AR48" s="39">
        <f t="shared" si="62"/>
        <v>10200000</v>
      </c>
      <c r="AS48" s="72">
        <f t="shared" si="63"/>
        <v>-5200000</v>
      </c>
    </row>
    <row r="49" spans="1:45" ht="13.15" outlineLevel="2">
      <c r="A49" s="22"/>
      <c r="B49" s="22"/>
      <c r="C49" s="22"/>
      <c r="D49" s="25" t="s">
        <v>34</v>
      </c>
      <c r="E49" s="7">
        <v>0</v>
      </c>
      <c r="F49" s="43">
        <f>SDT!F46+TST!F46+TSG!F46+간접!F46</f>
        <v>0</v>
      </c>
      <c r="G49" s="43">
        <f>SDT!G46+TST!G46+TSG!G46+간접!G46</f>
        <v>0</v>
      </c>
      <c r="H49" s="43">
        <f>SDT!H46+TST!H46+TSG!H46+간접!H46</f>
        <v>0</v>
      </c>
      <c r="I49" s="34">
        <f t="shared" si="64"/>
        <v>0</v>
      </c>
      <c r="J49" s="43">
        <f>SDT!J46+TST!J46+TSG!J46+간접!J46</f>
        <v>0</v>
      </c>
      <c r="K49" s="43">
        <f>SDT!K46+TST!K46+TSG!K46+간접!K46</f>
        <v>0</v>
      </c>
      <c r="L49" s="43">
        <f>SDT!L46+TST!L46+TSG!L46+간접!L46</f>
        <v>0</v>
      </c>
      <c r="M49" s="34">
        <f t="shared" si="65"/>
        <v>0</v>
      </c>
      <c r="N49" s="43">
        <f>SDT!N46+TST!N46+TSG!N46+간접!N46</f>
        <v>0</v>
      </c>
      <c r="O49" s="43">
        <f>SDT!O46+TST!O46+TSG!O46+간접!O46</f>
        <v>0</v>
      </c>
      <c r="P49" s="43">
        <f>SDT!P46+TST!P46+TSG!P46+간접!P46</f>
        <v>0</v>
      </c>
      <c r="Q49" s="34">
        <f t="shared" si="66"/>
        <v>0</v>
      </c>
      <c r="R49" s="43">
        <f>SDT!R46+TST!R46+TSG!R46+간접!R46</f>
        <v>0</v>
      </c>
      <c r="S49" s="43">
        <f>SDT!S46+TST!S46+TSG!S46+간접!S46</f>
        <v>0</v>
      </c>
      <c r="T49" s="43">
        <f>SDT!T46+TST!T46+TSG!T46+간접!T46</f>
        <v>0</v>
      </c>
      <c r="U49" s="34">
        <f t="shared" si="53"/>
        <v>0</v>
      </c>
      <c r="V49" s="34">
        <f t="shared" si="54"/>
        <v>0</v>
      </c>
      <c r="X49" s="102"/>
      <c r="Y49" s="42">
        <f t="shared" si="36"/>
        <v>0</v>
      </c>
      <c r="AA49" s="39">
        <v>200000</v>
      </c>
      <c r="AB49" s="39">
        <f t="shared" si="55"/>
        <v>0</v>
      </c>
      <c r="AC49" s="87">
        <f t="shared" si="56"/>
        <v>200000</v>
      </c>
      <c r="AD49" s="39">
        <f>565500</f>
        <v>565500</v>
      </c>
      <c r="AE49" s="39">
        <f t="shared" si="57"/>
        <v>-565500</v>
      </c>
      <c r="AG49" s="42">
        <f t="shared" si="58"/>
        <v>0</v>
      </c>
      <c r="AH49" s="42"/>
      <c r="AI49" s="39">
        <v>600000</v>
      </c>
      <c r="AJ49" s="39">
        <f t="shared" si="59"/>
        <v>0</v>
      </c>
      <c r="AK49" s="65">
        <f t="shared" si="60"/>
        <v>600000</v>
      </c>
      <c r="AL49" s="67" t="s">
        <v>139</v>
      </c>
      <c r="AM49" s="77"/>
      <c r="AN49" s="42">
        <f t="shared" si="67"/>
        <v>565500</v>
      </c>
      <c r="AO49" s="65">
        <f t="shared" si="61"/>
        <v>34500</v>
      </c>
      <c r="AQ49" s="39">
        <v>7000000</v>
      </c>
      <c r="AR49" s="39">
        <f t="shared" si="62"/>
        <v>0</v>
      </c>
      <c r="AS49" s="87">
        <f t="shared" si="63"/>
        <v>7000000</v>
      </c>
    </row>
    <row r="50" spans="1:45" ht="13.15" outlineLevel="2">
      <c r="A50" s="22"/>
      <c r="B50" s="22"/>
      <c r="C50" s="22"/>
      <c r="D50" s="25" t="s">
        <v>65</v>
      </c>
      <c r="E50" s="7">
        <v>0</v>
      </c>
      <c r="F50" s="43">
        <f>SDT!F47+TST!F47+TSG!F47+간접!F47</f>
        <v>2432000</v>
      </c>
      <c r="G50" s="43">
        <f>SDT!G47+TST!G47+TSG!G47+간접!G47</f>
        <v>2432000</v>
      </c>
      <c r="H50" s="43">
        <f>SDT!H47+TST!H47+TSG!H47+간접!H47</f>
        <v>2432000</v>
      </c>
      <c r="I50" s="34">
        <f t="shared" si="64"/>
        <v>7296000</v>
      </c>
      <c r="J50" s="43">
        <f>SDT!J47+TST!J47+TSG!J47+간접!J47</f>
        <v>2432000</v>
      </c>
      <c r="K50" s="43">
        <f>SDT!K47+TST!K47+TSG!K47+간접!K47</f>
        <v>2432000</v>
      </c>
      <c r="L50" s="43">
        <f>SDT!L47+TST!L47+TSG!L47+간접!L47</f>
        <v>2432000</v>
      </c>
      <c r="M50" s="34">
        <f t="shared" si="65"/>
        <v>7296000</v>
      </c>
      <c r="N50" s="43">
        <f>SDT!N47+TST!N47+TSG!N47+간접!N47</f>
        <v>2432000</v>
      </c>
      <c r="O50" s="43">
        <f>SDT!O47+TST!O47+TSG!O47+간접!O47</f>
        <v>2432000</v>
      </c>
      <c r="P50" s="43">
        <f>SDT!P47+TST!P47+TSG!P47+간접!P47</f>
        <v>2432000</v>
      </c>
      <c r="Q50" s="34">
        <f t="shared" si="66"/>
        <v>7296000</v>
      </c>
      <c r="R50" s="43">
        <f>SDT!R47+TST!R47+TSG!R47+간접!R47</f>
        <v>2432000</v>
      </c>
      <c r="S50" s="43">
        <f>SDT!S47+TST!S47+TSG!S47+간접!S47</f>
        <v>2432000</v>
      </c>
      <c r="T50" s="43">
        <f>SDT!T47+TST!T47+TSG!T47+간접!T47</f>
        <v>2432000</v>
      </c>
      <c r="U50" s="34">
        <f t="shared" si="53"/>
        <v>7296000</v>
      </c>
      <c r="V50" s="34">
        <f t="shared" si="54"/>
        <v>29184000</v>
      </c>
      <c r="X50" s="102">
        <v>2432440</v>
      </c>
      <c r="Y50" s="42">
        <f t="shared" si="36"/>
        <v>440</v>
      </c>
      <c r="AB50" s="39">
        <f t="shared" si="55"/>
        <v>2432000</v>
      </c>
      <c r="AC50" s="72">
        <f t="shared" si="56"/>
        <v>-2432000</v>
      </c>
      <c r="AD50" s="39">
        <v>0</v>
      </c>
      <c r="AE50" s="39">
        <f t="shared" si="57"/>
        <v>2432000</v>
      </c>
      <c r="AG50" s="42">
        <f t="shared" si="58"/>
        <v>31616000</v>
      </c>
      <c r="AH50" s="42"/>
      <c r="AI50" s="39">
        <v>0</v>
      </c>
      <c r="AJ50" s="39">
        <f t="shared" si="59"/>
        <v>7296000</v>
      </c>
      <c r="AK50" s="42">
        <f t="shared" si="60"/>
        <v>-7296000</v>
      </c>
      <c r="AN50" s="42">
        <f t="shared" si="67"/>
        <v>4864000</v>
      </c>
      <c r="AO50" s="42">
        <f t="shared" si="61"/>
        <v>-4864000</v>
      </c>
      <c r="AQ50" s="39">
        <v>2400000</v>
      </c>
      <c r="AR50" s="39">
        <f t="shared" si="62"/>
        <v>29184000</v>
      </c>
      <c r="AS50" s="72">
        <f t="shared" si="63"/>
        <v>-26784000</v>
      </c>
    </row>
    <row r="51" spans="1:45" ht="13.15" outlineLevel="2">
      <c r="A51" s="22"/>
      <c r="B51" s="22"/>
      <c r="C51" s="22"/>
      <c r="D51" s="25" t="s">
        <v>64</v>
      </c>
      <c r="E51" s="7">
        <v>0</v>
      </c>
      <c r="F51" s="43">
        <f>SDT!F48+TST!F48+TSG!F48+간접!F48</f>
        <v>0</v>
      </c>
      <c r="G51" s="43">
        <f>SDT!G48+TST!G48+TSG!G48+간접!G48</f>
        <v>0</v>
      </c>
      <c r="H51" s="43">
        <f>SDT!H48+TST!H48+TSG!H48+간접!H48</f>
        <v>0</v>
      </c>
      <c r="I51" s="34">
        <f t="shared" si="64"/>
        <v>0</v>
      </c>
      <c r="J51" s="43">
        <f>SDT!J48+TST!J48+TSG!J48+간접!J48</f>
        <v>0</v>
      </c>
      <c r="K51" s="43">
        <f>SDT!K48+TST!K48+TSG!K48+간접!K48</f>
        <v>0</v>
      </c>
      <c r="L51" s="43">
        <f>SDT!L48+TST!L48+TSG!L48+간접!L48</f>
        <v>0</v>
      </c>
      <c r="M51" s="34">
        <f t="shared" si="65"/>
        <v>0</v>
      </c>
      <c r="N51" s="43">
        <f>SDT!N48+TST!N48+TSG!N48+간접!N48</f>
        <v>0</v>
      </c>
      <c r="O51" s="43">
        <f>SDT!O48+TST!O48+TSG!O48+간접!O48</f>
        <v>0</v>
      </c>
      <c r="P51" s="43">
        <f>SDT!P48+TST!P48+TSG!P48+간접!P48</f>
        <v>0</v>
      </c>
      <c r="Q51" s="34">
        <f t="shared" si="66"/>
        <v>0</v>
      </c>
      <c r="R51" s="43">
        <f>SDT!R48+TST!R48+TSG!R48+간접!R48</f>
        <v>0</v>
      </c>
      <c r="S51" s="43">
        <f>SDT!S48+TST!S48+TSG!S48+간접!S48</f>
        <v>0</v>
      </c>
      <c r="T51" s="43">
        <f>SDT!T48+TST!T48+TSG!T48+간접!T48</f>
        <v>0</v>
      </c>
      <c r="U51" s="34">
        <f t="shared" si="53"/>
        <v>0</v>
      </c>
      <c r="V51" s="34">
        <f t="shared" si="54"/>
        <v>0</v>
      </c>
      <c r="X51" s="102"/>
      <c r="Y51" s="42">
        <f t="shared" si="36"/>
        <v>0</v>
      </c>
      <c r="AB51" s="39">
        <f t="shared" si="55"/>
        <v>0</v>
      </c>
      <c r="AC51" s="72">
        <f t="shared" si="56"/>
        <v>0</v>
      </c>
      <c r="AD51" s="39">
        <v>0</v>
      </c>
      <c r="AE51" s="39">
        <f t="shared" si="57"/>
        <v>0</v>
      </c>
      <c r="AG51" s="42">
        <f t="shared" si="58"/>
        <v>0</v>
      </c>
      <c r="AH51" s="42"/>
      <c r="AI51" s="39">
        <v>0</v>
      </c>
      <c r="AJ51" s="39">
        <f t="shared" si="59"/>
        <v>0</v>
      </c>
      <c r="AK51" s="42">
        <f t="shared" si="60"/>
        <v>0</v>
      </c>
      <c r="AN51" s="42">
        <f t="shared" si="67"/>
        <v>0</v>
      </c>
      <c r="AO51" s="42">
        <f t="shared" si="61"/>
        <v>0</v>
      </c>
      <c r="AQ51" s="39">
        <v>9000000</v>
      </c>
      <c r="AR51" s="39">
        <f t="shared" si="62"/>
        <v>0</v>
      </c>
      <c r="AS51" s="72">
        <f t="shared" si="63"/>
        <v>9000000</v>
      </c>
    </row>
    <row r="52" spans="1:45" ht="13.15" outlineLevel="2">
      <c r="A52" s="22"/>
      <c r="B52" s="22"/>
      <c r="C52" s="22"/>
      <c r="D52" s="25" t="s">
        <v>116</v>
      </c>
      <c r="F52" s="43">
        <f>SDT!F49+TST!F49+TSG!F49+간접!F49</f>
        <v>1395000</v>
      </c>
      <c r="G52" s="43">
        <f>SDT!G49+TST!G49+TSG!G49+간접!G49</f>
        <v>1395000</v>
      </c>
      <c r="H52" s="43">
        <f>SDT!H49+TST!H49+TSG!H49+간접!H49</f>
        <v>1395000</v>
      </c>
      <c r="I52" s="34">
        <f t="shared" si="64"/>
        <v>4185000</v>
      </c>
      <c r="J52" s="43">
        <f>SDT!J49+TST!J49+TSG!J49+간접!J49</f>
        <v>1395000</v>
      </c>
      <c r="K52" s="43">
        <f>SDT!K49+TST!K49+TSG!K49+간접!K49</f>
        <v>1395000</v>
      </c>
      <c r="L52" s="43">
        <f>SDT!L49+TST!L49+TSG!L49+간접!L49</f>
        <v>1395000</v>
      </c>
      <c r="M52" s="34">
        <f t="shared" si="65"/>
        <v>4185000</v>
      </c>
      <c r="N52" s="43">
        <f>SDT!N49+TST!N49+TSG!N49+간접!N49</f>
        <v>1395000</v>
      </c>
      <c r="O52" s="43">
        <f>SDT!O49+TST!O49+TSG!O49+간접!O49</f>
        <v>1395000</v>
      </c>
      <c r="P52" s="43">
        <f>SDT!P49+TST!P49+TSG!P49+간접!P49</f>
        <v>1395000</v>
      </c>
      <c r="Q52" s="34">
        <f t="shared" si="66"/>
        <v>4185000</v>
      </c>
      <c r="R52" s="43">
        <f>SDT!R49+TST!R49+TSG!R49+간접!R49</f>
        <v>1395000</v>
      </c>
      <c r="S52" s="43">
        <f>SDT!S49+TST!S49+TSG!S49+간접!S49</f>
        <v>1395000</v>
      </c>
      <c r="T52" s="43">
        <f>SDT!T49+TST!T49+TSG!T49+간접!T49</f>
        <v>1395000</v>
      </c>
      <c r="U52" s="34">
        <f t="shared" si="53"/>
        <v>4185000</v>
      </c>
      <c r="V52" s="34">
        <f t="shared" si="54"/>
        <v>16740000</v>
      </c>
      <c r="X52" s="102">
        <v>1395000</v>
      </c>
      <c r="Y52" s="42">
        <f t="shared" si="36"/>
        <v>0</v>
      </c>
      <c r="AA52" s="39">
        <v>1060000</v>
      </c>
      <c r="AB52" s="39">
        <f t="shared" si="55"/>
        <v>1395000</v>
      </c>
      <c r="AC52" s="87">
        <f t="shared" si="56"/>
        <v>-335000</v>
      </c>
      <c r="AD52" s="39">
        <f>931419+190000</f>
        <v>1121419</v>
      </c>
      <c r="AE52" s="39">
        <f t="shared" si="57"/>
        <v>273581</v>
      </c>
      <c r="AG52" s="42">
        <f t="shared" si="58"/>
        <v>18135000</v>
      </c>
      <c r="AH52" s="42"/>
      <c r="AI52" s="39">
        <v>3180000</v>
      </c>
      <c r="AJ52" s="39">
        <f t="shared" si="59"/>
        <v>4185000</v>
      </c>
      <c r="AK52" s="42">
        <f t="shared" si="60"/>
        <v>-1005000</v>
      </c>
      <c r="AN52" s="42">
        <f t="shared" si="67"/>
        <v>3911419</v>
      </c>
      <c r="AO52" s="42">
        <f t="shared" si="61"/>
        <v>-731419</v>
      </c>
      <c r="AQ52" s="39">
        <v>12720000</v>
      </c>
      <c r="AR52" s="39">
        <f t="shared" si="62"/>
        <v>16740000</v>
      </c>
      <c r="AS52" s="72">
        <f t="shared" si="63"/>
        <v>-4020000</v>
      </c>
    </row>
    <row r="53" spans="1:45" ht="13.15" outlineLevel="2">
      <c r="A53" s="22"/>
      <c r="B53" s="22"/>
      <c r="C53" s="22"/>
      <c r="D53" s="25" t="s">
        <v>120</v>
      </c>
      <c r="F53" s="43">
        <f>SDT!F50+TST!F50+TSG!F50+간접!F50</f>
        <v>837000</v>
      </c>
      <c r="G53" s="43">
        <f>SDT!G50+TST!G50+TSG!G50+간접!G50</f>
        <v>837000</v>
      </c>
      <c r="H53" s="43">
        <f>SDT!H50+TST!H50+TSG!H50+간접!H50</f>
        <v>837000</v>
      </c>
      <c r="I53" s="34">
        <f t="shared" si="64"/>
        <v>2511000</v>
      </c>
      <c r="J53" s="43">
        <f>SDT!J50+TST!J50+TSG!J50+간접!J50</f>
        <v>837000</v>
      </c>
      <c r="K53" s="43">
        <f>SDT!K50+TST!K50+TSG!K50+간접!K50</f>
        <v>837000</v>
      </c>
      <c r="L53" s="43">
        <f>SDT!L50+TST!L50+TSG!L50+간접!L50</f>
        <v>837000</v>
      </c>
      <c r="M53" s="34">
        <f t="shared" si="65"/>
        <v>2511000</v>
      </c>
      <c r="N53" s="43">
        <f>SDT!N50+TST!N50+TSG!N50+간접!N50</f>
        <v>837000</v>
      </c>
      <c r="O53" s="43">
        <f>SDT!O50+TST!O50+TSG!O50+간접!O50</f>
        <v>837000</v>
      </c>
      <c r="P53" s="43">
        <f>SDT!P50+TST!P50+TSG!P50+간접!P50</f>
        <v>837000</v>
      </c>
      <c r="Q53" s="34">
        <f t="shared" si="66"/>
        <v>2511000</v>
      </c>
      <c r="R53" s="43">
        <f>SDT!R50+TST!R50+TSG!R50+간접!R50</f>
        <v>837000</v>
      </c>
      <c r="S53" s="43">
        <f>SDT!S50+TST!S50+TSG!S50+간접!S50</f>
        <v>837000</v>
      </c>
      <c r="T53" s="43">
        <f>SDT!T50+TST!T50+TSG!T50+간접!T50</f>
        <v>837000</v>
      </c>
      <c r="U53" s="34">
        <f t="shared" si="53"/>
        <v>2511000</v>
      </c>
      <c r="V53" s="34">
        <f t="shared" si="54"/>
        <v>10044000</v>
      </c>
      <c r="X53" s="102">
        <v>836400</v>
      </c>
      <c r="Y53" s="42">
        <f t="shared" si="36"/>
        <v>-600</v>
      </c>
      <c r="AA53" s="39">
        <v>0</v>
      </c>
      <c r="AB53" s="39">
        <f t="shared" si="55"/>
        <v>837000</v>
      </c>
      <c r="AC53" s="87">
        <f t="shared" si="56"/>
        <v>-837000</v>
      </c>
      <c r="AD53" s="39">
        <f>572000</f>
        <v>572000</v>
      </c>
      <c r="AE53" s="39">
        <f t="shared" si="57"/>
        <v>265000</v>
      </c>
      <c r="AG53" s="42">
        <f t="shared" si="58"/>
        <v>10881000</v>
      </c>
      <c r="AH53" s="42"/>
      <c r="AI53" s="39">
        <v>0</v>
      </c>
      <c r="AJ53" s="39">
        <f t="shared" si="59"/>
        <v>2511000</v>
      </c>
      <c r="AK53" s="65">
        <f t="shared" si="60"/>
        <v>-2511000</v>
      </c>
      <c r="AL53" s="67" t="s">
        <v>133</v>
      </c>
      <c r="AM53" s="77"/>
      <c r="AN53" s="42">
        <f t="shared" si="67"/>
        <v>2246000</v>
      </c>
      <c r="AO53" s="65">
        <f t="shared" si="61"/>
        <v>-2246000</v>
      </c>
      <c r="AQ53" s="39">
        <v>0</v>
      </c>
      <c r="AR53" s="39">
        <f t="shared" si="62"/>
        <v>10044000</v>
      </c>
      <c r="AS53" s="87">
        <f t="shared" si="63"/>
        <v>-10044000</v>
      </c>
    </row>
    <row r="54" spans="1:45" ht="13.15" outlineLevel="1">
      <c r="A54" s="24"/>
      <c r="B54" s="24" t="s">
        <v>1</v>
      </c>
      <c r="C54" s="24"/>
      <c r="D54" s="24"/>
      <c r="E54" s="8"/>
      <c r="F54" s="97">
        <f>SUM(F42:F53)</f>
        <v>25945000</v>
      </c>
      <c r="G54" s="97">
        <f>SUM(G42:G53)</f>
        <v>26139000</v>
      </c>
      <c r="H54" s="97">
        <f t="shared" ref="H54" si="68">SUM(H42:H53)</f>
        <v>26139000</v>
      </c>
      <c r="I54" s="35">
        <f>SUM(I42:I53)</f>
        <v>78223000</v>
      </c>
      <c r="J54" s="97">
        <f>SUM(J42:J53)</f>
        <v>26139000</v>
      </c>
      <c r="K54" s="97">
        <f t="shared" ref="K54:L54" si="69">SUM(K42:K53)</f>
        <v>26139000</v>
      </c>
      <c r="L54" s="97">
        <f t="shared" si="69"/>
        <v>26139000</v>
      </c>
      <c r="M54" s="35">
        <f t="shared" ref="M54:U54" si="70">SUM(M42:M53)</f>
        <v>78417000</v>
      </c>
      <c r="N54" s="97">
        <f>SUM(N42:N53)</f>
        <v>26139000</v>
      </c>
      <c r="O54" s="97">
        <f t="shared" ref="O54:P54" si="71">SUM(O42:O53)</f>
        <v>26139000</v>
      </c>
      <c r="P54" s="97">
        <f t="shared" si="71"/>
        <v>26139000</v>
      </c>
      <c r="Q54" s="35">
        <f t="shared" si="70"/>
        <v>78417000</v>
      </c>
      <c r="R54" s="97">
        <f>SUM(R42:R53)</f>
        <v>26139000</v>
      </c>
      <c r="S54" s="97">
        <f t="shared" ref="S54:T54" si="72">SUM(S42:S53)</f>
        <v>26139000</v>
      </c>
      <c r="T54" s="97">
        <f t="shared" si="72"/>
        <v>26139000</v>
      </c>
      <c r="U54" s="35">
        <f t="shared" si="70"/>
        <v>78417000</v>
      </c>
      <c r="V54" s="35">
        <f t="shared" si="54"/>
        <v>313474000</v>
      </c>
      <c r="X54" s="74">
        <f>SUM(X42:X53)</f>
        <v>31153085</v>
      </c>
      <c r="Y54" s="95">
        <f t="shared" si="36"/>
        <v>5208085</v>
      </c>
      <c r="AA54" s="41">
        <f>SUM(AA42:AA53)</f>
        <v>14315000</v>
      </c>
      <c r="AB54" s="41">
        <f>SUM(AB42:AB53)</f>
        <v>26139000</v>
      </c>
      <c r="AC54" s="41">
        <f>SUM(AC42:AC53)</f>
        <v>-11824000</v>
      </c>
      <c r="AD54" s="41">
        <f>SUM(AD42:AD53)</f>
        <v>15094892</v>
      </c>
      <c r="AE54" s="41">
        <f>SUM(AE42:AE53)</f>
        <v>11044108</v>
      </c>
      <c r="AF54" s="41"/>
      <c r="AG54" s="42">
        <f t="shared" si="58"/>
        <v>339613000</v>
      </c>
      <c r="AH54" s="42"/>
      <c r="AI54" s="41">
        <f>SUM(AI42:AI53)</f>
        <v>42927000</v>
      </c>
      <c r="AJ54" s="41">
        <f>SUM(AJ42:AJ53)</f>
        <v>78417000</v>
      </c>
      <c r="AK54" s="62">
        <f>SUM(AK42:AK53)</f>
        <v>-35490000</v>
      </c>
      <c r="AN54" s="41">
        <f>SUM(AN42:AN53)</f>
        <v>67372892</v>
      </c>
      <c r="AO54" s="62">
        <f>SUM(AO42:AO53)</f>
        <v>-24445892</v>
      </c>
      <c r="AQ54" s="41">
        <f>SUM(AQ42:AQ53)</f>
        <v>186048000</v>
      </c>
      <c r="AR54" s="41">
        <f>SUM(AR42:AR53)</f>
        <v>313474000</v>
      </c>
      <c r="AS54" s="41">
        <f>SUM(AS42:AS53)</f>
        <v>-127426000</v>
      </c>
    </row>
    <row r="55" spans="1:45" ht="13.15" outlineLevel="1">
      <c r="A55" s="24"/>
      <c r="B55" s="24" t="s">
        <v>2</v>
      </c>
      <c r="C55" s="24"/>
      <c r="D55" s="24"/>
      <c r="E55" s="8"/>
      <c r="F55" s="97">
        <f>F40+F54</f>
        <v>212945000</v>
      </c>
      <c r="G55" s="97">
        <f>G40+G54</f>
        <v>213139000</v>
      </c>
      <c r="H55" s="97">
        <f>H40+H54</f>
        <v>213139000</v>
      </c>
      <c r="I55" s="35">
        <f>I54+I40</f>
        <v>639223000</v>
      </c>
      <c r="J55" s="97">
        <f>J40+J54</f>
        <v>213139000</v>
      </c>
      <c r="K55" s="97">
        <f>K40+K54</f>
        <v>213139000</v>
      </c>
      <c r="L55" s="97">
        <f>L40+L54</f>
        <v>213139000</v>
      </c>
      <c r="M55" s="35">
        <f>M54+M40</f>
        <v>639417000</v>
      </c>
      <c r="N55" s="97">
        <f>N40+N54</f>
        <v>213139000</v>
      </c>
      <c r="O55" s="97">
        <f>O40+O54</f>
        <v>213139000</v>
      </c>
      <c r="P55" s="97">
        <f>P40+P54</f>
        <v>213139000</v>
      </c>
      <c r="Q55" s="35">
        <f>Q54+Q40</f>
        <v>639417000</v>
      </c>
      <c r="R55" s="97">
        <f>R40+R54</f>
        <v>213139000</v>
      </c>
      <c r="S55" s="97">
        <f>S40+S54</f>
        <v>213139000</v>
      </c>
      <c r="T55" s="97">
        <f>T40+T54</f>
        <v>213139000</v>
      </c>
      <c r="U55" s="35">
        <f>U54+U40</f>
        <v>639417000</v>
      </c>
      <c r="V55" s="35">
        <f t="shared" si="54"/>
        <v>2557474000</v>
      </c>
      <c r="X55" s="74">
        <f>X54+X40</f>
        <v>294459085</v>
      </c>
      <c r="Y55" s="95">
        <f t="shared" si="36"/>
        <v>81514085</v>
      </c>
      <c r="AA55" s="41">
        <f>AA54+AA40</f>
        <v>183376000</v>
      </c>
      <c r="AB55" s="41">
        <f>AB54+AB40</f>
        <v>213139000</v>
      </c>
      <c r="AC55" s="41">
        <f>AC54+AC40</f>
        <v>-29763000</v>
      </c>
      <c r="AD55" s="41">
        <f>AD54+AD40</f>
        <v>198675415</v>
      </c>
      <c r="AE55" s="41">
        <f>AE54+AE40</f>
        <v>14463585</v>
      </c>
      <c r="AF55" s="41"/>
      <c r="AG55" s="42">
        <f t="shared" si="58"/>
        <v>2770613000</v>
      </c>
      <c r="AH55" s="42"/>
      <c r="AI55" s="41">
        <f>AI54+AI40</f>
        <v>489634000</v>
      </c>
      <c r="AJ55" s="41">
        <f>AJ54+AJ40</f>
        <v>639417000</v>
      </c>
      <c r="AK55" s="41">
        <f>AK54+AK40</f>
        <v>-149783000</v>
      </c>
      <c r="AN55" s="41">
        <f>AN54+AN40</f>
        <v>624953415</v>
      </c>
      <c r="AO55" s="41">
        <f>AO54+AO40</f>
        <v>-135319415</v>
      </c>
      <c r="AQ55" s="41">
        <f>AQ54+AQ40</f>
        <v>1899701000</v>
      </c>
      <c r="AR55" s="41">
        <f>AR54+AR40</f>
        <v>2557474000</v>
      </c>
      <c r="AS55" s="41">
        <f>AS54+AS40</f>
        <v>-657773000</v>
      </c>
    </row>
    <row r="56" spans="1:45" s="4" customFormat="1" ht="13.15" outlineLevel="1">
      <c r="A56" s="24"/>
      <c r="B56" s="24" t="s">
        <v>3</v>
      </c>
      <c r="C56" s="24"/>
      <c r="D56" s="24"/>
      <c r="E56" s="8">
        <v>0</v>
      </c>
      <c r="F56" s="97">
        <v>0</v>
      </c>
      <c r="G56" s="97">
        <v>0</v>
      </c>
      <c r="H56" s="97">
        <v>0</v>
      </c>
      <c r="I56" s="35">
        <v>0</v>
      </c>
      <c r="J56" s="97">
        <v>0</v>
      </c>
      <c r="K56" s="97">
        <v>0</v>
      </c>
      <c r="L56" s="97">
        <v>0</v>
      </c>
      <c r="M56" s="35">
        <v>0</v>
      </c>
      <c r="N56" s="97">
        <v>0</v>
      </c>
      <c r="O56" s="97">
        <v>0</v>
      </c>
      <c r="P56" s="97">
        <v>0</v>
      </c>
      <c r="Q56" s="35">
        <v>0</v>
      </c>
      <c r="R56" s="97">
        <v>0</v>
      </c>
      <c r="S56" s="97">
        <v>0</v>
      </c>
      <c r="T56" s="97">
        <v>0</v>
      </c>
      <c r="U56" s="35">
        <v>0</v>
      </c>
      <c r="V56" s="35">
        <f t="shared" si="54"/>
        <v>0</v>
      </c>
      <c r="X56" s="74"/>
      <c r="Y56" s="42">
        <f t="shared" si="36"/>
        <v>0</v>
      </c>
      <c r="AA56" s="41"/>
      <c r="AB56" s="41"/>
      <c r="AC56" s="74"/>
      <c r="AD56" s="41"/>
      <c r="AE56" s="41"/>
      <c r="AF56" s="41"/>
      <c r="AI56" s="41"/>
      <c r="AJ56" s="41"/>
      <c r="AQ56" s="41"/>
      <c r="AR56" s="41"/>
      <c r="AS56" s="74"/>
    </row>
    <row r="57" spans="1:45" ht="13.5" outlineLevel="2">
      <c r="A57" s="22"/>
      <c r="B57" s="23" t="s">
        <v>39</v>
      </c>
      <c r="C57" s="22"/>
      <c r="D57" s="22"/>
      <c r="F57" s="96"/>
      <c r="G57" s="96"/>
      <c r="H57" s="96"/>
      <c r="I57" s="34"/>
      <c r="J57" s="96"/>
      <c r="K57" s="96"/>
      <c r="L57" s="96"/>
      <c r="M57" s="34"/>
      <c r="N57" s="96"/>
      <c r="O57" s="96"/>
      <c r="P57" s="96"/>
      <c r="Q57" s="34"/>
      <c r="R57" s="96"/>
      <c r="S57" s="96"/>
      <c r="T57" s="96"/>
      <c r="U57" s="34"/>
      <c r="V57" s="34"/>
      <c r="X57"/>
      <c r="Y57" s="42">
        <f t="shared" si="36"/>
        <v>0</v>
      </c>
      <c r="AQ57" s="39"/>
      <c r="AR57" s="39"/>
      <c r="AS57" s="72"/>
    </row>
    <row r="58" spans="1:45" ht="13.15" outlineLevel="2">
      <c r="A58" s="22"/>
      <c r="B58" s="22"/>
      <c r="C58" s="25" t="s">
        <v>58</v>
      </c>
      <c r="D58" s="22"/>
      <c r="E58" s="7">
        <v>0</v>
      </c>
      <c r="F58" s="43">
        <f>SDT!F55+TST!F55+TSG!F55+간접!F55</f>
        <v>0</v>
      </c>
      <c r="G58" s="43">
        <f>SDT!G55+TST!G55+TSG!G55+간접!G55</f>
        <v>0</v>
      </c>
      <c r="H58" s="43">
        <f>SDT!H55+TST!H55+TSG!H55+간접!H55</f>
        <v>0</v>
      </c>
      <c r="I58" s="34">
        <f t="shared" ref="I58" si="73">SUM(F58:H58)</f>
        <v>0</v>
      </c>
      <c r="J58" s="43">
        <f>SDT!J55+TST!J55+TSG!J55+간접!J55</f>
        <v>0</v>
      </c>
      <c r="K58" s="43">
        <f>SDT!K55+TST!K55+TSG!K55+간접!K55</f>
        <v>0</v>
      </c>
      <c r="L58" s="43">
        <f>SDT!L55+TST!L55+TSG!L55+간접!L55</f>
        <v>0</v>
      </c>
      <c r="M58" s="34">
        <f t="shared" ref="M58" si="74">SUM(J58:L58)</f>
        <v>0</v>
      </c>
      <c r="N58" s="43">
        <f>SDT!N55+TST!N55+TSG!N55+간접!N55</f>
        <v>0</v>
      </c>
      <c r="O58" s="43">
        <f>SDT!O55+TST!O55+TSG!O55+간접!O55</f>
        <v>0</v>
      </c>
      <c r="P58" s="43">
        <f>SDT!P55+TST!P55+TSG!P55+간접!P55</f>
        <v>0</v>
      </c>
      <c r="Q58" s="34">
        <f t="shared" ref="Q58" si="75">SUM(N58:P58)</f>
        <v>0</v>
      </c>
      <c r="R58" s="43">
        <f>SDT!R55+TST!R55+TSG!R55+간접!R55</f>
        <v>0</v>
      </c>
      <c r="S58" s="43">
        <f>SDT!S55+TST!S55+TSG!S55+간접!S55</f>
        <v>0</v>
      </c>
      <c r="T58" s="43">
        <f>SDT!T55+TST!T55+TSG!T55+간접!T55</f>
        <v>0</v>
      </c>
      <c r="U58" s="34">
        <f t="shared" ref="U58:U68" si="76">SUM(R58:T58)</f>
        <v>0</v>
      </c>
      <c r="V58" s="34">
        <f t="shared" ref="V58:V69" si="77">I58+M58+Q58+U58</f>
        <v>0</v>
      </c>
      <c r="X58" s="102"/>
      <c r="Y58" s="42">
        <f t="shared" si="36"/>
        <v>0</v>
      </c>
      <c r="AA58" s="471">
        <v>6668000</v>
      </c>
      <c r="AB58" s="472">
        <f>T59+T60+T61+T62+T63+T64</f>
        <v>7985000</v>
      </c>
      <c r="AC58" s="472">
        <f t="shared" ref="AC58:AC68" si="78">AA58-AB58</f>
        <v>-1317000</v>
      </c>
      <c r="AD58" s="86">
        <v>0</v>
      </c>
      <c r="AE58" s="472">
        <f>AB58-SUM(AD58:AD65)</f>
        <v>1924698</v>
      </c>
      <c r="AF58" s="73"/>
      <c r="AG58" s="476">
        <f>SUM(V58:V64)+AB58</f>
        <v>103805000</v>
      </c>
      <c r="AH58" s="58"/>
      <c r="AI58" s="471">
        <v>20000000</v>
      </c>
      <c r="AJ58" s="471">
        <f>SUM(R58:R65)+SUM(S58:S65)+AB58</f>
        <v>24963000</v>
      </c>
      <c r="AK58" s="478">
        <f>AI58-AJ58</f>
        <v>-4963000</v>
      </c>
      <c r="AL58" s="480" t="s">
        <v>130</v>
      </c>
      <c r="AM58" s="78"/>
      <c r="AN58" s="42">
        <f t="shared" ref="AN58:AN68" si="79">R58+S58+AD58</f>
        <v>0</v>
      </c>
      <c r="AO58" s="476">
        <f>AI58-SUM(AN58:AN64)</f>
        <v>-2007642</v>
      </c>
      <c r="AQ58" s="471">
        <v>80000000</v>
      </c>
      <c r="AR58" s="472">
        <f>V58+V59+V60+V61+V62+V63+V64</f>
        <v>95820000</v>
      </c>
      <c r="AS58" s="473">
        <f t="shared" ref="AS58" si="80">AQ58-AR58</f>
        <v>-15820000</v>
      </c>
    </row>
    <row r="59" spans="1:45" ht="13.15" outlineLevel="2">
      <c r="A59" s="22"/>
      <c r="B59" s="22"/>
      <c r="C59" s="25" t="s">
        <v>59</v>
      </c>
      <c r="D59" s="22"/>
      <c r="F59" s="43">
        <f>SDT!F56+TST!F56+TSG!F56+간접!F56</f>
        <v>1196000</v>
      </c>
      <c r="G59" s="43">
        <f>SDT!G56+TST!G56+TSG!G56+간접!G56</f>
        <v>1196000</v>
      </c>
      <c r="H59" s="43">
        <f>SDT!H56+TST!H56+TSG!H56+간접!H56</f>
        <v>1196000</v>
      </c>
      <c r="I59" s="34">
        <f t="shared" ref="I59:I68" si="81">SUM(F59:H59)</f>
        <v>3588000</v>
      </c>
      <c r="J59" s="43">
        <f>SDT!J56+TST!J56+TSG!J56+간접!J56</f>
        <v>1196000</v>
      </c>
      <c r="K59" s="43">
        <f>SDT!K56+TST!K56+TSG!K56+간접!K56</f>
        <v>1196000</v>
      </c>
      <c r="L59" s="43">
        <f>SDT!L56+TST!L56+TSG!L56+간접!L56</f>
        <v>1196000</v>
      </c>
      <c r="M59" s="34">
        <f t="shared" ref="M59:M68" si="82">SUM(J59:L59)</f>
        <v>3588000</v>
      </c>
      <c r="N59" s="43">
        <f>SDT!N56+TST!N56+TSG!N56+간접!N56</f>
        <v>1196000</v>
      </c>
      <c r="O59" s="43">
        <f>SDT!O56+TST!O56+TSG!O56+간접!O56</f>
        <v>1196000</v>
      </c>
      <c r="P59" s="43">
        <f>SDT!P56+TST!P56+TSG!P56+간접!P56</f>
        <v>1196000</v>
      </c>
      <c r="Q59" s="34">
        <f t="shared" ref="Q59:Q68" si="83">SUM(N59:P59)</f>
        <v>3588000</v>
      </c>
      <c r="R59" s="43">
        <f>SDT!R56+TST!R56+TSG!R56+간접!R56</f>
        <v>1196000</v>
      </c>
      <c r="S59" s="43">
        <f>SDT!S56+TST!S56+TSG!S56+간접!S56</f>
        <v>1196000</v>
      </c>
      <c r="T59" s="43">
        <f>SDT!T56+TST!T56+TSG!T56+간접!T56</f>
        <v>1196000</v>
      </c>
      <c r="U59" s="34">
        <f t="shared" si="76"/>
        <v>3588000</v>
      </c>
      <c r="V59" s="34">
        <f t="shared" si="77"/>
        <v>14352000</v>
      </c>
      <c r="X59" s="102">
        <v>1194700</v>
      </c>
      <c r="Y59" s="42">
        <f t="shared" si="36"/>
        <v>-1300</v>
      </c>
      <c r="AA59" s="471"/>
      <c r="AB59" s="472"/>
      <c r="AC59" s="472"/>
      <c r="AD59" s="86">
        <f>634418+109000</f>
        <v>743418</v>
      </c>
      <c r="AE59" s="472"/>
      <c r="AF59" s="73"/>
      <c r="AG59" s="477"/>
      <c r="AH59" s="59"/>
      <c r="AI59" s="471"/>
      <c r="AJ59" s="471"/>
      <c r="AK59" s="479"/>
      <c r="AL59" s="480"/>
      <c r="AM59" s="78"/>
      <c r="AN59" s="42">
        <f t="shared" si="79"/>
        <v>3135418</v>
      </c>
      <c r="AO59" s="476"/>
      <c r="AQ59" s="471"/>
      <c r="AR59" s="472"/>
      <c r="AS59" s="473"/>
    </row>
    <row r="60" spans="1:45" ht="13.15" outlineLevel="2">
      <c r="A60" s="22"/>
      <c r="B60" s="22"/>
      <c r="C60" s="25" t="s">
        <v>60</v>
      </c>
      <c r="D60" s="22"/>
      <c r="F60" s="43">
        <f>SDT!F57+TST!F57+TSG!F57+간접!F57</f>
        <v>429000</v>
      </c>
      <c r="G60" s="43">
        <f>SDT!G57+TST!G57+TSG!G57+간접!G57</f>
        <v>429000</v>
      </c>
      <c r="H60" s="43">
        <f>SDT!H57+TST!H57+TSG!H57+간접!H57</f>
        <v>429000</v>
      </c>
      <c r="I60" s="34">
        <f t="shared" si="81"/>
        <v>1287000</v>
      </c>
      <c r="J60" s="43">
        <f>SDT!J57+TST!J57+TSG!J57+간접!J57</f>
        <v>429000</v>
      </c>
      <c r="K60" s="43">
        <f>SDT!K57+TST!K57+TSG!K57+간접!K57</f>
        <v>429000</v>
      </c>
      <c r="L60" s="43">
        <f>SDT!L57+TST!L57+TSG!L57+간접!L57</f>
        <v>429000</v>
      </c>
      <c r="M60" s="34">
        <f t="shared" si="82"/>
        <v>1287000</v>
      </c>
      <c r="N60" s="43">
        <f>SDT!N57+TST!N57+TSG!N57+간접!N57</f>
        <v>429000</v>
      </c>
      <c r="O60" s="43">
        <f>SDT!O57+TST!O57+TSG!O57+간접!O57</f>
        <v>429000</v>
      </c>
      <c r="P60" s="43">
        <f>SDT!P57+TST!P57+TSG!P57+간접!P57</f>
        <v>429000</v>
      </c>
      <c r="Q60" s="34">
        <f t="shared" si="83"/>
        <v>1287000</v>
      </c>
      <c r="R60" s="43">
        <f>SDT!R57+TST!R57+TSG!R57+간접!R57</f>
        <v>429000</v>
      </c>
      <c r="S60" s="43">
        <f>SDT!S57+TST!S57+TSG!S57+간접!S57</f>
        <v>429000</v>
      </c>
      <c r="T60" s="43">
        <f>SDT!T57+TST!T57+TSG!T57+간접!T57</f>
        <v>429000</v>
      </c>
      <c r="U60" s="34">
        <f t="shared" si="76"/>
        <v>1287000</v>
      </c>
      <c r="V60" s="34">
        <f t="shared" si="77"/>
        <v>5148000</v>
      </c>
      <c r="X60" s="102">
        <v>428670</v>
      </c>
      <c r="Y60" s="42">
        <f t="shared" si="36"/>
        <v>-330</v>
      </c>
      <c r="AA60" s="471"/>
      <c r="AB60" s="472"/>
      <c r="AC60" s="472"/>
      <c r="AD60" s="86">
        <f>504250+33100</f>
        <v>537350</v>
      </c>
      <c r="AE60" s="472"/>
      <c r="AF60" s="73"/>
      <c r="AG60" s="477"/>
      <c r="AH60" s="59"/>
      <c r="AI60" s="471"/>
      <c r="AJ60" s="471"/>
      <c r="AK60" s="479"/>
      <c r="AL60" s="480"/>
      <c r="AM60" s="78"/>
      <c r="AN60" s="42">
        <f t="shared" si="79"/>
        <v>1395350</v>
      </c>
      <c r="AO60" s="476"/>
      <c r="AQ60" s="471"/>
      <c r="AR60" s="472"/>
      <c r="AS60" s="473"/>
    </row>
    <row r="61" spans="1:45" ht="13.15" outlineLevel="2">
      <c r="A61" s="22"/>
      <c r="B61" s="22"/>
      <c r="C61" s="25" t="s">
        <v>61</v>
      </c>
      <c r="D61" s="22"/>
      <c r="F61" s="43">
        <f>SDT!F58+TST!F58+TSG!F58+간접!F58</f>
        <v>2615000</v>
      </c>
      <c r="G61" s="43">
        <f>SDT!G58+TST!G58+TSG!G58+간접!G58</f>
        <v>2615000</v>
      </c>
      <c r="H61" s="43">
        <f>SDT!H58+TST!H58+TSG!H58+간접!H58</f>
        <v>2615000</v>
      </c>
      <c r="I61" s="34">
        <f t="shared" si="81"/>
        <v>7845000</v>
      </c>
      <c r="J61" s="43">
        <f>SDT!J58+TST!J58+TSG!J58+간접!J58</f>
        <v>2615000</v>
      </c>
      <c r="K61" s="43">
        <f>SDT!K58+TST!K58+TSG!K58+간접!K58</f>
        <v>2615000</v>
      </c>
      <c r="L61" s="43">
        <f>SDT!L58+TST!L58+TSG!L58+간접!L58</f>
        <v>2615000</v>
      </c>
      <c r="M61" s="34">
        <f t="shared" si="82"/>
        <v>7845000</v>
      </c>
      <c r="N61" s="43">
        <f>SDT!N58+TST!N58+TSG!N58+간접!N58</f>
        <v>2615000</v>
      </c>
      <c r="O61" s="43">
        <f>SDT!O58+TST!O58+TSG!O58+간접!O58</f>
        <v>2615000</v>
      </c>
      <c r="P61" s="43">
        <f>SDT!P58+TST!P58+TSG!P58+간접!P58</f>
        <v>2615000</v>
      </c>
      <c r="Q61" s="34">
        <f t="shared" si="83"/>
        <v>7845000</v>
      </c>
      <c r="R61" s="43">
        <f>SDT!R58+TST!R58+TSG!R58+간접!R58</f>
        <v>2615000</v>
      </c>
      <c r="S61" s="43">
        <f>SDT!S58+TST!S58+TSG!S58+간접!S58</f>
        <v>2615000</v>
      </c>
      <c r="T61" s="43">
        <f>SDT!T58+TST!T58+TSG!T58+간접!T58</f>
        <v>2615000</v>
      </c>
      <c r="U61" s="34">
        <f t="shared" si="76"/>
        <v>7845000</v>
      </c>
      <c r="V61" s="34">
        <f t="shared" si="77"/>
        <v>31380000</v>
      </c>
      <c r="X61" s="102">
        <v>2615500</v>
      </c>
      <c r="Y61" s="42">
        <f t="shared" si="36"/>
        <v>500</v>
      </c>
      <c r="AA61" s="471"/>
      <c r="AB61" s="472"/>
      <c r="AC61" s="472"/>
      <c r="AD61" s="86">
        <f>2007520+359040</f>
        <v>2366560</v>
      </c>
      <c r="AE61" s="472"/>
      <c r="AF61" s="73"/>
      <c r="AG61" s="477"/>
      <c r="AH61" s="59"/>
      <c r="AI61" s="471"/>
      <c r="AJ61" s="471"/>
      <c r="AK61" s="479"/>
      <c r="AL61" s="480"/>
      <c r="AM61" s="78"/>
      <c r="AN61" s="42">
        <f t="shared" si="79"/>
        <v>7596560</v>
      </c>
      <c r="AO61" s="476"/>
      <c r="AQ61" s="471"/>
      <c r="AR61" s="472"/>
      <c r="AS61" s="473"/>
    </row>
    <row r="62" spans="1:45" ht="13.15" outlineLevel="2">
      <c r="A62" s="22"/>
      <c r="B62" s="22"/>
      <c r="C62" s="25" t="s">
        <v>62</v>
      </c>
      <c r="D62" s="22"/>
      <c r="F62" s="43">
        <f>SDT!F59+TST!F59+TSG!F59+간접!F59</f>
        <v>1720000</v>
      </c>
      <c r="G62" s="43">
        <f>SDT!G59+TST!G59+TSG!G59+간접!G59</f>
        <v>1720000</v>
      </c>
      <c r="H62" s="43">
        <f>SDT!H59+TST!H59+TSG!H59+간접!H59</f>
        <v>1720000</v>
      </c>
      <c r="I62" s="34">
        <f t="shared" si="81"/>
        <v>5160000</v>
      </c>
      <c r="J62" s="43">
        <f>SDT!J59+TST!J59+TSG!J59+간접!J59</f>
        <v>1720000</v>
      </c>
      <c r="K62" s="43">
        <f>SDT!K59+TST!K59+TSG!K59+간접!K59</f>
        <v>1720000</v>
      </c>
      <c r="L62" s="43">
        <f>SDT!L59+TST!L59+TSG!L59+간접!L59</f>
        <v>1720000</v>
      </c>
      <c r="M62" s="34">
        <f t="shared" si="82"/>
        <v>5160000</v>
      </c>
      <c r="N62" s="43">
        <f>SDT!N59+TST!N59+TSG!N59+간접!N59</f>
        <v>1720000</v>
      </c>
      <c r="O62" s="43">
        <f>SDT!O59+TST!O59+TSG!O59+간접!O59</f>
        <v>1720000</v>
      </c>
      <c r="P62" s="43">
        <f>SDT!P59+TST!P59+TSG!P59+간접!P59</f>
        <v>1720000</v>
      </c>
      <c r="Q62" s="34">
        <f t="shared" si="83"/>
        <v>5160000</v>
      </c>
      <c r="R62" s="43">
        <f>SDT!R59+TST!R59+TSG!R59+간접!R59</f>
        <v>1720000</v>
      </c>
      <c r="S62" s="43">
        <f>SDT!S59+TST!S59+TSG!S59+간접!S59</f>
        <v>1720000</v>
      </c>
      <c r="T62" s="43">
        <f>SDT!T59+TST!T59+TSG!T59+간접!T59</f>
        <v>1720000</v>
      </c>
      <c r="U62" s="34">
        <f t="shared" si="76"/>
        <v>5160000</v>
      </c>
      <c r="V62" s="34">
        <f t="shared" si="77"/>
        <v>20640000</v>
      </c>
      <c r="X62" s="102">
        <v>1720253</v>
      </c>
      <c r="Y62" s="42">
        <f t="shared" si="36"/>
        <v>253</v>
      </c>
      <c r="AA62" s="471"/>
      <c r="AB62" s="472"/>
      <c r="AC62" s="472"/>
      <c r="AD62" s="86">
        <f>460455+258819</f>
        <v>719274</v>
      </c>
      <c r="AE62" s="472"/>
      <c r="AF62" s="73"/>
      <c r="AG62" s="477"/>
      <c r="AH62" s="59"/>
      <c r="AI62" s="471"/>
      <c r="AJ62" s="471"/>
      <c r="AK62" s="479"/>
      <c r="AL62" s="480"/>
      <c r="AM62" s="78"/>
      <c r="AN62" s="42">
        <f t="shared" si="79"/>
        <v>4159274</v>
      </c>
      <c r="AO62" s="476"/>
      <c r="AQ62" s="471"/>
      <c r="AR62" s="472"/>
      <c r="AS62" s="473"/>
    </row>
    <row r="63" spans="1:45" ht="13.15" outlineLevel="2">
      <c r="A63" s="22"/>
      <c r="B63" s="22"/>
      <c r="C63" s="25" t="s">
        <v>118</v>
      </c>
      <c r="D63" s="22"/>
      <c r="F63" s="43">
        <f>SDT!F60+TST!F60+TSG!F60+간접!F60</f>
        <v>2025000</v>
      </c>
      <c r="G63" s="43">
        <f>SDT!G60+TST!G60+TSG!G60+간접!G60</f>
        <v>2025000</v>
      </c>
      <c r="H63" s="43">
        <f>SDT!H60+TST!H60+TSG!H60+간접!H60</f>
        <v>2025000</v>
      </c>
      <c r="I63" s="34">
        <f t="shared" si="81"/>
        <v>6075000</v>
      </c>
      <c r="J63" s="43">
        <f>SDT!J60+TST!J60+TSG!J60+간접!J60</f>
        <v>2025000</v>
      </c>
      <c r="K63" s="43">
        <f>SDT!K60+TST!K60+TSG!K60+간접!K60</f>
        <v>2025000</v>
      </c>
      <c r="L63" s="43">
        <f>SDT!L60+TST!L60+TSG!L60+간접!L60</f>
        <v>2025000</v>
      </c>
      <c r="M63" s="34">
        <f t="shared" si="82"/>
        <v>6075000</v>
      </c>
      <c r="N63" s="43">
        <f>SDT!N60+TST!N60+TSG!N60+간접!N60</f>
        <v>2025000</v>
      </c>
      <c r="O63" s="43">
        <f>SDT!O60+TST!O60+TSG!O60+간접!O60</f>
        <v>2025000</v>
      </c>
      <c r="P63" s="43">
        <f>SDT!P60+TST!P60+TSG!P60+간접!P60</f>
        <v>2025000</v>
      </c>
      <c r="Q63" s="34">
        <f t="shared" si="83"/>
        <v>6075000</v>
      </c>
      <c r="R63" s="43">
        <f>SDT!R60+TST!R60+TSG!R60+간접!R60</f>
        <v>2025000</v>
      </c>
      <c r="S63" s="43">
        <f>SDT!S60+TST!S60+TSG!S60+간접!S60</f>
        <v>2025000</v>
      </c>
      <c r="T63" s="43">
        <f>SDT!T60+TST!T60+TSG!T60+간접!T60</f>
        <v>2025000</v>
      </c>
      <c r="U63" s="34">
        <f t="shared" si="76"/>
        <v>6075000</v>
      </c>
      <c r="V63" s="34">
        <f t="shared" si="77"/>
        <v>24300000</v>
      </c>
      <c r="X63" s="102">
        <v>2024220</v>
      </c>
      <c r="Y63" s="42">
        <f t="shared" si="36"/>
        <v>-780</v>
      </c>
      <c r="AA63" s="471"/>
      <c r="AB63" s="472"/>
      <c r="AC63" s="472"/>
      <c r="AD63" s="86">
        <f>1545040+126000</f>
        <v>1671040</v>
      </c>
      <c r="AE63" s="472"/>
      <c r="AF63" s="73"/>
      <c r="AG63" s="477"/>
      <c r="AH63" s="59"/>
      <c r="AI63" s="471"/>
      <c r="AJ63" s="471"/>
      <c r="AK63" s="479"/>
      <c r="AL63" s="480"/>
      <c r="AM63" s="78"/>
      <c r="AN63" s="42">
        <f t="shared" si="79"/>
        <v>5721040</v>
      </c>
      <c r="AO63" s="476"/>
      <c r="AQ63" s="471"/>
      <c r="AR63" s="472"/>
      <c r="AS63" s="473"/>
    </row>
    <row r="64" spans="1:45" ht="13.15" outlineLevel="2">
      <c r="A64" s="22"/>
      <c r="B64" s="22"/>
      <c r="C64" s="25" t="s">
        <v>157</v>
      </c>
      <c r="D64" s="22"/>
      <c r="F64" s="43">
        <f>SDT!F61+TST!F61+TSG!F61+간접!F61</f>
        <v>0</v>
      </c>
      <c r="G64" s="43">
        <f>SDT!G61+TST!G61+TSG!G61+간접!G61</f>
        <v>0</v>
      </c>
      <c r="H64" s="43">
        <f>SDT!H61+TST!H61+TSG!H61+간접!H61</f>
        <v>0</v>
      </c>
      <c r="I64" s="34">
        <f t="shared" si="81"/>
        <v>0</v>
      </c>
      <c r="J64" s="43">
        <f>SDT!J61+TST!J61+TSG!J61+간접!J61</f>
        <v>0</v>
      </c>
      <c r="K64" s="43">
        <f>SDT!K61+TST!K61+TSG!K61+간접!K61</f>
        <v>0</v>
      </c>
      <c r="L64" s="43">
        <f>SDT!L61+TST!L61+TSG!L61+간접!L61</f>
        <v>0</v>
      </c>
      <c r="M64" s="34">
        <f t="shared" si="82"/>
        <v>0</v>
      </c>
      <c r="N64" s="43">
        <f>SDT!N61+TST!N61+TSG!N61+간접!N61</f>
        <v>0</v>
      </c>
      <c r="O64" s="43">
        <f>SDT!O61+TST!O61+TSG!O61+간접!O61</f>
        <v>0</v>
      </c>
      <c r="P64" s="43">
        <f>SDT!P61+TST!P61+TSG!P61+간접!P61</f>
        <v>0</v>
      </c>
      <c r="Q64" s="34">
        <f t="shared" si="83"/>
        <v>0</v>
      </c>
      <c r="R64" s="43">
        <f>SDT!R61+TST!R61+TSG!R61+간접!R61</f>
        <v>0</v>
      </c>
      <c r="S64" s="43">
        <f>SDT!S61+TST!S61+TSG!S61+간접!S61</f>
        <v>0</v>
      </c>
      <c r="T64" s="43">
        <f>SDT!T61+TST!T61+TSG!T61+간접!T61</f>
        <v>0</v>
      </c>
      <c r="U64" s="34">
        <f t="shared" si="76"/>
        <v>0</v>
      </c>
      <c r="V64" s="34">
        <f t="shared" si="77"/>
        <v>0</v>
      </c>
      <c r="X64" s="102"/>
      <c r="Y64" s="42">
        <f t="shared" si="36"/>
        <v>0</v>
      </c>
      <c r="AA64" s="471"/>
      <c r="AB64" s="472"/>
      <c r="AC64" s="472"/>
      <c r="AD64" s="86"/>
      <c r="AE64" s="472"/>
      <c r="AF64" s="73"/>
      <c r="AG64" s="477"/>
      <c r="AH64" s="59"/>
      <c r="AI64" s="471"/>
      <c r="AJ64" s="471"/>
      <c r="AK64" s="479"/>
      <c r="AL64" s="480"/>
      <c r="AM64" s="78"/>
      <c r="AN64" s="42">
        <f t="shared" si="79"/>
        <v>0</v>
      </c>
      <c r="AO64" s="476"/>
      <c r="AQ64" s="471"/>
      <c r="AR64" s="472"/>
      <c r="AS64" s="473"/>
    </row>
    <row r="65" spans="1:45" ht="13.15" outlineLevel="2">
      <c r="A65" s="22"/>
      <c r="B65" s="22"/>
      <c r="C65" s="25" t="s">
        <v>28</v>
      </c>
      <c r="D65" s="22"/>
      <c r="E65" s="7">
        <v>0</v>
      </c>
      <c r="F65" s="43">
        <f>SDT!F62+TST!F62+TSG!F62+간접!F62</f>
        <v>504000</v>
      </c>
      <c r="G65" s="43">
        <f>SDT!G62+TST!G62+TSG!G62+간접!G62</f>
        <v>504000</v>
      </c>
      <c r="H65" s="43">
        <f>SDT!H62+TST!H62+TSG!H62+간접!H62</f>
        <v>504000</v>
      </c>
      <c r="I65" s="34">
        <f t="shared" si="81"/>
        <v>1512000</v>
      </c>
      <c r="J65" s="43">
        <f>SDT!J62+TST!J62+TSG!J62+간접!J62</f>
        <v>504000</v>
      </c>
      <c r="K65" s="43">
        <f>SDT!K62+TST!K62+TSG!K62+간접!K62</f>
        <v>504000</v>
      </c>
      <c r="L65" s="43">
        <f>SDT!L62+TST!L62+TSG!L62+간접!L62</f>
        <v>504000</v>
      </c>
      <c r="M65" s="34">
        <f t="shared" si="82"/>
        <v>1512000</v>
      </c>
      <c r="N65" s="43">
        <f>SDT!N62+TST!N62+TSG!N62+간접!N62</f>
        <v>504000</v>
      </c>
      <c r="O65" s="43">
        <f>SDT!O62+TST!O62+TSG!O62+간접!O62</f>
        <v>504000</v>
      </c>
      <c r="P65" s="43">
        <f>SDT!P62+TST!P62+TSG!P62+간접!P62</f>
        <v>504000</v>
      </c>
      <c r="Q65" s="34">
        <f t="shared" si="83"/>
        <v>1512000</v>
      </c>
      <c r="R65" s="43">
        <f>SDT!R62+TST!R62+TSG!R62+간접!R62</f>
        <v>504000</v>
      </c>
      <c r="S65" s="43">
        <f>SDT!S62+TST!S62+TSG!S62+간접!S62</f>
        <v>504000</v>
      </c>
      <c r="T65" s="43">
        <f>SDT!T62+TST!T62+TSG!T62+간접!T62</f>
        <v>504000</v>
      </c>
      <c r="U65" s="34">
        <f t="shared" si="76"/>
        <v>1512000</v>
      </c>
      <c r="V65" s="34">
        <f t="shared" si="77"/>
        <v>6048000</v>
      </c>
      <c r="X65" s="102">
        <v>504000</v>
      </c>
      <c r="Y65" s="42">
        <f t="shared" si="36"/>
        <v>0</v>
      </c>
      <c r="AA65" s="39">
        <v>209000</v>
      </c>
      <c r="AB65" s="39">
        <f>T65</f>
        <v>504000</v>
      </c>
      <c r="AC65" s="72">
        <f t="shared" si="78"/>
        <v>-295000</v>
      </c>
      <c r="AD65" s="72">
        <v>22660</v>
      </c>
      <c r="AE65" s="72">
        <f>AB65-AD65</f>
        <v>481340</v>
      </c>
      <c r="AF65" s="72"/>
      <c r="AG65" s="42">
        <f t="shared" ref="AG65:AG69" si="84">V65+AB65</f>
        <v>6552000</v>
      </c>
      <c r="AH65" s="42"/>
      <c r="AI65" s="39">
        <v>625000</v>
      </c>
      <c r="AJ65" s="39">
        <f t="shared" ref="AJ65:AJ68" si="85">R65+S65+AB65</f>
        <v>1512000</v>
      </c>
      <c r="AK65" s="42">
        <f t="shared" ref="AK65:AK68" si="86">AI65-AJ65</f>
        <v>-887000</v>
      </c>
      <c r="AN65" s="42">
        <f t="shared" si="79"/>
        <v>1030660</v>
      </c>
      <c r="AO65" s="42">
        <f>AI65-AN65</f>
        <v>-405660</v>
      </c>
      <c r="AQ65" s="39">
        <v>2500000</v>
      </c>
      <c r="AR65" s="39">
        <f>V65</f>
        <v>6048000</v>
      </c>
      <c r="AS65" s="72">
        <f t="shared" ref="AS65:AS68" si="87">AQ65-AR65</f>
        <v>-3548000</v>
      </c>
    </row>
    <row r="66" spans="1:45" ht="13.15" outlineLevel="2">
      <c r="A66" s="22"/>
      <c r="B66" s="22"/>
      <c r="C66" s="25" t="s">
        <v>35</v>
      </c>
      <c r="D66" s="22"/>
      <c r="E66" s="7">
        <v>0</v>
      </c>
      <c r="F66" s="43">
        <f>SDT!F63+TST!F63+TSG!F63+간접!F63</f>
        <v>2896000</v>
      </c>
      <c r="G66" s="43">
        <f>SDT!G63+TST!G63+TSG!G63+간접!G63</f>
        <v>2896000</v>
      </c>
      <c r="H66" s="43">
        <f>SDT!H63+TST!H63+TSG!H63+간접!H63</f>
        <v>2896000</v>
      </c>
      <c r="I66" s="34">
        <f t="shared" si="81"/>
        <v>8688000</v>
      </c>
      <c r="J66" s="43">
        <f>SDT!J63+TST!J63+TSG!J63+간접!J63</f>
        <v>2896000</v>
      </c>
      <c r="K66" s="43">
        <f>SDT!K63+TST!K63+TSG!K63+간접!K63</f>
        <v>2896000</v>
      </c>
      <c r="L66" s="43">
        <f>SDT!L63+TST!L63+TSG!L63+간접!L63</f>
        <v>2896000</v>
      </c>
      <c r="M66" s="34">
        <f t="shared" si="82"/>
        <v>8688000</v>
      </c>
      <c r="N66" s="43">
        <f>SDT!N63+TST!N63+TSG!N63+간접!N63</f>
        <v>2896000</v>
      </c>
      <c r="O66" s="43">
        <f>SDT!O63+TST!O63+TSG!O63+간접!O63</f>
        <v>2896000</v>
      </c>
      <c r="P66" s="43">
        <f>SDT!P63+TST!P63+TSG!P63+간접!P63</f>
        <v>2896000</v>
      </c>
      <c r="Q66" s="34">
        <f t="shared" si="83"/>
        <v>8688000</v>
      </c>
      <c r="R66" s="43">
        <f>SDT!R63+TST!R63+TSG!R63+간접!R63</f>
        <v>2896000</v>
      </c>
      <c r="S66" s="43">
        <f>SDT!S63+TST!S63+TSG!S63+간접!S63</f>
        <v>2896000</v>
      </c>
      <c r="T66" s="43">
        <f>SDT!T63+TST!T63+TSG!T63+간접!T63</f>
        <v>2896000</v>
      </c>
      <c r="U66" s="34">
        <f t="shared" si="76"/>
        <v>8688000</v>
      </c>
      <c r="V66" s="34">
        <f t="shared" si="77"/>
        <v>34752000</v>
      </c>
      <c r="X66" s="102">
        <v>2897672</v>
      </c>
      <c r="Y66" s="42">
        <f t="shared" si="36"/>
        <v>1672</v>
      </c>
      <c r="AA66" s="39">
        <v>0</v>
      </c>
      <c r="AB66" s="39">
        <f>T66</f>
        <v>2896000</v>
      </c>
      <c r="AC66" s="87">
        <f t="shared" si="78"/>
        <v>-2896000</v>
      </c>
      <c r="AD66" s="72">
        <f>6500428+106917</f>
        <v>6607345</v>
      </c>
      <c r="AE66" s="76">
        <f>AB66-AD66</f>
        <v>-3711345</v>
      </c>
      <c r="AF66" s="72"/>
      <c r="AG66" s="42">
        <f t="shared" si="84"/>
        <v>37648000</v>
      </c>
      <c r="AH66" s="42"/>
      <c r="AI66" s="39">
        <v>6000000</v>
      </c>
      <c r="AJ66" s="39">
        <f>R66+S66+AB66</f>
        <v>8688000</v>
      </c>
      <c r="AK66" s="65">
        <f t="shared" si="86"/>
        <v>-2688000</v>
      </c>
      <c r="AL66" s="67" t="s">
        <v>131</v>
      </c>
      <c r="AM66" s="77"/>
      <c r="AN66" s="42">
        <f>R66+S66+AD66</f>
        <v>12399345</v>
      </c>
      <c r="AO66" s="65">
        <f t="shared" ref="AO66:AO68" si="88">AI66-AN66</f>
        <v>-6399345</v>
      </c>
      <c r="AQ66" s="39">
        <v>24000000</v>
      </c>
      <c r="AR66" s="39">
        <f>V66</f>
        <v>34752000</v>
      </c>
      <c r="AS66" s="72">
        <f t="shared" si="87"/>
        <v>-10752000</v>
      </c>
    </row>
    <row r="67" spans="1:45" ht="13.15" outlineLevel="2">
      <c r="A67" s="22"/>
      <c r="B67" s="22"/>
      <c r="C67" s="25" t="s">
        <v>52</v>
      </c>
      <c r="D67" s="22"/>
      <c r="E67" s="7">
        <v>0</v>
      </c>
      <c r="F67" s="43">
        <f>SDT!F64+TST!F64+TSG!F64+간접!F64</f>
        <v>1155000</v>
      </c>
      <c r="G67" s="43">
        <f>SDT!G64+TST!G64+TSG!G64+간접!G64</f>
        <v>1136000</v>
      </c>
      <c r="H67" s="43">
        <f>SDT!H64+TST!H64+TSG!H64+간접!H64</f>
        <v>1136000</v>
      </c>
      <c r="I67" s="34">
        <f t="shared" si="81"/>
        <v>3427000</v>
      </c>
      <c r="J67" s="43">
        <f>SDT!J64+TST!J64+TSG!J64+간접!J64</f>
        <v>1136000</v>
      </c>
      <c r="K67" s="43">
        <f>SDT!K64+TST!K64+TSG!K64+간접!K64</f>
        <v>1136000</v>
      </c>
      <c r="L67" s="43">
        <f>SDT!L64+TST!L64+TSG!L64+간접!L64</f>
        <v>1136000</v>
      </c>
      <c r="M67" s="34">
        <f t="shared" si="82"/>
        <v>3408000</v>
      </c>
      <c r="N67" s="43">
        <f>SDT!N64+TST!N64+TSG!N64+간접!N64</f>
        <v>1136000</v>
      </c>
      <c r="O67" s="43">
        <f>SDT!O64+TST!O64+TSG!O64+간접!O64</f>
        <v>1136000</v>
      </c>
      <c r="P67" s="43">
        <f>SDT!P64+TST!P64+TSG!P64+간접!P64</f>
        <v>1136000</v>
      </c>
      <c r="Q67" s="34">
        <f t="shared" si="83"/>
        <v>3408000</v>
      </c>
      <c r="R67" s="43">
        <f>SDT!R64+TST!R64+TSG!R64+간접!R64</f>
        <v>1136000</v>
      </c>
      <c r="S67" s="43">
        <f>SDT!S64+TST!S64+TSG!S64+간접!S64</f>
        <v>1136000</v>
      </c>
      <c r="T67" s="43">
        <f>SDT!T64+TST!T64+TSG!T64+간접!T64</f>
        <v>1136000</v>
      </c>
      <c r="U67" s="34">
        <f t="shared" si="76"/>
        <v>3408000</v>
      </c>
      <c r="V67" s="34">
        <f t="shared" si="77"/>
        <v>13651000</v>
      </c>
      <c r="X67" s="102">
        <v>1154320</v>
      </c>
      <c r="Y67" s="42">
        <f t="shared" si="36"/>
        <v>-680</v>
      </c>
      <c r="AA67" s="39">
        <v>418000</v>
      </c>
      <c r="AB67" s="39">
        <f>T67</f>
        <v>1136000</v>
      </c>
      <c r="AC67" s="72">
        <f t="shared" si="78"/>
        <v>-718000</v>
      </c>
      <c r="AD67" s="72">
        <f>320140+18000</f>
        <v>338140</v>
      </c>
      <c r="AE67" s="72">
        <f>AB67-AD67</f>
        <v>797860</v>
      </c>
      <c r="AF67" s="72"/>
      <c r="AG67" s="42">
        <f t="shared" si="84"/>
        <v>14787000</v>
      </c>
      <c r="AH67" s="42"/>
      <c r="AI67" s="39">
        <v>1250000</v>
      </c>
      <c r="AJ67" s="39">
        <f t="shared" si="85"/>
        <v>3408000</v>
      </c>
      <c r="AK67" s="65">
        <f t="shared" si="86"/>
        <v>-2158000</v>
      </c>
      <c r="AL67" s="67" t="s">
        <v>132</v>
      </c>
      <c r="AM67" s="77"/>
      <c r="AN67" s="42">
        <f t="shared" si="79"/>
        <v>2610140</v>
      </c>
      <c r="AO67" s="42">
        <f t="shared" si="88"/>
        <v>-1360140</v>
      </c>
      <c r="AQ67" s="39">
        <v>5000000</v>
      </c>
      <c r="AR67" s="39">
        <f>V67</f>
        <v>13651000</v>
      </c>
      <c r="AS67" s="72">
        <f t="shared" si="87"/>
        <v>-8651000</v>
      </c>
    </row>
    <row r="68" spans="1:45" ht="13.15" outlineLevel="2">
      <c r="A68" s="22"/>
      <c r="B68" s="22"/>
      <c r="C68" s="25" t="s">
        <v>36</v>
      </c>
      <c r="D68" s="22"/>
      <c r="E68" s="7">
        <v>0</v>
      </c>
      <c r="F68" s="43">
        <f>SDT!F65+TST!F65+TSG!F65+간접!F65</f>
        <v>4031000</v>
      </c>
      <c r="G68" s="43">
        <f>SDT!G65+TST!G65+TSG!G65+간접!G65</f>
        <v>3070000</v>
      </c>
      <c r="H68" s="43">
        <f>SDT!H65+TST!H65+TSG!H65+간접!H65</f>
        <v>3070000</v>
      </c>
      <c r="I68" s="34">
        <f t="shared" si="81"/>
        <v>10171000</v>
      </c>
      <c r="J68" s="43">
        <f>SDT!J65+TST!J65+TSG!J65+간접!J65</f>
        <v>3070000</v>
      </c>
      <c r="K68" s="43">
        <f>SDT!K65+TST!K65+TSG!K65+간접!K65</f>
        <v>3070000</v>
      </c>
      <c r="L68" s="43">
        <f>SDT!L65+TST!L65+TSG!L65+간접!L65</f>
        <v>3070000</v>
      </c>
      <c r="M68" s="34">
        <f t="shared" si="82"/>
        <v>9210000</v>
      </c>
      <c r="N68" s="43">
        <f>SDT!N65+TST!N65+TSG!N65+간접!N65</f>
        <v>3070000</v>
      </c>
      <c r="O68" s="43">
        <f>SDT!O65+TST!O65+TSG!O65+간접!O65</f>
        <v>3070000</v>
      </c>
      <c r="P68" s="43">
        <f>SDT!P65+TST!P65+TSG!P65+간접!P65</f>
        <v>3070000</v>
      </c>
      <c r="Q68" s="34">
        <f t="shared" si="83"/>
        <v>9210000</v>
      </c>
      <c r="R68" s="43">
        <f>SDT!R65+TST!R65+TSG!R65+간접!R65</f>
        <v>3070000</v>
      </c>
      <c r="S68" s="43">
        <f>SDT!S65+TST!S65+TSG!S65+간접!S65</f>
        <v>3070000</v>
      </c>
      <c r="T68" s="43">
        <f>SDT!T65+TST!T65+TSG!T65+간접!T65</f>
        <v>3070000</v>
      </c>
      <c r="U68" s="34">
        <f t="shared" si="76"/>
        <v>9210000</v>
      </c>
      <c r="V68" s="34">
        <f t="shared" si="77"/>
        <v>37801000</v>
      </c>
      <c r="X68" s="102">
        <v>4031300</v>
      </c>
      <c r="Y68" s="42">
        <f t="shared" ref="Y68:Y91" si="89">X68-F68</f>
        <v>300</v>
      </c>
      <c r="AA68" s="39">
        <v>2039000</v>
      </c>
      <c r="AB68" s="39">
        <f>T68</f>
        <v>3070000</v>
      </c>
      <c r="AC68" s="87">
        <f t="shared" si="78"/>
        <v>-1031000</v>
      </c>
      <c r="AD68" s="72">
        <f>3605630+50000</f>
        <v>3655630</v>
      </c>
      <c r="AE68" s="72">
        <f>AB68-AD68</f>
        <v>-585630</v>
      </c>
      <c r="AF68" s="72"/>
      <c r="AG68" s="42">
        <f t="shared" si="84"/>
        <v>40871000</v>
      </c>
      <c r="AH68" s="42"/>
      <c r="AI68" s="39">
        <v>6117000</v>
      </c>
      <c r="AJ68" s="39">
        <f t="shared" si="85"/>
        <v>9210000</v>
      </c>
      <c r="AK68" s="65">
        <f t="shared" si="86"/>
        <v>-3093000</v>
      </c>
      <c r="AL68" s="67" t="s">
        <v>129</v>
      </c>
      <c r="AM68" s="77"/>
      <c r="AN68" s="42">
        <f t="shared" si="79"/>
        <v>9795630</v>
      </c>
      <c r="AO68" s="65">
        <f t="shared" si="88"/>
        <v>-3678630</v>
      </c>
      <c r="AQ68" s="39">
        <v>28000000</v>
      </c>
      <c r="AR68" s="39">
        <f>V68</f>
        <v>37801000</v>
      </c>
      <c r="AS68" s="87">
        <f t="shared" si="87"/>
        <v>-9801000</v>
      </c>
    </row>
    <row r="69" spans="1:45" ht="13.15" outlineLevel="1">
      <c r="A69" s="24"/>
      <c r="B69" s="24" t="s">
        <v>4</v>
      </c>
      <c r="C69" s="24"/>
      <c r="D69" s="24"/>
      <c r="E69" s="8"/>
      <c r="F69" s="97">
        <f>SUM(F58:F68)</f>
        <v>16571000</v>
      </c>
      <c r="G69" s="97">
        <f>SUM(G58:G68)</f>
        <v>15591000</v>
      </c>
      <c r="H69" s="97">
        <f t="shared" ref="H69" si="90">SUM(H58:H68)</f>
        <v>15591000</v>
      </c>
      <c r="I69" s="35">
        <f t="shared" ref="I69" si="91">SUM(I58:I68)</f>
        <v>47753000</v>
      </c>
      <c r="J69" s="97">
        <f>SUM(J58:J68)</f>
        <v>15591000</v>
      </c>
      <c r="K69" s="97">
        <f t="shared" ref="K69:L69" si="92">SUM(K58:K68)</f>
        <v>15591000</v>
      </c>
      <c r="L69" s="97">
        <f t="shared" si="92"/>
        <v>15591000</v>
      </c>
      <c r="M69" s="35">
        <f t="shared" ref="M69" si="93">SUM(M58:M68)</f>
        <v>46773000</v>
      </c>
      <c r="N69" s="97">
        <f>SUM(N58:N68)</f>
        <v>15591000</v>
      </c>
      <c r="O69" s="97">
        <f t="shared" ref="O69:P69" si="94">SUM(O58:O68)</f>
        <v>15591000</v>
      </c>
      <c r="P69" s="97">
        <f t="shared" si="94"/>
        <v>15591000</v>
      </c>
      <c r="Q69" s="35">
        <f t="shared" ref="Q69" si="95">SUM(Q58:Q68)</f>
        <v>46773000</v>
      </c>
      <c r="R69" s="97">
        <f>SUM(R58:R68)</f>
        <v>15591000</v>
      </c>
      <c r="S69" s="97">
        <f t="shared" ref="S69:T69" si="96">SUM(S58:S68)</f>
        <v>15591000</v>
      </c>
      <c r="T69" s="97">
        <f t="shared" si="96"/>
        <v>15591000</v>
      </c>
      <c r="U69" s="35">
        <f t="shared" ref="U69" si="97">SUM(U58:U68)</f>
        <v>46773000</v>
      </c>
      <c r="V69" s="35">
        <f t="shared" si="77"/>
        <v>188072000</v>
      </c>
      <c r="X69" s="41">
        <f>SUM(X58:X68)</f>
        <v>16570635</v>
      </c>
      <c r="Y69" s="95">
        <f t="shared" si="89"/>
        <v>-365</v>
      </c>
      <c r="AA69" s="41">
        <f>SUM(AA58:AA68)</f>
        <v>9334000</v>
      </c>
      <c r="AB69" s="41">
        <f>SUM(AB58:AB68)</f>
        <v>15591000</v>
      </c>
      <c r="AC69" s="41">
        <f>SUM(AC58:AC68)</f>
        <v>-6257000</v>
      </c>
      <c r="AD69" s="41">
        <f>SUM(AD58:AD68)</f>
        <v>16661417</v>
      </c>
      <c r="AE69" s="41">
        <f>SUM(AE58:AE68)</f>
        <v>-1093077</v>
      </c>
      <c r="AF69" s="41"/>
      <c r="AG69" s="42">
        <f t="shared" si="84"/>
        <v>203663000</v>
      </c>
      <c r="AH69" s="42"/>
      <c r="AI69" s="41">
        <f>SUM(AI58:AI68)</f>
        <v>33992000</v>
      </c>
      <c r="AJ69" s="41">
        <f>SUM(AJ58:AJ68)</f>
        <v>47781000</v>
      </c>
      <c r="AK69" s="62">
        <f>SUM(AK58:AK68)</f>
        <v>-13789000</v>
      </c>
      <c r="AN69" s="41">
        <f>SUM(AN58:AN68)</f>
        <v>47843417</v>
      </c>
      <c r="AO69" s="62">
        <f>SUM(AO58:AO68)</f>
        <v>-13851417</v>
      </c>
      <c r="AQ69" s="41">
        <f>SUM(AQ58:AQ68)</f>
        <v>139500000</v>
      </c>
      <c r="AR69" s="41">
        <f>SUM(AR58:AR68)</f>
        <v>188072000</v>
      </c>
      <c r="AS69" s="41">
        <f>SUM(AS58:AS68)</f>
        <v>-48572000</v>
      </c>
    </row>
    <row r="70" spans="1:45" ht="13.5" outlineLevel="2">
      <c r="A70" s="24"/>
      <c r="B70" s="26" t="s">
        <v>5</v>
      </c>
      <c r="C70" s="27"/>
      <c r="D70" s="27"/>
      <c r="E70" s="9"/>
      <c r="F70" s="98"/>
      <c r="G70" s="98"/>
      <c r="H70" s="98"/>
      <c r="I70" s="36"/>
      <c r="J70" s="98"/>
      <c r="K70" s="98"/>
      <c r="L70" s="98"/>
      <c r="M70" s="36"/>
      <c r="N70" s="98"/>
      <c r="O70" s="98"/>
      <c r="P70" s="98"/>
      <c r="Q70" s="36"/>
      <c r="R70" s="98"/>
      <c r="S70" s="98"/>
      <c r="T70" s="98"/>
      <c r="U70" s="36"/>
      <c r="V70" s="35" t="s">
        <v>86</v>
      </c>
      <c r="X70"/>
      <c r="Y70" s="42">
        <f t="shared" si="89"/>
        <v>0</v>
      </c>
      <c r="AD70" s="72"/>
      <c r="AE70" s="72"/>
      <c r="AF70" s="72"/>
      <c r="AK70" s="39"/>
      <c r="AQ70" s="39"/>
      <c r="AR70" s="39"/>
      <c r="AS70" s="72"/>
    </row>
    <row r="71" spans="1:45" ht="13.15" outlineLevel="2">
      <c r="A71" s="24"/>
      <c r="B71" s="27"/>
      <c r="C71" s="28" t="s">
        <v>47</v>
      </c>
      <c r="D71" s="27"/>
      <c r="E71" s="9">
        <v>0</v>
      </c>
      <c r="F71" s="43">
        <f>SDT!F68+TST!F68+TSG!F68+간접!F68</f>
        <v>152000</v>
      </c>
      <c r="G71" s="43">
        <f>SDT!G68+TST!G68+TSG!G68+간접!G68</f>
        <v>152000</v>
      </c>
      <c r="H71" s="43">
        <f>SDT!H68+TST!H68+TSG!H68+간접!H68</f>
        <v>152000</v>
      </c>
      <c r="I71" s="34">
        <f t="shared" ref="I71" si="98">SUM(F71:H71)</f>
        <v>456000</v>
      </c>
      <c r="J71" s="43">
        <f>SDT!J68+TST!J68+TSG!J68+간접!J68</f>
        <v>152000</v>
      </c>
      <c r="K71" s="43">
        <f>SDT!K68+TST!K68+TSG!K68+간접!K68</f>
        <v>152000</v>
      </c>
      <c r="L71" s="43">
        <f>SDT!L68+TST!L68+TSG!L68+간접!L68</f>
        <v>152000</v>
      </c>
      <c r="M71" s="34">
        <f t="shared" ref="M71" si="99">SUM(J71:L71)</f>
        <v>456000</v>
      </c>
      <c r="N71" s="43">
        <f>SDT!N68+TST!N68+TSG!N68+간접!N68</f>
        <v>152000</v>
      </c>
      <c r="O71" s="43">
        <f>SDT!O68+TST!O68+TSG!O68+간접!O68</f>
        <v>152000</v>
      </c>
      <c r="P71" s="43">
        <f>SDT!P68+TST!P68+TSG!P68+간접!P68</f>
        <v>152000</v>
      </c>
      <c r="Q71" s="34">
        <f t="shared" ref="Q71" si="100">SUM(N71:P71)</f>
        <v>456000</v>
      </c>
      <c r="R71" s="43">
        <f>SDT!R68+TST!R68+TSG!R68+간접!R68</f>
        <v>152000</v>
      </c>
      <c r="S71" s="43">
        <f>SDT!S68+TST!S68+TSG!S68+간접!S68</f>
        <v>152000</v>
      </c>
      <c r="T71" s="43">
        <f>SDT!T68+TST!T68+TSG!T68+간접!T68</f>
        <v>152000</v>
      </c>
      <c r="U71" s="34">
        <f>SUM(R71:T71)</f>
        <v>456000</v>
      </c>
      <c r="V71" s="34">
        <f>I71+M71+Q71+U71</f>
        <v>1824000</v>
      </c>
      <c r="X71" s="39">
        <v>151189</v>
      </c>
      <c r="Y71" s="42">
        <f t="shared" si="89"/>
        <v>-811</v>
      </c>
      <c r="Z71" s="169" t="s">
        <v>236</v>
      </c>
      <c r="AA71" s="39">
        <v>2000000</v>
      </c>
      <c r="AB71" s="39">
        <f>T71</f>
        <v>152000</v>
      </c>
      <c r="AC71" s="87">
        <f t="shared" ref="AC71:AC73" si="101">AA71-AB71</f>
        <v>1848000</v>
      </c>
      <c r="AD71" s="72">
        <f>3624258</f>
        <v>3624258</v>
      </c>
      <c r="AE71" s="76">
        <f>AB71-AD71</f>
        <v>-3472258</v>
      </c>
      <c r="AF71" s="72"/>
      <c r="AG71" s="42">
        <f t="shared" ref="AG71:AG74" si="102">V71+AB71</f>
        <v>1976000</v>
      </c>
      <c r="AH71" s="42"/>
      <c r="AI71" s="39">
        <v>6450000</v>
      </c>
      <c r="AJ71" s="39">
        <f t="shared" ref="AJ71:AJ73" si="103">R71+S71+AB71</f>
        <v>456000</v>
      </c>
      <c r="AK71" s="42">
        <f t="shared" ref="AK71:AK73" si="104">AI71-AJ71</f>
        <v>5994000</v>
      </c>
      <c r="AN71" s="42">
        <f t="shared" ref="AN71:AN73" si="105">R71+S71+AD71</f>
        <v>3928258</v>
      </c>
      <c r="AO71" s="42">
        <f t="shared" ref="AO71:AO73" si="106">AI71-AN71</f>
        <v>2521742</v>
      </c>
      <c r="AQ71" s="39">
        <v>34520000</v>
      </c>
      <c r="AR71" s="39">
        <f>V71</f>
        <v>1824000</v>
      </c>
      <c r="AS71" s="72">
        <f t="shared" ref="AS71:AS73" si="107">AQ71-AR71</f>
        <v>32696000</v>
      </c>
    </row>
    <row r="72" spans="1:45" ht="13.15" outlineLevel="2">
      <c r="A72" s="24"/>
      <c r="B72" s="27"/>
      <c r="C72" s="28" t="s">
        <v>48</v>
      </c>
      <c r="D72" s="27"/>
      <c r="E72" s="9">
        <v>0</v>
      </c>
      <c r="F72" s="43">
        <f>SDT!F69+TST!F69+TSG!F69+간접!F69</f>
        <v>15000</v>
      </c>
      <c r="G72" s="43">
        <f>SDT!G69+TST!G69+TSG!G69+간접!G69</f>
        <v>1000000</v>
      </c>
      <c r="H72" s="43">
        <f>SDT!H69+TST!H69+TSG!H69+간접!H69</f>
        <v>1000000</v>
      </c>
      <c r="I72" s="34">
        <f t="shared" ref="I72:I73" si="108">SUM(F72:H72)</f>
        <v>2015000</v>
      </c>
      <c r="J72" s="43">
        <f>SDT!J69+TST!J69+TSG!J69+간접!J69</f>
        <v>1000000</v>
      </c>
      <c r="K72" s="43">
        <f>SDT!K69+TST!K69+TSG!K69+간접!K69</f>
        <v>1000000</v>
      </c>
      <c r="L72" s="43">
        <f>SDT!L69+TST!L69+TSG!L69+간접!L69</f>
        <v>1000000</v>
      </c>
      <c r="M72" s="34">
        <f t="shared" ref="M72:M73" si="109">SUM(J72:L72)</f>
        <v>3000000</v>
      </c>
      <c r="N72" s="43">
        <f>SDT!N69+TST!N69+TSG!N69+간접!N69</f>
        <v>1000000</v>
      </c>
      <c r="O72" s="43">
        <f>SDT!O69+TST!O69+TSG!O69+간접!O69</f>
        <v>1000000</v>
      </c>
      <c r="P72" s="43">
        <f>SDT!P69+TST!P69+TSG!P69+간접!P69</f>
        <v>1000000</v>
      </c>
      <c r="Q72" s="34">
        <f t="shared" ref="Q72:Q73" si="110">SUM(N72:P72)</f>
        <v>3000000</v>
      </c>
      <c r="R72" s="43">
        <f>SDT!R69+TST!R69+TSG!R69+간접!R69</f>
        <v>1000000</v>
      </c>
      <c r="S72" s="43">
        <f>SDT!S69+TST!S69+TSG!S69+간접!S69</f>
        <v>1000000</v>
      </c>
      <c r="T72" s="43">
        <f>SDT!T69+TST!T69+TSG!T69+간접!T69</f>
        <v>1000000</v>
      </c>
      <c r="U72" s="34">
        <f>SUM(R72:T72)</f>
        <v>3000000</v>
      </c>
      <c r="V72" s="34">
        <f>I72+M72+Q72+U72</f>
        <v>11015000</v>
      </c>
      <c r="X72" s="39">
        <v>14900</v>
      </c>
      <c r="Y72" s="42">
        <f t="shared" si="89"/>
        <v>-100</v>
      </c>
      <c r="AB72" s="39">
        <v>0</v>
      </c>
      <c r="AC72" s="72">
        <f t="shared" si="101"/>
        <v>0</v>
      </c>
      <c r="AD72" s="72">
        <v>0</v>
      </c>
      <c r="AE72" s="72">
        <f>AB72-AD72</f>
        <v>0</v>
      </c>
      <c r="AF72" s="72"/>
      <c r="AG72" s="42">
        <f t="shared" si="102"/>
        <v>11015000</v>
      </c>
      <c r="AH72" s="42"/>
      <c r="AJ72" s="39">
        <f t="shared" si="103"/>
        <v>2000000</v>
      </c>
      <c r="AK72" s="42">
        <f t="shared" si="104"/>
        <v>-2000000</v>
      </c>
      <c r="AN72" s="42">
        <f t="shared" si="105"/>
        <v>2000000</v>
      </c>
      <c r="AO72" s="42">
        <f t="shared" si="106"/>
        <v>-2000000</v>
      </c>
      <c r="AQ72" s="39"/>
      <c r="AR72" s="39">
        <f>V72</f>
        <v>11015000</v>
      </c>
      <c r="AS72" s="72">
        <f t="shared" si="107"/>
        <v>-11015000</v>
      </c>
    </row>
    <row r="73" spans="1:45" ht="13.15" outlineLevel="2">
      <c r="A73" s="24"/>
      <c r="B73" s="27"/>
      <c r="C73" s="28" t="s">
        <v>26</v>
      </c>
      <c r="D73" s="27"/>
      <c r="E73" s="9">
        <v>0</v>
      </c>
      <c r="F73" s="43">
        <f>SDT!F70+TST!F70+TSG!F70+간접!F70</f>
        <v>0</v>
      </c>
      <c r="G73" s="43">
        <f>SDT!G70+TST!G70+TSG!G70+간접!G70</f>
        <v>0</v>
      </c>
      <c r="H73" s="43">
        <f>SDT!H70+TST!H70+TSG!H70+간접!H70</f>
        <v>0</v>
      </c>
      <c r="I73" s="34">
        <f t="shared" si="108"/>
        <v>0</v>
      </c>
      <c r="J73" s="43">
        <f>SDT!J70+TST!J70+TSG!J70+간접!J70</f>
        <v>0</v>
      </c>
      <c r="K73" s="43">
        <f>SDT!K70+TST!K70+TSG!K70+간접!K70</f>
        <v>0</v>
      </c>
      <c r="L73" s="43">
        <f>SDT!L70+TST!L70+TSG!L70+간접!L70</f>
        <v>0</v>
      </c>
      <c r="M73" s="34">
        <f t="shared" si="109"/>
        <v>0</v>
      </c>
      <c r="N73" s="43">
        <f>SDT!N70+TST!N70+TSG!N70+간접!N70</f>
        <v>0</v>
      </c>
      <c r="O73" s="43">
        <f>SDT!O70+TST!O70+TSG!O70+간접!O70</f>
        <v>0</v>
      </c>
      <c r="P73" s="43">
        <f>SDT!P70+TST!P70+TSG!P70+간접!P70</f>
        <v>0</v>
      </c>
      <c r="Q73" s="34">
        <f t="shared" si="110"/>
        <v>0</v>
      </c>
      <c r="R73" s="43">
        <f>SDT!R70+TST!R70+TSG!R70+간접!R70</f>
        <v>0</v>
      </c>
      <c r="S73" s="43">
        <f>SDT!S70+TST!S70+TSG!S70+간접!S70</f>
        <v>0</v>
      </c>
      <c r="T73" s="43">
        <f>SDT!T70+TST!T70+TSG!T70+간접!T70</f>
        <v>0</v>
      </c>
      <c r="U73" s="34">
        <f>SUM(R73:T73)</f>
        <v>0</v>
      </c>
      <c r="V73" s="34">
        <f>I73+M73+Q73+U73</f>
        <v>0</v>
      </c>
      <c r="Y73" s="42">
        <f t="shared" si="89"/>
        <v>0</v>
      </c>
      <c r="AA73" s="39">
        <v>59000</v>
      </c>
      <c r="AB73" s="39">
        <f>T73</f>
        <v>0</v>
      </c>
      <c r="AC73" s="72">
        <f t="shared" si="101"/>
        <v>59000</v>
      </c>
      <c r="AD73" s="72">
        <v>0</v>
      </c>
      <c r="AE73" s="72">
        <f>AB73-AD73</f>
        <v>0</v>
      </c>
      <c r="AF73" s="72"/>
      <c r="AG73" s="42">
        <f t="shared" si="102"/>
        <v>0</v>
      </c>
      <c r="AH73" s="42"/>
      <c r="AI73" s="39">
        <v>175000</v>
      </c>
      <c r="AJ73" s="39">
        <f t="shared" si="103"/>
        <v>0</v>
      </c>
      <c r="AK73" s="42">
        <f t="shared" si="104"/>
        <v>175000</v>
      </c>
      <c r="AN73" s="42">
        <f t="shared" si="105"/>
        <v>0</v>
      </c>
      <c r="AO73" s="42">
        <f t="shared" si="106"/>
        <v>175000</v>
      </c>
      <c r="AQ73" s="39">
        <v>700000</v>
      </c>
      <c r="AR73" s="39">
        <f>V73</f>
        <v>0</v>
      </c>
      <c r="AS73" s="72">
        <f t="shared" si="107"/>
        <v>700000</v>
      </c>
    </row>
    <row r="74" spans="1:45" ht="13.15" outlineLevel="1">
      <c r="A74" s="24"/>
      <c r="B74" s="29" t="s">
        <v>6</v>
      </c>
      <c r="C74" s="30"/>
      <c r="D74" s="30"/>
      <c r="E74" s="10"/>
      <c r="F74" s="99">
        <f>SUM(F71:F73)</f>
        <v>167000</v>
      </c>
      <c r="G74" s="99">
        <f>SUM(G71:G73)</f>
        <v>1152000</v>
      </c>
      <c r="H74" s="99">
        <f t="shared" ref="H74" si="111">SUM(H71:H73)</f>
        <v>1152000</v>
      </c>
      <c r="I74" s="35">
        <f t="shared" ref="I74" si="112">SUM(I71:I73)</f>
        <v>2471000</v>
      </c>
      <c r="J74" s="99">
        <f>SUM(J71:J73)</f>
        <v>1152000</v>
      </c>
      <c r="K74" s="99">
        <f t="shared" ref="K74:L74" si="113">SUM(K71:K73)</f>
        <v>1152000</v>
      </c>
      <c r="L74" s="99">
        <f t="shared" si="113"/>
        <v>1152000</v>
      </c>
      <c r="M74" s="35">
        <f t="shared" ref="M74" si="114">SUM(M71:M73)</f>
        <v>3456000</v>
      </c>
      <c r="N74" s="99">
        <f>SUM(N71:N73)</f>
        <v>1152000</v>
      </c>
      <c r="O74" s="99">
        <f t="shared" ref="O74:P74" si="115">SUM(O71:O73)</f>
        <v>1152000</v>
      </c>
      <c r="P74" s="99">
        <f t="shared" si="115"/>
        <v>1152000</v>
      </c>
      <c r="Q74" s="35">
        <f t="shared" ref="Q74" si="116">SUM(Q71:Q73)</f>
        <v>3456000</v>
      </c>
      <c r="R74" s="99">
        <f>SUM(R71:R73)</f>
        <v>1152000</v>
      </c>
      <c r="S74" s="99">
        <f t="shared" ref="S74:T74" si="117">SUM(S71:S73)</f>
        <v>1152000</v>
      </c>
      <c r="T74" s="99">
        <f t="shared" si="117"/>
        <v>1152000</v>
      </c>
      <c r="U74" s="35">
        <f t="shared" ref="U74" si="118">SUM(U71:U73)</f>
        <v>3456000</v>
      </c>
      <c r="V74" s="35">
        <f>I74+M74+Q74+U74</f>
        <v>12839000</v>
      </c>
      <c r="X74" s="41">
        <f>SUM(X71:X73)</f>
        <v>166089</v>
      </c>
      <c r="Y74" s="95">
        <f t="shared" si="89"/>
        <v>-911</v>
      </c>
      <c r="AA74" s="41">
        <f>SUM(AA71:AA73)</f>
        <v>2059000</v>
      </c>
      <c r="AB74" s="41">
        <f>SUM(AB71:AB73)</f>
        <v>152000</v>
      </c>
      <c r="AC74" s="41">
        <f>SUM(AC71:AC73)</f>
        <v>1907000</v>
      </c>
      <c r="AD74" s="41">
        <f>SUM(AD71:AD73)</f>
        <v>3624258</v>
      </c>
      <c r="AE74" s="41">
        <f>SUM(AE71:AE73)</f>
        <v>-3472258</v>
      </c>
      <c r="AF74" s="41"/>
      <c r="AG74" s="42">
        <f t="shared" si="102"/>
        <v>12991000</v>
      </c>
      <c r="AH74" s="42"/>
      <c r="AI74" s="41">
        <f>SUM(AI71:AI73)</f>
        <v>6625000</v>
      </c>
      <c r="AJ74" s="41">
        <f>SUM(AJ71:AJ73)</f>
        <v>2456000</v>
      </c>
      <c r="AK74" s="41">
        <f>SUM(AK71:AK73)</f>
        <v>4169000</v>
      </c>
      <c r="AN74" s="41">
        <f>SUM(AN71:AN73)</f>
        <v>5928258</v>
      </c>
      <c r="AO74" s="41">
        <f>SUM(AO71:AO73)</f>
        <v>696742</v>
      </c>
      <c r="AQ74" s="41">
        <f>SUM(AQ71:AQ73)</f>
        <v>35220000</v>
      </c>
      <c r="AR74" s="41">
        <f>SUM(AR71:AR73)</f>
        <v>12839000</v>
      </c>
      <c r="AS74" s="41">
        <f>SUM(AS71:AS73)</f>
        <v>22381000</v>
      </c>
    </row>
    <row r="75" spans="1:45" ht="13.5" outlineLevel="2">
      <c r="A75" s="24"/>
      <c r="B75" s="26" t="s">
        <v>7</v>
      </c>
      <c r="C75" s="27"/>
      <c r="D75" s="27"/>
      <c r="E75" s="9"/>
      <c r="F75" s="98"/>
      <c r="G75" s="98"/>
      <c r="H75" s="98"/>
      <c r="I75" s="36"/>
      <c r="J75" s="98"/>
      <c r="K75" s="98"/>
      <c r="L75" s="98"/>
      <c r="M75" s="36"/>
      <c r="N75" s="98"/>
      <c r="O75" s="98"/>
      <c r="P75" s="98"/>
      <c r="Q75" s="36"/>
      <c r="R75" s="98"/>
      <c r="S75" s="98"/>
      <c r="T75" s="98"/>
      <c r="U75" s="36"/>
      <c r="V75" s="36"/>
      <c r="X75"/>
      <c r="Y75" s="42">
        <f t="shared" si="89"/>
        <v>0</v>
      </c>
      <c r="AD75" s="72"/>
      <c r="AE75" s="72"/>
      <c r="AF75" s="72"/>
      <c r="AK75" s="39"/>
      <c r="AQ75" s="39"/>
      <c r="AR75" s="39"/>
      <c r="AS75" s="72"/>
    </row>
    <row r="76" spans="1:45" ht="13.15" outlineLevel="2">
      <c r="A76" s="24"/>
      <c r="B76" s="27"/>
      <c r="C76" s="28" t="s">
        <v>40</v>
      </c>
      <c r="D76" s="27"/>
      <c r="E76" s="9">
        <v>0</v>
      </c>
      <c r="F76" s="43">
        <f>SDT!F73+TST!F73+TSG!F73+간접!F73</f>
        <v>0</v>
      </c>
      <c r="G76" s="43">
        <f>SDT!G73+TST!G73+TSG!G73+간접!G73</f>
        <v>0</v>
      </c>
      <c r="H76" s="43">
        <f>SDT!H73+TST!H73+TSG!H73+간접!H73</f>
        <v>0</v>
      </c>
      <c r="I76" s="34">
        <f t="shared" ref="I76" si="119">SUM(F76:H76)</f>
        <v>0</v>
      </c>
      <c r="J76" s="43">
        <f>SDT!J73+TST!J73+TSG!J73+간접!J73</f>
        <v>0</v>
      </c>
      <c r="K76" s="43">
        <f>SDT!K73+TST!K73+TSG!K73+간접!K73</f>
        <v>0</v>
      </c>
      <c r="L76" s="43">
        <f>SDT!L73+TST!L73+TSG!L73+간접!L73</f>
        <v>0</v>
      </c>
      <c r="M76" s="34">
        <f t="shared" ref="M76" si="120">SUM(J76:L76)</f>
        <v>0</v>
      </c>
      <c r="N76" s="43">
        <f>SDT!N73+TST!N73+TSG!N73+간접!N73</f>
        <v>0</v>
      </c>
      <c r="O76" s="43">
        <f>SDT!O73+TST!O73+TSG!O73+간접!O73</f>
        <v>0</v>
      </c>
      <c r="P76" s="43">
        <f>SDT!P73+TST!P73+TSG!P73+간접!P73</f>
        <v>0</v>
      </c>
      <c r="Q76" s="34">
        <f t="shared" ref="Q76" si="121">SUM(N76:P76)</f>
        <v>0</v>
      </c>
      <c r="R76" s="43">
        <f>SDT!R73+TST!R73+TSG!R73+간접!R73</f>
        <v>0</v>
      </c>
      <c r="S76" s="43">
        <f>SDT!S73+TST!S73+TSG!S73+간접!S73</f>
        <v>0</v>
      </c>
      <c r="T76" s="43">
        <f>SDT!T73+TST!T73+TSG!T73+간접!T73</f>
        <v>0</v>
      </c>
      <c r="U76" s="34">
        <f>SUM(R76:T76)</f>
        <v>0</v>
      </c>
      <c r="V76" s="34">
        <f>I76+M76+Q76+U76</f>
        <v>0</v>
      </c>
      <c r="Y76" s="42">
        <f t="shared" si="89"/>
        <v>0</v>
      </c>
      <c r="AA76" s="39">
        <v>418000</v>
      </c>
      <c r="AB76" s="39">
        <f>T76</f>
        <v>0</v>
      </c>
      <c r="AC76" s="87">
        <f t="shared" ref="AC76:AC78" si="122">AA76-AB76</f>
        <v>418000</v>
      </c>
      <c r="AD76" s="72">
        <f>586790</f>
        <v>586790</v>
      </c>
      <c r="AE76" s="72">
        <f>AB76-AD76</f>
        <v>-586790</v>
      </c>
      <c r="AF76" s="72"/>
      <c r="AG76" s="42">
        <f t="shared" ref="AG76:AG80" si="123">V76+AB76</f>
        <v>0</v>
      </c>
      <c r="AH76" s="42"/>
      <c r="AI76" s="39">
        <v>1250000</v>
      </c>
      <c r="AJ76" s="39">
        <f>R76+S76+AB76</f>
        <v>0</v>
      </c>
      <c r="AK76" s="65">
        <f t="shared" ref="AK76:AK78" si="124">AI76-AJ76</f>
        <v>1250000</v>
      </c>
      <c r="AL76" s="67" t="s">
        <v>126</v>
      </c>
      <c r="AM76" s="77"/>
      <c r="AN76" s="42">
        <f t="shared" ref="AN76:AN78" si="125">R76+S76+AD76</f>
        <v>586790</v>
      </c>
      <c r="AO76" s="42">
        <f t="shared" ref="AO76:AO78" si="126">AI76-AN76</f>
        <v>663210</v>
      </c>
      <c r="AQ76" s="39">
        <v>5000000</v>
      </c>
      <c r="AR76" s="39">
        <f>V76</f>
        <v>0</v>
      </c>
      <c r="AS76" s="87">
        <f t="shared" ref="AS76:AS78" si="127">AQ76-AR76</f>
        <v>5000000</v>
      </c>
    </row>
    <row r="77" spans="1:45" ht="13.15" outlineLevel="2">
      <c r="A77" s="24"/>
      <c r="B77" s="27"/>
      <c r="C77" s="27" t="s">
        <v>8</v>
      </c>
      <c r="D77" s="27"/>
      <c r="E77" s="9">
        <v>0</v>
      </c>
      <c r="F77" s="43">
        <f>SDT!F74+TST!F74+TSG!F74+간접!F74</f>
        <v>0</v>
      </c>
      <c r="G77" s="43">
        <f>SDT!G74+TST!G74+TSG!G74+간접!G74</f>
        <v>0</v>
      </c>
      <c r="H77" s="43">
        <f>SDT!H74+TST!H74+TSG!H74+간접!H74</f>
        <v>0</v>
      </c>
      <c r="I77" s="34">
        <f t="shared" ref="I77:I78" si="128">SUM(F77:H77)</f>
        <v>0</v>
      </c>
      <c r="J77" s="43">
        <f>SDT!J74+TST!J74+TSG!J74+간접!J74</f>
        <v>0</v>
      </c>
      <c r="K77" s="43">
        <f>SDT!K74+TST!K74+TSG!K74+간접!K74</f>
        <v>0</v>
      </c>
      <c r="L77" s="43">
        <f>SDT!L74+TST!L74+TSG!L74+간접!L74</f>
        <v>0</v>
      </c>
      <c r="M77" s="34">
        <f t="shared" ref="M77:M78" si="129">SUM(J77:L77)</f>
        <v>0</v>
      </c>
      <c r="N77" s="43">
        <f>SDT!N74+TST!N74+TSG!N74+간접!N74</f>
        <v>0</v>
      </c>
      <c r="O77" s="43">
        <f>SDT!O74+TST!O74+TSG!O74+간접!O74</f>
        <v>0</v>
      </c>
      <c r="P77" s="43">
        <f>SDT!P74+TST!P74+TSG!P74+간접!P74</f>
        <v>0</v>
      </c>
      <c r="Q77" s="34">
        <f t="shared" ref="Q77:Q78" si="130">SUM(N77:P77)</f>
        <v>0</v>
      </c>
      <c r="R77" s="43">
        <f>SDT!R74+TST!R74+TSG!R74+간접!R74</f>
        <v>0</v>
      </c>
      <c r="S77" s="43">
        <f>SDT!S74+TST!S74+TSG!S74+간접!S74</f>
        <v>0</v>
      </c>
      <c r="T77" s="43">
        <f>SDT!T74+TST!T74+TSG!T74+간접!T74</f>
        <v>0</v>
      </c>
      <c r="U77" s="34">
        <f>SUM(R77:T77)</f>
        <v>0</v>
      </c>
      <c r="V77" s="34">
        <f>I77+M77+Q77+U77</f>
        <v>0</v>
      </c>
      <c r="Y77" s="42">
        <f t="shared" si="89"/>
        <v>0</v>
      </c>
      <c r="AA77" s="39">
        <v>500000</v>
      </c>
      <c r="AB77" s="39">
        <f>T77</f>
        <v>0</v>
      </c>
      <c r="AC77" s="72">
        <f t="shared" si="122"/>
        <v>500000</v>
      </c>
      <c r="AD77" s="72"/>
      <c r="AE77" s="72">
        <f>AB77-AD77</f>
        <v>0</v>
      </c>
      <c r="AF77" s="72"/>
      <c r="AG77" s="42">
        <f t="shared" si="123"/>
        <v>0</v>
      </c>
      <c r="AH77" s="42"/>
      <c r="AI77" s="39">
        <v>0</v>
      </c>
      <c r="AJ77" s="39">
        <f t="shared" ref="AJ77:AJ78" si="131">R77+S77+AB77</f>
        <v>0</v>
      </c>
      <c r="AK77" s="65">
        <f t="shared" si="124"/>
        <v>0</v>
      </c>
      <c r="AL77" s="67" t="s">
        <v>127</v>
      </c>
      <c r="AM77" s="77"/>
      <c r="AN77" s="42">
        <f t="shared" si="125"/>
        <v>0</v>
      </c>
      <c r="AO77" s="42">
        <f t="shared" si="126"/>
        <v>0</v>
      </c>
      <c r="AQ77" s="39">
        <v>14600000</v>
      </c>
      <c r="AR77" s="39">
        <f>V77</f>
        <v>0</v>
      </c>
      <c r="AS77" s="87">
        <f t="shared" si="127"/>
        <v>14600000</v>
      </c>
    </row>
    <row r="78" spans="1:45" ht="13.15" outlineLevel="2">
      <c r="A78" s="24"/>
      <c r="B78" s="27"/>
      <c r="C78" s="27" t="s">
        <v>9</v>
      </c>
      <c r="D78" s="27"/>
      <c r="E78" s="9">
        <v>0</v>
      </c>
      <c r="F78" s="43">
        <f>SDT!F75+TST!F75+TSG!F75+간접!F75</f>
        <v>0</v>
      </c>
      <c r="G78" s="43">
        <f>SDT!G75+TST!G75+TSG!G75+간접!G75</f>
        <v>0</v>
      </c>
      <c r="H78" s="43">
        <f>SDT!H75+TST!H75+TSG!H75+간접!H75</f>
        <v>0</v>
      </c>
      <c r="I78" s="34">
        <f t="shared" si="128"/>
        <v>0</v>
      </c>
      <c r="J78" s="43">
        <f>SDT!J75+TST!J75+TSG!J75+간접!J75</f>
        <v>0</v>
      </c>
      <c r="K78" s="43">
        <f>SDT!K75+TST!K75+TSG!K75+간접!K75</f>
        <v>0</v>
      </c>
      <c r="L78" s="43">
        <f>SDT!L75+TST!L75+TSG!L75+간접!L75</f>
        <v>0</v>
      </c>
      <c r="M78" s="34">
        <f t="shared" si="129"/>
        <v>0</v>
      </c>
      <c r="N78" s="43">
        <f>SDT!N75+TST!N75+TSG!N75+간접!N75</f>
        <v>0</v>
      </c>
      <c r="O78" s="43">
        <f>SDT!O75+TST!O75+TSG!O75+간접!O75</f>
        <v>0</v>
      </c>
      <c r="P78" s="43">
        <f>SDT!P75+TST!P75+TSG!P75+간접!P75</f>
        <v>0</v>
      </c>
      <c r="Q78" s="34">
        <f t="shared" si="130"/>
        <v>0</v>
      </c>
      <c r="R78" s="43">
        <f>SDT!R75+TST!R75+TSG!R75+간접!R75</f>
        <v>0</v>
      </c>
      <c r="S78" s="43">
        <f>SDT!S75+TST!S75+TSG!S75+간접!S75</f>
        <v>0</v>
      </c>
      <c r="T78" s="43">
        <f>SDT!T75+TST!T75+TSG!T75+간접!T75</f>
        <v>0</v>
      </c>
      <c r="U78" s="34">
        <f>SUM(R78:T78)</f>
        <v>0</v>
      </c>
      <c r="V78" s="34">
        <f>I78+M78+Q78+U78</f>
        <v>0</v>
      </c>
      <c r="Y78" s="42">
        <f t="shared" si="89"/>
        <v>0</v>
      </c>
      <c r="AB78" s="39">
        <f>T78</f>
        <v>0</v>
      </c>
      <c r="AC78" s="72">
        <f t="shared" si="122"/>
        <v>0</v>
      </c>
      <c r="AD78" s="72">
        <f>40000</f>
        <v>40000</v>
      </c>
      <c r="AE78" s="72">
        <f>AB78-AD78</f>
        <v>-40000</v>
      </c>
      <c r="AF78" s="72"/>
      <c r="AG78" s="42">
        <f t="shared" si="123"/>
        <v>0</v>
      </c>
      <c r="AH78" s="42"/>
      <c r="AI78" s="39">
        <v>500000</v>
      </c>
      <c r="AJ78" s="39">
        <f t="shared" si="131"/>
        <v>0</v>
      </c>
      <c r="AK78" s="42">
        <f t="shared" si="124"/>
        <v>500000</v>
      </c>
      <c r="AN78" s="42">
        <f t="shared" si="125"/>
        <v>40000</v>
      </c>
      <c r="AO78" s="42">
        <f t="shared" si="126"/>
        <v>460000</v>
      </c>
      <c r="AQ78" s="39"/>
      <c r="AR78" s="39">
        <f>V78</f>
        <v>0</v>
      </c>
      <c r="AS78" s="87">
        <f t="shared" si="127"/>
        <v>0</v>
      </c>
    </row>
    <row r="79" spans="1:45" ht="13.15" outlineLevel="1">
      <c r="A79" s="24"/>
      <c r="B79" s="29" t="s">
        <v>10</v>
      </c>
      <c r="C79" s="30"/>
      <c r="D79" s="30"/>
      <c r="E79" s="10"/>
      <c r="F79" s="99">
        <f>SUM(F76:F78)</f>
        <v>0</v>
      </c>
      <c r="G79" s="99">
        <f>SUM(G76:G78)</f>
        <v>0</v>
      </c>
      <c r="H79" s="99">
        <f t="shared" ref="H79" si="132">SUM(H76:H78)</f>
        <v>0</v>
      </c>
      <c r="I79" s="35">
        <f t="shared" ref="I79" si="133">SUM(I76:I78)</f>
        <v>0</v>
      </c>
      <c r="J79" s="99">
        <f>SUM(J76:J78)</f>
        <v>0</v>
      </c>
      <c r="K79" s="99">
        <f t="shared" ref="K79:L79" si="134">SUM(K76:K78)</f>
        <v>0</v>
      </c>
      <c r="L79" s="99">
        <f t="shared" si="134"/>
        <v>0</v>
      </c>
      <c r="M79" s="35">
        <f t="shared" ref="M79" si="135">SUM(M76:M78)</f>
        <v>0</v>
      </c>
      <c r="N79" s="99">
        <f>SUM(N76:N78)</f>
        <v>0</v>
      </c>
      <c r="O79" s="99">
        <f t="shared" ref="O79:P79" si="136">SUM(O76:O78)</f>
        <v>0</v>
      </c>
      <c r="P79" s="99">
        <f t="shared" si="136"/>
        <v>0</v>
      </c>
      <c r="Q79" s="35">
        <f t="shared" ref="Q79" si="137">SUM(Q76:Q78)</f>
        <v>0</v>
      </c>
      <c r="R79" s="99">
        <f>SUM(R76:R78)</f>
        <v>0</v>
      </c>
      <c r="S79" s="99">
        <f t="shared" ref="S79:T79" si="138">SUM(S76:S78)</f>
        <v>0</v>
      </c>
      <c r="T79" s="99">
        <f t="shared" si="138"/>
        <v>0</v>
      </c>
      <c r="U79" s="35">
        <f t="shared" ref="U79" si="139">SUM(U76:U78)</f>
        <v>0</v>
      </c>
      <c r="V79" s="35">
        <f>I79+M79+Q79+U79</f>
        <v>0</v>
      </c>
      <c r="X79" s="41">
        <f>SUM(X76:X78)</f>
        <v>0</v>
      </c>
      <c r="Y79" s="95">
        <f t="shared" si="89"/>
        <v>0</v>
      </c>
      <c r="AA79" s="41">
        <f>SUM(AA76:AA78)</f>
        <v>918000</v>
      </c>
      <c r="AB79" s="41">
        <f>SUM(AB76:AB78)</f>
        <v>0</v>
      </c>
      <c r="AC79" s="41">
        <f>SUM(AC76:AC78)</f>
        <v>918000</v>
      </c>
      <c r="AD79" s="41">
        <f>SUM(AD76:AD78)</f>
        <v>626790</v>
      </c>
      <c r="AE79" s="41">
        <f>SUM(AE76:AE78)</f>
        <v>-626790</v>
      </c>
      <c r="AF79" s="74"/>
      <c r="AG79" s="42">
        <f t="shared" si="123"/>
        <v>0</v>
      </c>
      <c r="AH79" s="42"/>
      <c r="AI79" s="41">
        <f>SUM(AI76:AI78)</f>
        <v>1750000</v>
      </c>
      <c r="AJ79" s="41">
        <f>SUM(AJ76:AJ78)</f>
        <v>0</v>
      </c>
      <c r="AK79" s="62">
        <f>SUM(AK76:AK78)</f>
        <v>1750000</v>
      </c>
      <c r="AN79" s="41">
        <f>SUM(AN76:AN78)</f>
        <v>626790</v>
      </c>
      <c r="AO79" s="62">
        <f>SUM(AO76:AO78)</f>
        <v>1123210</v>
      </c>
      <c r="AQ79" s="41">
        <f>SUM(AQ76:AQ78)</f>
        <v>19600000</v>
      </c>
      <c r="AR79" s="41">
        <f>SUM(AR76:AR78)</f>
        <v>0</v>
      </c>
      <c r="AS79" s="41">
        <f>SUM(AS76:AS78)</f>
        <v>19600000</v>
      </c>
    </row>
    <row r="80" spans="1:45" ht="13.15">
      <c r="A80" s="31"/>
      <c r="B80" s="32"/>
      <c r="C80" s="31"/>
      <c r="D80" s="32" t="s">
        <v>11</v>
      </c>
      <c r="E80" s="9"/>
      <c r="F80" s="97">
        <f>F55+F56+F69+F74+F79</f>
        <v>229683000</v>
      </c>
      <c r="G80" s="97">
        <f>G55+G56+G69+G74+G79</f>
        <v>229882000</v>
      </c>
      <c r="H80" s="97">
        <f>H55+H56+H69+H74+H79</f>
        <v>229882000</v>
      </c>
      <c r="I80" s="35">
        <f>I79+I74+I69+I56+I55</f>
        <v>689447000</v>
      </c>
      <c r="J80" s="97">
        <f>J55+J56+J69+J74+J79</f>
        <v>229882000</v>
      </c>
      <c r="K80" s="97">
        <f>K55+K56+K69+K74+K79</f>
        <v>229882000</v>
      </c>
      <c r="L80" s="97">
        <f>L55+L56+L69+L74+L79</f>
        <v>229882000</v>
      </c>
      <c r="M80" s="35">
        <f>M79+M74+M69+M56+M55</f>
        <v>689646000</v>
      </c>
      <c r="N80" s="97">
        <f>N55+N56+N69+N74+N79</f>
        <v>229882000</v>
      </c>
      <c r="O80" s="97">
        <f>O55+O56+O69+O74+O79</f>
        <v>229882000</v>
      </c>
      <c r="P80" s="97">
        <f>P55+P56+P69+P74+P79</f>
        <v>229882000</v>
      </c>
      <c r="Q80" s="35">
        <f>Q79+Q74+Q69+Q56+Q55</f>
        <v>689646000</v>
      </c>
      <c r="R80" s="97">
        <f>R55+R56+R69+R74+R79</f>
        <v>229882000</v>
      </c>
      <c r="S80" s="97">
        <f>S55+S56+S69+S74+S79</f>
        <v>229882000</v>
      </c>
      <c r="T80" s="97">
        <f>T55+T56+T69+T74+T79</f>
        <v>229882000</v>
      </c>
      <c r="U80" s="35">
        <f>U79+U74+U69+U56+U55</f>
        <v>689646000</v>
      </c>
      <c r="V80" s="35">
        <f>I80+M80+Q80+U80</f>
        <v>2758385000</v>
      </c>
      <c r="X80" s="41">
        <f>X79+X74+X69+X55</f>
        <v>311195809</v>
      </c>
      <c r="Y80" s="95">
        <f t="shared" si="89"/>
        <v>81512809</v>
      </c>
      <c r="AA80" s="41">
        <f>AA79+AA74+AA69+AA55</f>
        <v>195687000</v>
      </c>
      <c r="AB80" s="41">
        <f>AB79+AB74+AB69+AB55</f>
        <v>228882000</v>
      </c>
      <c r="AC80" s="41">
        <f>AC79+AC74+AC69+AC55</f>
        <v>-33195000</v>
      </c>
      <c r="AD80" s="41">
        <f>AD79+AD74+AD69+AD55</f>
        <v>219587880</v>
      </c>
      <c r="AE80" s="41">
        <f>AE79+AE74+AE69+AE55</f>
        <v>9271460</v>
      </c>
      <c r="AF80" s="74"/>
      <c r="AG80" s="42">
        <f t="shared" si="123"/>
        <v>2987267000</v>
      </c>
      <c r="AH80" s="42"/>
      <c r="AI80" s="41">
        <f>AI79+AI74+AI69+AI55</f>
        <v>532001000</v>
      </c>
      <c r="AJ80" s="41">
        <f>AJ79+AJ74+AJ69+AJ55</f>
        <v>689654000</v>
      </c>
      <c r="AK80" s="41">
        <f>AK79+AK74+AK69+AK55</f>
        <v>-157653000</v>
      </c>
      <c r="AN80" s="41">
        <f>AN79+AN74+AN69+AN55</f>
        <v>679351880</v>
      </c>
      <c r="AO80" s="41">
        <f>AO79+AO74+AO69+AO55</f>
        <v>-147350880</v>
      </c>
      <c r="AQ80" s="41">
        <f>AQ79+AQ74+AQ69+AQ55</f>
        <v>2094021000</v>
      </c>
      <c r="AR80" s="41">
        <f>AR79+AR74+AR69+AR55</f>
        <v>2758385000</v>
      </c>
      <c r="AS80" s="41">
        <f>AS79+AS74+AS69+AS55</f>
        <v>-664364000</v>
      </c>
    </row>
    <row r="81" spans="1:45" ht="15" customHeight="1" outlineLevel="1">
      <c r="A81" s="32" t="s">
        <v>12</v>
      </c>
      <c r="B81" s="32"/>
      <c r="C81" s="33"/>
      <c r="D81" s="33"/>
      <c r="E81" s="9"/>
      <c r="F81" s="97"/>
      <c r="G81" s="97"/>
      <c r="H81" s="97"/>
      <c r="I81" s="35"/>
      <c r="J81" s="97"/>
      <c r="K81" s="97"/>
      <c r="L81" s="97"/>
      <c r="M81" s="35"/>
      <c r="N81" s="97"/>
      <c r="O81" s="97"/>
      <c r="P81" s="97"/>
      <c r="Q81" s="35"/>
      <c r="R81" s="97"/>
      <c r="S81" s="97"/>
      <c r="T81" s="97"/>
      <c r="U81" s="35"/>
      <c r="V81" s="35"/>
      <c r="X81"/>
      <c r="Y81" s="42">
        <f t="shared" si="89"/>
        <v>0</v>
      </c>
      <c r="AD81" s="72"/>
      <c r="AE81" s="72"/>
      <c r="AF81" s="72"/>
      <c r="AQ81" s="39"/>
      <c r="AR81" s="39"/>
      <c r="AS81" s="72"/>
    </row>
    <row r="82" spans="1:45" ht="13.5" outlineLevel="2">
      <c r="A82" s="24"/>
      <c r="B82" s="26" t="s">
        <v>13</v>
      </c>
      <c r="C82" s="27"/>
      <c r="D82" s="27"/>
      <c r="E82" s="9"/>
      <c r="F82" s="98"/>
      <c r="G82" s="98"/>
      <c r="H82" s="98"/>
      <c r="I82" s="36"/>
      <c r="J82" s="98"/>
      <c r="K82" s="98"/>
      <c r="L82" s="98"/>
      <c r="M82" s="36"/>
      <c r="N82" s="98"/>
      <c r="O82" s="98"/>
      <c r="P82" s="98"/>
      <c r="Q82" s="36"/>
      <c r="R82" s="98"/>
      <c r="S82" s="98"/>
      <c r="T82" s="98"/>
      <c r="U82" s="36"/>
      <c r="V82" s="36"/>
      <c r="X82"/>
      <c r="Y82" s="42">
        <f t="shared" si="89"/>
        <v>0</v>
      </c>
      <c r="AD82" s="72"/>
      <c r="AE82" s="72"/>
      <c r="AF82" s="72"/>
      <c r="AQ82" s="39"/>
      <c r="AR82" s="39"/>
      <c r="AS82" s="72"/>
    </row>
    <row r="83" spans="1:45" ht="13.15" outlineLevel="2">
      <c r="A83" s="24"/>
      <c r="B83" s="27"/>
      <c r="C83" s="28" t="s">
        <v>66</v>
      </c>
      <c r="D83" s="27"/>
      <c r="E83" s="9">
        <v>0</v>
      </c>
      <c r="F83" s="43">
        <f>SDT!F80+TST!F80+TSG!F80+간접!F80</f>
        <v>5300000</v>
      </c>
      <c r="G83" s="43">
        <f>SDT!G80+TST!G80+TSG!G80+간접!G80</f>
        <v>5300000</v>
      </c>
      <c r="H83" s="43">
        <f>SDT!H80+TST!H80+TSG!H80+간접!H80</f>
        <v>5300000</v>
      </c>
      <c r="I83" s="34">
        <f t="shared" ref="I83" si="140">SUM(F83:H83)</f>
        <v>15900000</v>
      </c>
      <c r="J83" s="43">
        <f>SDT!J80+TST!J80+TSG!J80+간접!J80</f>
        <v>5300000</v>
      </c>
      <c r="K83" s="43">
        <f>SDT!K80+TST!K80+TSG!K80+간접!K80</f>
        <v>5300000</v>
      </c>
      <c r="L83" s="43">
        <f>SDT!L80+TST!L80+TSG!L80+간접!L80</f>
        <v>5300000</v>
      </c>
      <c r="M83" s="34">
        <f t="shared" ref="M83" si="141">SUM(J83:L83)</f>
        <v>15900000</v>
      </c>
      <c r="N83" s="43">
        <f>SDT!N80+TST!N80+TSG!N80+간접!N80</f>
        <v>5300000</v>
      </c>
      <c r="O83" s="43">
        <f>SDT!O80+TST!O80+TSG!O80+간접!O80</f>
        <v>5300000</v>
      </c>
      <c r="P83" s="43">
        <f>SDT!P80+TST!P80+TSG!P80+간접!P80</f>
        <v>5300000</v>
      </c>
      <c r="Q83" s="34">
        <f t="shared" ref="Q83" si="142">SUM(N83:P83)</f>
        <v>15900000</v>
      </c>
      <c r="R83" s="43">
        <f>SDT!R80+TST!R80+TSG!R80+간접!R80</f>
        <v>5300000</v>
      </c>
      <c r="S83" s="43">
        <f>SDT!S80+TST!S80+TSG!S80+간접!S80</f>
        <v>5300000</v>
      </c>
      <c r="T83" s="43">
        <f>SDT!T80+TST!T80+TSG!T80+간접!T80</f>
        <v>5300000</v>
      </c>
      <c r="U83" s="34">
        <f t="shared" ref="U83:U90" si="143">SUM(R83:T83)</f>
        <v>15900000</v>
      </c>
      <c r="V83" s="34">
        <f t="shared" ref="V83:V92" si="144">I83+M83+Q83+U83</f>
        <v>63600000</v>
      </c>
      <c r="X83" s="102">
        <v>5300000</v>
      </c>
      <c r="Y83" s="42">
        <f t="shared" si="89"/>
        <v>0</v>
      </c>
      <c r="AA83" s="39">
        <v>4700000</v>
      </c>
      <c r="AB83" s="39">
        <f t="shared" ref="AB83:AB90" si="145">T83</f>
        <v>5300000</v>
      </c>
      <c r="AC83" s="72">
        <f t="shared" ref="AC83:AC90" si="146">AA83-AB83</f>
        <v>-600000</v>
      </c>
      <c r="AD83" s="72">
        <v>4700000</v>
      </c>
      <c r="AE83" s="72">
        <f t="shared" ref="AE83:AE90" si="147">AB83-AD83</f>
        <v>600000</v>
      </c>
      <c r="AF83" s="72"/>
      <c r="AG83" s="42">
        <f t="shared" ref="AG83:AG91" si="148">V83+AB83</f>
        <v>68900000</v>
      </c>
      <c r="AH83" s="42"/>
      <c r="AI83" s="39">
        <v>14100000</v>
      </c>
      <c r="AJ83" s="39">
        <f t="shared" ref="AJ83:AJ90" si="149">R83+S83+AB83</f>
        <v>15900000</v>
      </c>
      <c r="AK83" s="42">
        <f t="shared" ref="AK83:AK90" si="150">AI83-AJ83</f>
        <v>-1800000</v>
      </c>
      <c r="AN83" s="42">
        <f t="shared" ref="AN83:AN90" si="151">R83+S83+AD83</f>
        <v>15300000</v>
      </c>
      <c r="AO83" s="42">
        <f t="shared" ref="AO83:AO90" si="152">AI83-AN83</f>
        <v>-1200000</v>
      </c>
      <c r="AQ83" s="39">
        <v>56400000</v>
      </c>
      <c r="AR83" s="39">
        <f t="shared" ref="AR83:AR90" si="153">V83</f>
        <v>63600000</v>
      </c>
      <c r="AS83" s="72">
        <f t="shared" ref="AS83:AS90" si="154">AQ83-AR83</f>
        <v>-7200000</v>
      </c>
    </row>
    <row r="84" spans="1:45" ht="13.15" outlineLevel="2">
      <c r="A84" s="24"/>
      <c r="B84" s="27"/>
      <c r="C84" s="28" t="s">
        <v>67</v>
      </c>
      <c r="D84" s="27"/>
      <c r="E84" s="9">
        <v>0</v>
      </c>
      <c r="F84" s="43">
        <f>SDT!F81+TST!F81+TSG!F81+간접!F81</f>
        <v>5835000</v>
      </c>
      <c r="G84" s="43">
        <f>SDT!G81+TST!G81+TSG!G81+간접!G81</f>
        <v>5835000</v>
      </c>
      <c r="H84" s="43">
        <f>SDT!H81+TST!H81+TSG!H81+간접!H81</f>
        <v>5835000</v>
      </c>
      <c r="I84" s="34">
        <f t="shared" ref="I84:I90" si="155">SUM(F84:H84)</f>
        <v>17505000</v>
      </c>
      <c r="J84" s="43">
        <f>SDT!J81+TST!J81+TSG!J81+간접!J81</f>
        <v>5835000</v>
      </c>
      <c r="K84" s="43">
        <f>SDT!K81+TST!K81+TSG!K81+간접!K81</f>
        <v>5835000</v>
      </c>
      <c r="L84" s="43">
        <f>SDT!L81+TST!L81+TSG!L81+간접!L81</f>
        <v>5835000</v>
      </c>
      <c r="M84" s="34">
        <f t="shared" ref="M84:M90" si="156">SUM(J84:L84)</f>
        <v>17505000</v>
      </c>
      <c r="N84" s="43">
        <f>SDT!N81+TST!N81+TSG!N81+간접!N81</f>
        <v>5835000</v>
      </c>
      <c r="O84" s="43">
        <f>SDT!O81+TST!O81+TSG!O81+간접!O81</f>
        <v>5835000</v>
      </c>
      <c r="P84" s="43">
        <f>SDT!P81+TST!P81+TSG!P81+간접!P81</f>
        <v>5835000</v>
      </c>
      <c r="Q84" s="34">
        <f t="shared" ref="Q84:Q90" si="157">SUM(N84:P84)</f>
        <v>17505000</v>
      </c>
      <c r="R84" s="43">
        <f>SDT!R81+TST!R81+TSG!R81+간접!R81</f>
        <v>5835000</v>
      </c>
      <c r="S84" s="43">
        <f>SDT!S81+TST!S81+TSG!S81+간접!S81</f>
        <v>5835000</v>
      </c>
      <c r="T84" s="43">
        <f>SDT!T81+TST!T81+TSG!T81+간접!T81</f>
        <v>5835000</v>
      </c>
      <c r="U84" s="34">
        <f t="shared" si="143"/>
        <v>17505000</v>
      </c>
      <c r="V84" s="34">
        <f t="shared" si="144"/>
        <v>70020000</v>
      </c>
      <c r="X84" s="102">
        <f>1085431+3440600+966053+63603+280000</f>
        <v>5835687</v>
      </c>
      <c r="Y84" s="42">
        <f t="shared" si="89"/>
        <v>687</v>
      </c>
      <c r="AA84" s="39">
        <f>1200000+670000</f>
        <v>1870000</v>
      </c>
      <c r="AB84" s="39">
        <f t="shared" si="145"/>
        <v>5835000</v>
      </c>
      <c r="AC84" s="72">
        <f t="shared" si="146"/>
        <v>-3965000</v>
      </c>
      <c r="AD84" s="72">
        <f>902066+660832</f>
        <v>1562898</v>
      </c>
      <c r="AE84" s="72">
        <f t="shared" si="147"/>
        <v>4272102</v>
      </c>
      <c r="AF84" s="72"/>
      <c r="AG84" s="42">
        <f t="shared" si="148"/>
        <v>75855000</v>
      </c>
      <c r="AH84" s="42"/>
      <c r="AI84" s="39">
        <f>3600000+2010000</f>
        <v>5610000</v>
      </c>
      <c r="AJ84" s="39">
        <f t="shared" si="149"/>
        <v>17505000</v>
      </c>
      <c r="AK84" s="42">
        <f t="shared" si="150"/>
        <v>-11895000</v>
      </c>
      <c r="AN84" s="42">
        <f t="shared" si="151"/>
        <v>13232898</v>
      </c>
      <c r="AO84" s="42">
        <f t="shared" si="152"/>
        <v>-7622898</v>
      </c>
      <c r="AQ84" s="39">
        <f>14400000+8040000</f>
        <v>22440000</v>
      </c>
      <c r="AR84" s="39">
        <f t="shared" si="153"/>
        <v>70020000</v>
      </c>
      <c r="AS84" s="72">
        <f t="shared" si="154"/>
        <v>-47580000</v>
      </c>
    </row>
    <row r="85" spans="1:45" ht="13.15" outlineLevel="2">
      <c r="A85" s="24"/>
      <c r="B85" s="27"/>
      <c r="C85" s="28" t="s">
        <v>100</v>
      </c>
      <c r="D85" s="27"/>
      <c r="E85" s="9">
        <v>0</v>
      </c>
      <c r="F85" s="43">
        <f>SDT!F82+TST!F82+TSG!F82+간접!F82</f>
        <v>1570000</v>
      </c>
      <c r="G85" s="43">
        <f>SDT!G82+TST!G82+TSG!G82+간접!G82</f>
        <v>1570000</v>
      </c>
      <c r="H85" s="43">
        <f>SDT!H82+TST!H82+TSG!H82+간접!H82</f>
        <v>1570000</v>
      </c>
      <c r="I85" s="34">
        <f t="shared" si="155"/>
        <v>4710000</v>
      </c>
      <c r="J85" s="43">
        <f>SDT!J82+TST!J82+TSG!J82+간접!J82</f>
        <v>1570000</v>
      </c>
      <c r="K85" s="43">
        <f>SDT!K82+TST!K82+TSG!K82+간접!K82</f>
        <v>1570000</v>
      </c>
      <c r="L85" s="43">
        <f>SDT!L82+TST!L82+TSG!L82+간접!L82</f>
        <v>1570000</v>
      </c>
      <c r="M85" s="34">
        <f t="shared" si="156"/>
        <v>4710000</v>
      </c>
      <c r="N85" s="43">
        <f>SDT!N82+TST!N82+TSG!N82+간접!N82</f>
        <v>1570000</v>
      </c>
      <c r="O85" s="43">
        <f>SDT!O82+TST!O82+TSG!O82+간접!O82</f>
        <v>1570000</v>
      </c>
      <c r="P85" s="43">
        <f>SDT!P82+TST!P82+TSG!P82+간접!P82</f>
        <v>1570000</v>
      </c>
      <c r="Q85" s="34">
        <f t="shared" si="157"/>
        <v>4710000</v>
      </c>
      <c r="R85" s="43">
        <f>SDT!R82+TST!R82+TSG!R82+간접!R82</f>
        <v>1570000</v>
      </c>
      <c r="S85" s="43">
        <f>SDT!S82+TST!S82+TSG!S82+간접!S82</f>
        <v>1570000</v>
      </c>
      <c r="T85" s="43">
        <f>SDT!T82+TST!T82+TSG!T82+간접!T82</f>
        <v>1570000</v>
      </c>
      <c r="U85" s="34">
        <f t="shared" si="143"/>
        <v>4710000</v>
      </c>
      <c r="V85" s="34">
        <f t="shared" si="144"/>
        <v>18840000</v>
      </c>
      <c r="X85" s="102">
        <f>1570000+547000+538000+23000+770887-713960</f>
        <v>2734927</v>
      </c>
      <c r="Y85" s="42">
        <f t="shared" si="89"/>
        <v>1164927</v>
      </c>
      <c r="Z85" s="145" t="s">
        <v>211</v>
      </c>
      <c r="AA85" s="39">
        <v>3000000</v>
      </c>
      <c r="AB85" s="39">
        <f t="shared" si="145"/>
        <v>1570000</v>
      </c>
      <c r="AC85" s="87">
        <f t="shared" si="146"/>
        <v>1430000</v>
      </c>
      <c r="AD85" s="72">
        <f>3719275+45440</f>
        <v>3764715</v>
      </c>
      <c r="AE85" s="72">
        <f t="shared" si="147"/>
        <v>-2194715</v>
      </c>
      <c r="AF85" s="72"/>
      <c r="AG85" s="42">
        <f t="shared" si="148"/>
        <v>20410000</v>
      </c>
      <c r="AH85" s="42"/>
      <c r="AI85" s="39">
        <v>9000000</v>
      </c>
      <c r="AJ85" s="39">
        <f t="shared" si="149"/>
        <v>4710000</v>
      </c>
      <c r="AK85" s="65">
        <f t="shared" si="150"/>
        <v>4290000</v>
      </c>
      <c r="AL85" s="66" t="s">
        <v>125</v>
      </c>
      <c r="AM85" s="79"/>
      <c r="AN85" s="42">
        <f t="shared" si="151"/>
        <v>6904715</v>
      </c>
      <c r="AO85" s="65">
        <f t="shared" si="152"/>
        <v>2095285</v>
      </c>
      <c r="AQ85" s="39">
        <v>36000000</v>
      </c>
      <c r="AR85" s="39">
        <f t="shared" si="153"/>
        <v>18840000</v>
      </c>
      <c r="AS85" s="72">
        <f t="shared" si="154"/>
        <v>17160000</v>
      </c>
    </row>
    <row r="86" spans="1:45" ht="13.15" outlineLevel="2">
      <c r="A86" s="24"/>
      <c r="B86" s="27"/>
      <c r="C86" s="28" t="s">
        <v>99</v>
      </c>
      <c r="D86" s="27"/>
      <c r="E86" s="9">
        <v>0</v>
      </c>
      <c r="F86" s="43">
        <f>SDT!F83+TST!F83+TSG!F83+간접!F83</f>
        <v>3848000</v>
      </c>
      <c r="G86" s="43">
        <f>SDT!G83+TST!G83+TSG!G83+간접!G83</f>
        <v>3848000</v>
      </c>
      <c r="H86" s="43">
        <f>SDT!H83+TST!H83+TSG!H83+간접!H83</f>
        <v>3848000</v>
      </c>
      <c r="I86" s="34">
        <f t="shared" si="155"/>
        <v>11544000</v>
      </c>
      <c r="J86" s="43">
        <f>SDT!J83+TST!J83+TSG!J83+간접!J83</f>
        <v>3848000</v>
      </c>
      <c r="K86" s="43">
        <f>SDT!K83+TST!K83+TSG!K83+간접!K83</f>
        <v>3848000</v>
      </c>
      <c r="L86" s="43">
        <f>SDT!L83+TST!L83+TSG!L83+간접!L83</f>
        <v>3848000</v>
      </c>
      <c r="M86" s="34">
        <f t="shared" si="156"/>
        <v>11544000</v>
      </c>
      <c r="N86" s="43">
        <f>SDT!N83+TST!N83+TSG!N83+간접!N83</f>
        <v>3848000</v>
      </c>
      <c r="O86" s="43">
        <f>SDT!O83+TST!O83+TSG!O83+간접!O83</f>
        <v>3848000</v>
      </c>
      <c r="P86" s="43">
        <f>SDT!P83+TST!P83+TSG!P83+간접!P83</f>
        <v>3848000</v>
      </c>
      <c r="Q86" s="34">
        <f t="shared" si="157"/>
        <v>11544000</v>
      </c>
      <c r="R86" s="43">
        <f>SDT!R83+TST!R83+TSG!R83+간접!R83</f>
        <v>3848000</v>
      </c>
      <c r="S86" s="43">
        <f>SDT!S83+TST!S83+TSG!S83+간접!S83</f>
        <v>3848000</v>
      </c>
      <c r="T86" s="43">
        <f>SDT!T83+TST!T83+TSG!T83+간접!T83</f>
        <v>3848000</v>
      </c>
      <c r="U86" s="34">
        <f t="shared" si="143"/>
        <v>11544000</v>
      </c>
      <c r="V86" s="34">
        <f t="shared" si="144"/>
        <v>46176000</v>
      </c>
      <c r="X86" s="102">
        <v>3848000</v>
      </c>
      <c r="Y86" s="42">
        <f t="shared" si="89"/>
        <v>0</v>
      </c>
      <c r="AA86" s="39">
        <v>855000</v>
      </c>
      <c r="AB86" s="39">
        <f t="shared" si="145"/>
        <v>3848000</v>
      </c>
      <c r="AC86" s="72">
        <f t="shared" si="146"/>
        <v>-2993000</v>
      </c>
      <c r="AD86" s="72">
        <f>843682</f>
        <v>843682</v>
      </c>
      <c r="AE86" s="72">
        <f t="shared" si="147"/>
        <v>3004318</v>
      </c>
      <c r="AF86" s="72"/>
      <c r="AG86" s="42">
        <f t="shared" si="148"/>
        <v>50024000</v>
      </c>
      <c r="AH86" s="42"/>
      <c r="AI86" s="39">
        <v>2565000</v>
      </c>
      <c r="AJ86" s="39">
        <f t="shared" si="149"/>
        <v>11544000</v>
      </c>
      <c r="AK86" s="42">
        <f t="shared" si="150"/>
        <v>-8979000</v>
      </c>
      <c r="AN86" s="42">
        <f>R86+S86+AD86</f>
        <v>8539682</v>
      </c>
      <c r="AO86" s="42">
        <f t="shared" si="152"/>
        <v>-5974682</v>
      </c>
      <c r="AQ86" s="39">
        <v>10260000</v>
      </c>
      <c r="AR86" s="39">
        <f t="shared" si="153"/>
        <v>46176000</v>
      </c>
      <c r="AS86" s="72">
        <f t="shared" si="154"/>
        <v>-35916000</v>
      </c>
    </row>
    <row r="87" spans="1:45" ht="13.15" outlineLevel="2">
      <c r="A87" s="24"/>
      <c r="B87" s="27"/>
      <c r="C87" s="28" t="s">
        <v>101</v>
      </c>
      <c r="D87" s="27"/>
      <c r="E87" s="9">
        <v>0</v>
      </c>
      <c r="F87" s="43">
        <f>SDT!F84+TST!F84+TSG!F84+간접!F84</f>
        <v>240000</v>
      </c>
      <c r="G87" s="43">
        <f>SDT!G84+TST!G84+TSG!G84+간접!G84</f>
        <v>240000</v>
      </c>
      <c r="H87" s="43">
        <f>SDT!H84+TST!H84+TSG!H84+간접!H84</f>
        <v>240000</v>
      </c>
      <c r="I87" s="34">
        <f t="shared" si="155"/>
        <v>720000</v>
      </c>
      <c r="J87" s="43">
        <f>SDT!J84+TST!J84+TSG!J84+간접!J84</f>
        <v>240000</v>
      </c>
      <c r="K87" s="43">
        <f>SDT!K84+TST!K84+TSG!K84+간접!K84</f>
        <v>240000</v>
      </c>
      <c r="L87" s="43">
        <f>SDT!L84+TST!L84+TSG!L84+간접!L84</f>
        <v>240000</v>
      </c>
      <c r="M87" s="34">
        <f t="shared" si="156"/>
        <v>720000</v>
      </c>
      <c r="N87" s="43">
        <f>SDT!N84+TST!N84+TSG!N84+간접!N84</f>
        <v>240000</v>
      </c>
      <c r="O87" s="43">
        <f>SDT!O84+TST!O84+TSG!O84+간접!O84</f>
        <v>240000</v>
      </c>
      <c r="P87" s="43">
        <f>SDT!P84+TST!P84+TSG!P84+간접!P84</f>
        <v>240000</v>
      </c>
      <c r="Q87" s="34">
        <f t="shared" si="157"/>
        <v>720000</v>
      </c>
      <c r="R87" s="43">
        <f>SDT!R84+TST!R84+TSG!R84+간접!R84</f>
        <v>240000</v>
      </c>
      <c r="S87" s="43">
        <f>SDT!S84+TST!S84+TSG!S84+간접!S84</f>
        <v>240000</v>
      </c>
      <c r="T87" s="43">
        <f>SDT!T84+TST!T84+TSG!T84+간접!T84</f>
        <v>240000</v>
      </c>
      <c r="U87" s="34">
        <f t="shared" si="143"/>
        <v>720000</v>
      </c>
      <c r="V87" s="34">
        <f t="shared" si="144"/>
        <v>2880000</v>
      </c>
      <c r="X87" s="102">
        <f>240000</f>
        <v>240000</v>
      </c>
      <c r="Y87" s="42">
        <f t="shared" si="89"/>
        <v>0</v>
      </c>
      <c r="Z87" s="3" t="s">
        <v>87</v>
      </c>
      <c r="AA87" s="39">
        <v>300000</v>
      </c>
      <c r="AB87" s="39">
        <f t="shared" si="145"/>
        <v>240000</v>
      </c>
      <c r="AC87" s="72">
        <f t="shared" si="146"/>
        <v>60000</v>
      </c>
      <c r="AD87" s="72">
        <f>243500+150000</f>
        <v>393500</v>
      </c>
      <c r="AE87" s="72">
        <f t="shared" si="147"/>
        <v>-153500</v>
      </c>
      <c r="AF87" s="72"/>
      <c r="AG87" s="42">
        <f t="shared" si="148"/>
        <v>3120000</v>
      </c>
      <c r="AH87" s="42"/>
      <c r="AI87" s="39">
        <v>900000</v>
      </c>
      <c r="AJ87" s="39">
        <f t="shared" si="149"/>
        <v>720000</v>
      </c>
      <c r="AK87" s="42">
        <f t="shared" si="150"/>
        <v>180000</v>
      </c>
      <c r="AN87" s="42">
        <f>R87+S87+AD87</f>
        <v>873500</v>
      </c>
      <c r="AO87" s="42">
        <f t="shared" si="152"/>
        <v>26500</v>
      </c>
      <c r="AQ87" s="39">
        <v>3600000</v>
      </c>
      <c r="AR87" s="39">
        <f t="shared" si="153"/>
        <v>2880000</v>
      </c>
      <c r="AS87" s="72">
        <f t="shared" si="154"/>
        <v>720000</v>
      </c>
    </row>
    <row r="88" spans="1:45" ht="13.15" outlineLevel="2">
      <c r="A88" s="24"/>
      <c r="B88" s="27"/>
      <c r="C88" s="28" t="s">
        <v>41</v>
      </c>
      <c r="D88" s="27"/>
      <c r="E88" s="9">
        <v>0</v>
      </c>
      <c r="F88" s="43">
        <f>SDT!F85+TST!F85+TSG!F85+간접!F85</f>
        <v>196000</v>
      </c>
      <c r="G88" s="43">
        <f>SDT!G85+TST!G85+TSG!G85+간접!G85</f>
        <v>196000</v>
      </c>
      <c r="H88" s="43">
        <f>SDT!H85+TST!H85+TSG!H85+간접!H85</f>
        <v>196000</v>
      </c>
      <c r="I88" s="34">
        <f t="shared" si="155"/>
        <v>588000</v>
      </c>
      <c r="J88" s="43">
        <f>SDT!J85+TST!J85+TSG!J85+간접!J85</f>
        <v>196000</v>
      </c>
      <c r="K88" s="43">
        <f>SDT!K85+TST!K85+TSG!K85+간접!K85</f>
        <v>196000</v>
      </c>
      <c r="L88" s="43">
        <f>SDT!L85+TST!L85+TSG!L85+간접!L85</f>
        <v>196000</v>
      </c>
      <c r="M88" s="34">
        <f t="shared" si="156"/>
        <v>588000</v>
      </c>
      <c r="N88" s="43">
        <f>SDT!N85+TST!N85+TSG!N85+간접!N85</f>
        <v>196000</v>
      </c>
      <c r="O88" s="43">
        <f>SDT!O85+TST!O85+TSG!O85+간접!O85</f>
        <v>196000</v>
      </c>
      <c r="P88" s="43">
        <f>SDT!P85+TST!P85+TSG!P85+간접!P85</f>
        <v>196000</v>
      </c>
      <c r="Q88" s="34">
        <f t="shared" si="157"/>
        <v>588000</v>
      </c>
      <c r="R88" s="43">
        <f>SDT!R85+TST!R85+TSG!R85+간접!R85</f>
        <v>196000</v>
      </c>
      <c r="S88" s="43">
        <f>SDT!S85+TST!S85+TSG!S85+간접!S85</f>
        <v>196000</v>
      </c>
      <c r="T88" s="43">
        <f>SDT!T85+TST!T85+TSG!T85+간접!T85</f>
        <v>196000</v>
      </c>
      <c r="U88" s="34">
        <f t="shared" si="143"/>
        <v>588000</v>
      </c>
      <c r="V88" s="34">
        <f t="shared" si="144"/>
        <v>2352000</v>
      </c>
      <c r="X88" s="102">
        <v>195651</v>
      </c>
      <c r="Y88" s="42">
        <f t="shared" si="89"/>
        <v>-349</v>
      </c>
      <c r="AA88" s="39">
        <v>250000</v>
      </c>
      <c r="AB88" s="39">
        <f t="shared" si="145"/>
        <v>196000</v>
      </c>
      <c r="AC88" s="72">
        <f t="shared" si="146"/>
        <v>54000</v>
      </c>
      <c r="AD88" s="72">
        <f>172532</f>
        <v>172532</v>
      </c>
      <c r="AE88" s="72">
        <f t="shared" si="147"/>
        <v>23468</v>
      </c>
      <c r="AF88" s="72"/>
      <c r="AG88" s="42">
        <f>V88+AB88</f>
        <v>2548000</v>
      </c>
      <c r="AH88" s="42"/>
      <c r="AI88" s="39">
        <v>750000</v>
      </c>
      <c r="AJ88" s="39">
        <f t="shared" si="149"/>
        <v>588000</v>
      </c>
      <c r="AK88" s="42">
        <f t="shared" si="150"/>
        <v>162000</v>
      </c>
      <c r="AN88" s="42">
        <f t="shared" si="151"/>
        <v>564532</v>
      </c>
      <c r="AO88" s="42">
        <f t="shared" si="152"/>
        <v>185468</v>
      </c>
      <c r="AQ88" s="39">
        <v>3000000</v>
      </c>
      <c r="AR88" s="39">
        <f t="shared" si="153"/>
        <v>2352000</v>
      </c>
      <c r="AS88" s="72">
        <f t="shared" si="154"/>
        <v>648000</v>
      </c>
    </row>
    <row r="89" spans="1:45" ht="13.15" outlineLevel="2">
      <c r="A89" s="24"/>
      <c r="B89" s="27"/>
      <c r="C89" s="28" t="s">
        <v>114</v>
      </c>
      <c r="D89" s="27"/>
      <c r="E89" s="10"/>
      <c r="F89" s="43">
        <f>SDT!F86+TST!F86+TSG!F86+간접!F86</f>
        <v>863000</v>
      </c>
      <c r="G89" s="43">
        <f>SDT!G86+TST!G86+TSG!G86+간접!G86</f>
        <v>863000</v>
      </c>
      <c r="H89" s="43">
        <f>SDT!H86+TST!H86+TSG!H86+간접!H86</f>
        <v>863000</v>
      </c>
      <c r="I89" s="34">
        <f t="shared" si="155"/>
        <v>2589000</v>
      </c>
      <c r="J89" s="43">
        <f>SDT!J86+TST!J86+TSG!J86+간접!J86</f>
        <v>863000</v>
      </c>
      <c r="K89" s="43">
        <f>SDT!K86+TST!K86+TSG!K86+간접!K86</f>
        <v>863000</v>
      </c>
      <c r="L89" s="43">
        <f>SDT!L86+TST!L86+TSG!L86+간접!L86</f>
        <v>863000</v>
      </c>
      <c r="M89" s="34">
        <f t="shared" si="156"/>
        <v>2589000</v>
      </c>
      <c r="N89" s="43">
        <f>SDT!N86+TST!N86+TSG!N86+간접!N86</f>
        <v>863000</v>
      </c>
      <c r="O89" s="43">
        <f>SDT!O86+TST!O86+TSG!O86+간접!O86</f>
        <v>863000</v>
      </c>
      <c r="P89" s="43">
        <f>SDT!P86+TST!P86+TSG!P86+간접!P86</f>
        <v>863000</v>
      </c>
      <c r="Q89" s="34">
        <f t="shared" si="157"/>
        <v>2589000</v>
      </c>
      <c r="R89" s="43">
        <f>SDT!R86+TST!R86+TSG!R86+간접!R86</f>
        <v>863000</v>
      </c>
      <c r="S89" s="43">
        <f>SDT!S86+TST!S86+TSG!S86+간접!S86</f>
        <v>863000</v>
      </c>
      <c r="T89" s="43">
        <f>SDT!T86+TST!T86+TSG!T86+간접!T86</f>
        <v>863000</v>
      </c>
      <c r="U89" s="34">
        <f t="shared" si="143"/>
        <v>2589000</v>
      </c>
      <c r="V89" s="34">
        <f t="shared" si="144"/>
        <v>10356000</v>
      </c>
      <c r="X89" s="42">
        <v>863465</v>
      </c>
      <c r="Y89" s="42">
        <f t="shared" si="89"/>
        <v>465</v>
      </c>
      <c r="AA89" s="39">
        <v>600000</v>
      </c>
      <c r="AB89" s="39">
        <f t="shared" si="145"/>
        <v>863000</v>
      </c>
      <c r="AC89" s="72">
        <f t="shared" si="146"/>
        <v>-263000</v>
      </c>
      <c r="AD89" s="72">
        <f>564755</f>
        <v>564755</v>
      </c>
      <c r="AE89" s="76">
        <f t="shared" si="147"/>
        <v>298245</v>
      </c>
      <c r="AF89" s="72"/>
      <c r="AG89" s="42">
        <f t="shared" si="148"/>
        <v>11219000</v>
      </c>
      <c r="AH89" s="42"/>
      <c r="AI89" s="39">
        <v>1800000</v>
      </c>
      <c r="AJ89" s="39">
        <f t="shared" si="149"/>
        <v>2589000</v>
      </c>
      <c r="AK89" s="42">
        <f t="shared" si="150"/>
        <v>-789000</v>
      </c>
      <c r="AN89" s="42">
        <f t="shared" si="151"/>
        <v>2290755</v>
      </c>
      <c r="AO89" s="42">
        <f t="shared" si="152"/>
        <v>-490755</v>
      </c>
      <c r="AQ89" s="39">
        <v>7200000</v>
      </c>
      <c r="AR89" s="39">
        <f t="shared" si="153"/>
        <v>10356000</v>
      </c>
      <c r="AS89" s="72">
        <f t="shared" si="154"/>
        <v>-3156000</v>
      </c>
    </row>
    <row r="90" spans="1:45" s="4" customFormat="1" ht="13.15" outlineLevel="2">
      <c r="A90" s="24"/>
      <c r="B90" s="27"/>
      <c r="C90" s="28" t="s">
        <v>105</v>
      </c>
      <c r="D90" s="27"/>
      <c r="E90" s="8">
        <v>0</v>
      </c>
      <c r="F90" s="43">
        <f>SDT!F87+TST!F87+TSG!F87+간접!F87</f>
        <v>3210000</v>
      </c>
      <c r="G90" s="43">
        <f>SDT!G87+TST!G87+TSG!G87+간접!G87</f>
        <v>2000000</v>
      </c>
      <c r="H90" s="43">
        <f>SDT!H87+TST!H87+TSG!H87+간접!H87</f>
        <v>2000000</v>
      </c>
      <c r="I90" s="34">
        <f t="shared" si="155"/>
        <v>7210000</v>
      </c>
      <c r="J90" s="43">
        <f>SDT!J87+TST!J87+TSG!J87+간접!J87</f>
        <v>2000000</v>
      </c>
      <c r="K90" s="43">
        <f>SDT!K87+TST!K87+TSG!K87+간접!K87</f>
        <v>2000000</v>
      </c>
      <c r="L90" s="43">
        <f>SDT!L87+TST!L87+TSG!L87+간접!L87</f>
        <v>2000000</v>
      </c>
      <c r="M90" s="34">
        <f t="shared" si="156"/>
        <v>6000000</v>
      </c>
      <c r="N90" s="43">
        <f>SDT!N87+TST!N87+TSG!N87+간접!N87</f>
        <v>2000000</v>
      </c>
      <c r="O90" s="43">
        <f>SDT!O87+TST!O87+TSG!O87+간접!O87</f>
        <v>2000000</v>
      </c>
      <c r="P90" s="43">
        <f>SDT!P87+TST!P87+TSG!P87+간접!P87</f>
        <v>2000000</v>
      </c>
      <c r="Q90" s="34">
        <f t="shared" si="157"/>
        <v>6000000</v>
      </c>
      <c r="R90" s="43">
        <f>SDT!R87+TST!R87+TSG!R87+간접!R87</f>
        <v>2000000</v>
      </c>
      <c r="S90" s="43">
        <f>SDT!S87+TST!S87+TSG!S87+간접!S87</f>
        <v>2000000</v>
      </c>
      <c r="T90" s="43">
        <f>SDT!T87+TST!T87+TSG!T87+간접!T87</f>
        <v>2000000</v>
      </c>
      <c r="U90" s="34">
        <f t="shared" si="143"/>
        <v>6000000</v>
      </c>
      <c r="V90" s="34">
        <f t="shared" si="144"/>
        <v>25210000</v>
      </c>
      <c r="X90" s="42">
        <f>3209500</f>
        <v>3209500</v>
      </c>
      <c r="Y90" s="42">
        <f t="shared" si="89"/>
        <v>-500</v>
      </c>
      <c r="AA90" s="41"/>
      <c r="AB90" s="39">
        <f t="shared" si="145"/>
        <v>2000000</v>
      </c>
      <c r="AC90" s="72">
        <f t="shared" si="146"/>
        <v>-2000000</v>
      </c>
      <c r="AD90" s="72">
        <v>0</v>
      </c>
      <c r="AE90" s="72">
        <f t="shared" si="147"/>
        <v>2000000</v>
      </c>
      <c r="AF90" s="74"/>
      <c r="AG90" s="42">
        <f t="shared" si="148"/>
        <v>27210000</v>
      </c>
      <c r="AH90" s="42"/>
      <c r="AI90" s="41">
        <v>0</v>
      </c>
      <c r="AJ90" s="39">
        <f t="shared" si="149"/>
        <v>6000000</v>
      </c>
      <c r="AK90" s="42">
        <f t="shared" si="150"/>
        <v>-6000000</v>
      </c>
      <c r="AN90" s="42">
        <f t="shared" si="151"/>
        <v>4000000</v>
      </c>
      <c r="AO90" s="42">
        <f t="shared" si="152"/>
        <v>-4000000</v>
      </c>
      <c r="AQ90" s="41">
        <v>3200000</v>
      </c>
      <c r="AR90" s="39">
        <f t="shared" si="153"/>
        <v>25210000</v>
      </c>
      <c r="AS90" s="72">
        <f t="shared" si="154"/>
        <v>-22010000</v>
      </c>
    </row>
    <row r="91" spans="1:45" ht="13.15" outlineLevel="2">
      <c r="A91" s="24"/>
      <c r="B91" s="30" t="s">
        <v>14</v>
      </c>
      <c r="C91" s="30"/>
      <c r="D91" s="30"/>
      <c r="E91" s="9"/>
      <c r="F91" s="99">
        <f>SUM(F83:F90)</f>
        <v>21062000</v>
      </c>
      <c r="G91" s="99">
        <f>SUM(G83:G90)</f>
        <v>19852000</v>
      </c>
      <c r="H91" s="99">
        <f t="shared" ref="H91" si="158">SUM(H83:H90)</f>
        <v>19852000</v>
      </c>
      <c r="I91" s="35">
        <f t="shared" ref="I91:U91" si="159">SUM(I83:I90)</f>
        <v>60766000</v>
      </c>
      <c r="J91" s="99">
        <f>SUM(J83:J90)</f>
        <v>19852000</v>
      </c>
      <c r="K91" s="99">
        <f t="shared" ref="K91:L91" si="160">SUM(K83:K90)</f>
        <v>19852000</v>
      </c>
      <c r="L91" s="99">
        <f t="shared" si="160"/>
        <v>19852000</v>
      </c>
      <c r="M91" s="35">
        <f t="shared" si="159"/>
        <v>59556000</v>
      </c>
      <c r="N91" s="99">
        <f>SUM(N83:N90)</f>
        <v>19852000</v>
      </c>
      <c r="O91" s="99">
        <f t="shared" ref="O91:P91" si="161">SUM(O83:O90)</f>
        <v>19852000</v>
      </c>
      <c r="P91" s="99">
        <f t="shared" si="161"/>
        <v>19852000</v>
      </c>
      <c r="Q91" s="35">
        <f t="shared" si="159"/>
        <v>59556000</v>
      </c>
      <c r="R91" s="99">
        <f>SUM(R83:R90)</f>
        <v>19852000</v>
      </c>
      <c r="S91" s="99">
        <f t="shared" ref="S91:T91" si="162">SUM(S83:S90)</f>
        <v>19852000</v>
      </c>
      <c r="T91" s="99">
        <f t="shared" si="162"/>
        <v>19852000</v>
      </c>
      <c r="U91" s="35">
        <f t="shared" si="159"/>
        <v>59556000</v>
      </c>
      <c r="V91" s="35">
        <f t="shared" si="144"/>
        <v>239434000</v>
      </c>
      <c r="X91" s="48">
        <f>SUM(X83:X90)</f>
        <v>22227230</v>
      </c>
      <c r="Y91" s="95">
        <f t="shared" si="89"/>
        <v>1165230</v>
      </c>
      <c r="AA91" s="84">
        <f>SUM(AA83:AA90)</f>
        <v>11575000</v>
      </c>
      <c r="AB91" s="48">
        <f>SUM(AB83:AB90)</f>
        <v>19852000</v>
      </c>
      <c r="AC91" s="48">
        <f>SUM(AC83:AC90)</f>
        <v>-8277000</v>
      </c>
      <c r="AD91" s="48">
        <f>SUM(AD83:AD90)</f>
        <v>12002082</v>
      </c>
      <c r="AE91" s="48">
        <f>SUM(AE83:AE90)</f>
        <v>7849918</v>
      </c>
      <c r="AF91" s="48"/>
      <c r="AG91" s="42">
        <f t="shared" si="148"/>
        <v>259286000</v>
      </c>
      <c r="AH91" s="42"/>
      <c r="AI91" s="48">
        <f>SUM(AI83:AI90)</f>
        <v>34725000</v>
      </c>
      <c r="AJ91" s="48">
        <f>SUM(AJ83:AJ90)</f>
        <v>59556000</v>
      </c>
      <c r="AK91" s="63">
        <f>SUM(AK83:AK90)</f>
        <v>-24831000</v>
      </c>
      <c r="AN91" s="48">
        <f>SUM(AN83:AN90)</f>
        <v>51706082</v>
      </c>
      <c r="AO91" s="63">
        <f>SUM(AO83:AO90)</f>
        <v>-16981082</v>
      </c>
      <c r="AQ91" s="84">
        <f>SUM(AQ83:AQ90)</f>
        <v>142100000</v>
      </c>
      <c r="AR91" s="48">
        <f>SUM(AR83:AR90)</f>
        <v>239434000</v>
      </c>
      <c r="AS91" s="48">
        <f>SUM(AS83:AS90)</f>
        <v>-97334000</v>
      </c>
    </row>
    <row r="92" spans="1:45" ht="13.15" outlineLevel="1">
      <c r="A92" s="24"/>
      <c r="B92" s="24" t="s">
        <v>15</v>
      </c>
      <c r="C92" s="24"/>
      <c r="D92" s="24"/>
      <c r="E92" s="9">
        <v>0</v>
      </c>
      <c r="F92" s="97">
        <v>0</v>
      </c>
      <c r="G92" s="97">
        <v>0</v>
      </c>
      <c r="H92" s="97">
        <v>0</v>
      </c>
      <c r="I92" s="35">
        <v>0</v>
      </c>
      <c r="J92" s="97">
        <v>0</v>
      </c>
      <c r="K92" s="97">
        <v>0</v>
      </c>
      <c r="L92" s="97">
        <v>0</v>
      </c>
      <c r="M92" s="35">
        <v>0</v>
      </c>
      <c r="N92" s="97">
        <v>0</v>
      </c>
      <c r="O92" s="97">
        <v>0</v>
      </c>
      <c r="P92" s="97">
        <v>0</v>
      </c>
      <c r="Q92" s="35">
        <v>0</v>
      </c>
      <c r="R92" s="97">
        <v>0</v>
      </c>
      <c r="S92" s="97">
        <v>0</v>
      </c>
      <c r="T92" s="97">
        <v>0</v>
      </c>
      <c r="U92" s="35">
        <v>0</v>
      </c>
      <c r="V92" s="35">
        <f t="shared" si="144"/>
        <v>0</v>
      </c>
      <c r="X92" s="39" t="s">
        <v>87</v>
      </c>
      <c r="Y92" s="42"/>
      <c r="AD92" s="72"/>
      <c r="AE92" s="72"/>
      <c r="AF92" s="72"/>
      <c r="AK92" s="39"/>
      <c r="AQ92" s="39"/>
      <c r="AR92" s="39"/>
      <c r="AS92" s="72"/>
    </row>
    <row r="93" spans="1:45" ht="13.15" outlineLevel="2">
      <c r="A93" s="24"/>
      <c r="B93" s="26" t="s">
        <v>16</v>
      </c>
      <c r="C93" s="27"/>
      <c r="D93" s="27"/>
      <c r="E93" s="9">
        <v>0</v>
      </c>
      <c r="F93" s="98"/>
      <c r="G93" s="98"/>
      <c r="H93" s="98"/>
      <c r="I93" s="36"/>
      <c r="J93" s="98"/>
      <c r="K93" s="98"/>
      <c r="L93" s="98"/>
      <c r="M93" s="36"/>
      <c r="N93" s="98"/>
      <c r="O93" s="98"/>
      <c r="P93" s="98"/>
      <c r="Q93" s="36"/>
      <c r="R93" s="98"/>
      <c r="S93" s="98"/>
      <c r="T93" s="98"/>
      <c r="U93" s="36"/>
      <c r="V93" s="36"/>
      <c r="X93" s="72"/>
      <c r="Y93" s="42">
        <f t="shared" ref="Y93:Y116" si="163">X93-F93</f>
        <v>0</v>
      </c>
      <c r="AD93" s="72"/>
      <c r="AE93" s="72"/>
      <c r="AF93" s="72"/>
      <c r="AK93" s="39"/>
      <c r="AQ93" s="39"/>
      <c r="AR93" s="39"/>
      <c r="AS93" s="72"/>
    </row>
    <row r="94" spans="1:45" ht="13.15" outlineLevel="2">
      <c r="A94" s="24"/>
      <c r="B94" s="27"/>
      <c r="C94" s="28" t="s">
        <v>42</v>
      </c>
      <c r="D94" s="27"/>
      <c r="E94" s="9">
        <v>0</v>
      </c>
      <c r="F94" s="43">
        <f>SDT!F91+TST!F91+TSG!F91+간접!F91</f>
        <v>729000</v>
      </c>
      <c r="G94" s="43">
        <f>SDT!G91+TST!G91+TSG!G91+간접!G91</f>
        <v>710000</v>
      </c>
      <c r="H94" s="43">
        <f>SDT!H91+TST!H91+TSG!H91+간접!H91</f>
        <v>710000</v>
      </c>
      <c r="I94" s="34">
        <f t="shared" ref="I94" si="164">SUM(F94:H94)</f>
        <v>2149000</v>
      </c>
      <c r="J94" s="43">
        <f>SDT!J91+TST!J91+TSG!J91+간접!J91</f>
        <v>710000</v>
      </c>
      <c r="K94" s="43">
        <f>SDT!K91+TST!K91+TSG!K91+간접!K91</f>
        <v>710000</v>
      </c>
      <c r="L94" s="43">
        <f>SDT!L91+TST!L91+TSG!L91+간접!L91</f>
        <v>710000</v>
      </c>
      <c r="M94" s="34">
        <f t="shared" ref="M94" si="165">SUM(J94:L94)</f>
        <v>2130000</v>
      </c>
      <c r="N94" s="43">
        <f>SDT!N91+TST!N91+TSG!N91+간접!N91</f>
        <v>710000</v>
      </c>
      <c r="O94" s="43">
        <f>SDT!O91+TST!O91+TSG!O91+간접!O91</f>
        <v>710000</v>
      </c>
      <c r="P94" s="43">
        <f>SDT!P91+TST!P91+TSG!P91+간접!P91</f>
        <v>710000</v>
      </c>
      <c r="Q94" s="34">
        <f t="shared" ref="Q94" si="166">SUM(N94:P94)</f>
        <v>2130000</v>
      </c>
      <c r="R94" s="43">
        <f>SDT!R91+TST!R91+TSG!R91+간접!R91</f>
        <v>710000</v>
      </c>
      <c r="S94" s="43">
        <f>SDT!S91+TST!S91+TSG!S91+간접!S91</f>
        <v>710000</v>
      </c>
      <c r="T94" s="43">
        <f>SDT!T91+TST!T91+TSG!T91+간접!T91</f>
        <v>710000</v>
      </c>
      <c r="U94" s="34">
        <f t="shared" ref="U94:U99" si="167">SUM(R94:T94)</f>
        <v>2130000</v>
      </c>
      <c r="V94" s="34">
        <f t="shared" ref="V94:V100" si="168">I94+M94+Q94+U94</f>
        <v>8539000</v>
      </c>
      <c r="X94" s="72">
        <v>728564</v>
      </c>
      <c r="Y94" s="42">
        <f t="shared" si="163"/>
        <v>-436</v>
      </c>
      <c r="AA94" s="39">
        <v>125000</v>
      </c>
      <c r="AB94" s="39">
        <f t="shared" ref="AB94:AB99" si="169">T94</f>
        <v>710000</v>
      </c>
      <c r="AC94" s="87">
        <f t="shared" ref="AC94:AC99" si="170">AA94-AB94</f>
        <v>-585000</v>
      </c>
      <c r="AD94" s="72">
        <f>159240</f>
        <v>159240</v>
      </c>
      <c r="AE94" s="72">
        <f t="shared" ref="AE94:AE99" si="171">AB94-AD94</f>
        <v>550760</v>
      </c>
      <c r="AF94" s="72"/>
      <c r="AG94" s="42">
        <f t="shared" ref="AG94:AG100" si="172">V94+AB94</f>
        <v>9249000</v>
      </c>
      <c r="AH94" s="42"/>
      <c r="AI94" s="39">
        <v>375000</v>
      </c>
      <c r="AJ94" s="39">
        <f t="shared" ref="AJ94:AJ99" si="173">R94+S94+AB94</f>
        <v>2130000</v>
      </c>
      <c r="AK94" s="42">
        <f t="shared" ref="AK94:AK99" si="174">AI94-AJ94</f>
        <v>-1755000</v>
      </c>
      <c r="AN94" s="42">
        <f t="shared" ref="AN94:AN99" si="175">R94+S94+AD94</f>
        <v>1579240</v>
      </c>
      <c r="AO94" s="42">
        <f t="shared" ref="AO94:AO99" si="176">AI94-AN94</f>
        <v>-1204240</v>
      </c>
      <c r="AQ94" s="39">
        <v>1500000</v>
      </c>
      <c r="AR94" s="39">
        <f t="shared" ref="AR94:AR99" si="177">V94</f>
        <v>8539000</v>
      </c>
      <c r="AS94" s="87">
        <f t="shared" ref="AS94:AS99" si="178">AQ94-AR94</f>
        <v>-7039000</v>
      </c>
    </row>
    <row r="95" spans="1:45" ht="13.15" outlineLevel="2">
      <c r="A95" s="24"/>
      <c r="B95" s="27"/>
      <c r="C95" s="28" t="s">
        <v>43</v>
      </c>
      <c r="D95" s="27"/>
      <c r="E95" s="9">
        <v>0</v>
      </c>
      <c r="F95" s="43">
        <f>SDT!F92+TST!F92+TSG!F92+간접!F92</f>
        <v>775000</v>
      </c>
      <c r="G95" s="43">
        <f>SDT!G92+TST!G92+TSG!G92+간접!G92</f>
        <v>710000</v>
      </c>
      <c r="H95" s="43">
        <f>SDT!H92+TST!H92+TSG!H92+간접!H92</f>
        <v>710000</v>
      </c>
      <c r="I95" s="34">
        <f t="shared" ref="I95:I99" si="179">SUM(F95:H95)</f>
        <v>2195000</v>
      </c>
      <c r="J95" s="43">
        <f>SDT!J92+TST!J92+TSG!J92+간접!J92</f>
        <v>710000</v>
      </c>
      <c r="K95" s="43">
        <f>SDT!K92+TST!K92+TSG!K92+간접!K92</f>
        <v>710000</v>
      </c>
      <c r="L95" s="43">
        <f>SDT!L92+TST!L92+TSG!L92+간접!L92</f>
        <v>710000</v>
      </c>
      <c r="M95" s="34">
        <f t="shared" ref="M95:M99" si="180">SUM(J95:L95)</f>
        <v>2130000</v>
      </c>
      <c r="N95" s="43">
        <f>SDT!N92+TST!N92+TSG!N92+간접!N92</f>
        <v>710000</v>
      </c>
      <c r="O95" s="43">
        <f>SDT!O92+TST!O92+TSG!O92+간접!O92</f>
        <v>710000</v>
      </c>
      <c r="P95" s="43">
        <f>SDT!P92+TST!P92+TSG!P92+간접!P92</f>
        <v>710000</v>
      </c>
      <c r="Q95" s="34">
        <f t="shared" ref="Q95:Q99" si="181">SUM(N95:P95)</f>
        <v>2130000</v>
      </c>
      <c r="R95" s="43">
        <f>SDT!R92+TST!R92+TSG!R92+간접!R92</f>
        <v>710000</v>
      </c>
      <c r="S95" s="43">
        <f>SDT!S92+TST!S92+TSG!S92+간접!S92</f>
        <v>710000</v>
      </c>
      <c r="T95" s="43">
        <f>SDT!T92+TST!T92+TSG!T92+간접!T92</f>
        <v>710000</v>
      </c>
      <c r="U95" s="34">
        <f t="shared" si="167"/>
        <v>2130000</v>
      </c>
      <c r="V95" s="34">
        <f t="shared" si="168"/>
        <v>8585000</v>
      </c>
      <c r="X95" s="72">
        <v>774013</v>
      </c>
      <c r="Y95" s="42">
        <f t="shared" si="163"/>
        <v>-987</v>
      </c>
      <c r="AA95" s="39">
        <v>668000</v>
      </c>
      <c r="AB95" s="39">
        <f t="shared" si="169"/>
        <v>710000</v>
      </c>
      <c r="AC95" s="72">
        <f t="shared" si="170"/>
        <v>-42000</v>
      </c>
      <c r="AD95" s="72">
        <f>605243+15750</f>
        <v>620993</v>
      </c>
      <c r="AE95" s="72">
        <f t="shared" si="171"/>
        <v>89007</v>
      </c>
      <c r="AF95" s="72"/>
      <c r="AG95" s="42">
        <f t="shared" si="172"/>
        <v>9295000</v>
      </c>
      <c r="AH95" s="42"/>
      <c r="AI95" s="39">
        <v>2000000</v>
      </c>
      <c r="AJ95" s="39">
        <f t="shared" si="173"/>
        <v>2130000</v>
      </c>
      <c r="AK95" s="42">
        <f t="shared" si="174"/>
        <v>-130000</v>
      </c>
      <c r="AN95" s="42">
        <f t="shared" si="175"/>
        <v>2040993</v>
      </c>
      <c r="AO95" s="42">
        <f t="shared" si="176"/>
        <v>-40993</v>
      </c>
      <c r="AQ95" s="39">
        <v>8000000</v>
      </c>
      <c r="AR95" s="39">
        <f t="shared" si="177"/>
        <v>8585000</v>
      </c>
      <c r="AS95" s="72">
        <f t="shared" si="178"/>
        <v>-585000</v>
      </c>
    </row>
    <row r="96" spans="1:45" ht="13.15" outlineLevel="2">
      <c r="A96" s="24"/>
      <c r="B96" s="27"/>
      <c r="C96" s="28" t="s">
        <v>53</v>
      </c>
      <c r="D96" s="27"/>
      <c r="E96" s="9">
        <v>0</v>
      </c>
      <c r="F96" s="43">
        <f>SDT!F93+TST!F93+TSG!F93+간접!F93</f>
        <v>43000</v>
      </c>
      <c r="G96" s="43">
        <f>SDT!G93+TST!G93+TSG!G93+간접!G93</f>
        <v>43000</v>
      </c>
      <c r="H96" s="43">
        <f>SDT!H93+TST!H93+TSG!H93+간접!H93</f>
        <v>43000</v>
      </c>
      <c r="I96" s="34">
        <f t="shared" si="179"/>
        <v>129000</v>
      </c>
      <c r="J96" s="43">
        <f>SDT!J93+TST!J93+TSG!J93+간접!J93</f>
        <v>43000</v>
      </c>
      <c r="K96" s="43">
        <f>SDT!K93+TST!K93+TSG!K93+간접!K93</f>
        <v>43000</v>
      </c>
      <c r="L96" s="43">
        <f>SDT!L93+TST!L93+TSG!L93+간접!L93</f>
        <v>43000</v>
      </c>
      <c r="M96" s="34">
        <f t="shared" si="180"/>
        <v>129000</v>
      </c>
      <c r="N96" s="43">
        <f>SDT!N93+TST!N93+TSG!N93+간접!N93</f>
        <v>43000</v>
      </c>
      <c r="O96" s="43">
        <f>SDT!O93+TST!O93+TSG!O93+간접!O93</f>
        <v>43000</v>
      </c>
      <c r="P96" s="43">
        <f>SDT!P93+TST!P93+TSG!P93+간접!P93</f>
        <v>43000</v>
      </c>
      <c r="Q96" s="34">
        <f t="shared" si="181"/>
        <v>129000</v>
      </c>
      <c r="R96" s="43">
        <f>SDT!R93+TST!R93+TSG!R93+간접!R93</f>
        <v>43000</v>
      </c>
      <c r="S96" s="43">
        <f>SDT!S93+TST!S93+TSG!S93+간접!S93</f>
        <v>43000</v>
      </c>
      <c r="T96" s="43">
        <f>SDT!T93+TST!T93+TSG!T93+간접!T93</f>
        <v>43000</v>
      </c>
      <c r="U96" s="34">
        <f t="shared" si="167"/>
        <v>129000</v>
      </c>
      <c r="V96" s="34">
        <f t="shared" si="168"/>
        <v>516000</v>
      </c>
      <c r="X96" s="72">
        <v>42600</v>
      </c>
      <c r="Y96" s="42">
        <f t="shared" si="163"/>
        <v>-400</v>
      </c>
      <c r="AA96" s="39">
        <v>84000</v>
      </c>
      <c r="AB96" s="39">
        <f t="shared" si="169"/>
        <v>43000</v>
      </c>
      <c r="AC96" s="72">
        <f t="shared" si="170"/>
        <v>41000</v>
      </c>
      <c r="AD96" s="72"/>
      <c r="AE96" s="72">
        <f t="shared" si="171"/>
        <v>43000</v>
      </c>
      <c r="AF96" s="72"/>
      <c r="AG96" s="42">
        <f t="shared" si="172"/>
        <v>559000</v>
      </c>
      <c r="AH96" s="42"/>
      <c r="AI96" s="39">
        <v>250000</v>
      </c>
      <c r="AJ96" s="39">
        <f t="shared" si="173"/>
        <v>129000</v>
      </c>
      <c r="AK96" s="42">
        <f t="shared" si="174"/>
        <v>121000</v>
      </c>
      <c r="AN96" s="42">
        <f t="shared" si="175"/>
        <v>86000</v>
      </c>
      <c r="AO96" s="42">
        <f t="shared" si="176"/>
        <v>164000</v>
      </c>
      <c r="AQ96" s="39">
        <v>1000000</v>
      </c>
      <c r="AR96" s="39">
        <f t="shared" si="177"/>
        <v>516000</v>
      </c>
      <c r="AS96" s="72">
        <f t="shared" si="178"/>
        <v>484000</v>
      </c>
    </row>
    <row r="97" spans="1:48" ht="13.15" outlineLevel="2">
      <c r="A97" s="24"/>
      <c r="B97" s="27"/>
      <c r="C97" s="28" t="s">
        <v>44</v>
      </c>
      <c r="D97" s="27"/>
      <c r="E97" s="9">
        <v>0</v>
      </c>
      <c r="F97" s="43">
        <f>SDT!F94+TST!F94+TSG!F94+간접!F94</f>
        <v>20000</v>
      </c>
      <c r="G97" s="43">
        <f>SDT!G94+TST!G94+TSG!G94+간접!G94</f>
        <v>17000</v>
      </c>
      <c r="H97" s="43">
        <f>SDT!H94+TST!H94+TSG!H94+간접!H94</f>
        <v>17000</v>
      </c>
      <c r="I97" s="34">
        <f t="shared" si="179"/>
        <v>54000</v>
      </c>
      <c r="J97" s="43">
        <f>SDT!J94+TST!J94+TSG!J94+간접!J94</f>
        <v>17000</v>
      </c>
      <c r="K97" s="43">
        <f>SDT!K94+TST!K94+TSG!K94+간접!K94</f>
        <v>17000</v>
      </c>
      <c r="L97" s="43">
        <f>SDT!L94+TST!L94+TSG!L94+간접!L94</f>
        <v>17000</v>
      </c>
      <c r="M97" s="34">
        <f t="shared" si="180"/>
        <v>51000</v>
      </c>
      <c r="N97" s="43">
        <f>SDT!N94+TST!N94+TSG!N94+간접!N94</f>
        <v>17000</v>
      </c>
      <c r="O97" s="43">
        <f>SDT!O94+TST!O94+TSG!O94+간접!O94</f>
        <v>17000</v>
      </c>
      <c r="P97" s="43">
        <f>SDT!P94+TST!P94+TSG!P94+간접!P94</f>
        <v>17000</v>
      </c>
      <c r="Q97" s="34">
        <f t="shared" si="181"/>
        <v>51000</v>
      </c>
      <c r="R97" s="43">
        <f>SDT!R94+TST!R94+TSG!R94+간접!R94</f>
        <v>17000</v>
      </c>
      <c r="S97" s="43">
        <f>SDT!S94+TST!S94+TSG!S94+간접!S94</f>
        <v>17000</v>
      </c>
      <c r="T97" s="43">
        <f>SDT!T94+TST!T94+TSG!T94+간접!T94</f>
        <v>17000</v>
      </c>
      <c r="U97" s="34">
        <f t="shared" si="167"/>
        <v>51000</v>
      </c>
      <c r="V97" s="34">
        <f t="shared" si="168"/>
        <v>207000</v>
      </c>
      <c r="X97" s="72">
        <v>19780</v>
      </c>
      <c r="Y97" s="42">
        <f t="shared" si="163"/>
        <v>-220</v>
      </c>
      <c r="AA97" s="39">
        <v>200000</v>
      </c>
      <c r="AB97" s="39">
        <f t="shared" si="169"/>
        <v>17000</v>
      </c>
      <c r="AC97" s="72">
        <f t="shared" si="170"/>
        <v>183000</v>
      </c>
      <c r="AD97" s="72">
        <f>107150</f>
        <v>107150</v>
      </c>
      <c r="AE97" s="72">
        <f t="shared" si="171"/>
        <v>-90150</v>
      </c>
      <c r="AF97" s="72"/>
      <c r="AG97" s="42">
        <f t="shared" si="172"/>
        <v>224000</v>
      </c>
      <c r="AH97" s="42"/>
      <c r="AI97" s="39">
        <v>300000</v>
      </c>
      <c r="AJ97" s="39">
        <f t="shared" si="173"/>
        <v>51000</v>
      </c>
      <c r="AK97" s="42">
        <f t="shared" si="174"/>
        <v>249000</v>
      </c>
      <c r="AN97" s="42">
        <f t="shared" si="175"/>
        <v>141150</v>
      </c>
      <c r="AO97" s="42">
        <f t="shared" si="176"/>
        <v>158850</v>
      </c>
      <c r="AQ97" s="39">
        <v>600000</v>
      </c>
      <c r="AR97" s="39">
        <f t="shared" si="177"/>
        <v>207000</v>
      </c>
      <c r="AS97" s="72">
        <f t="shared" si="178"/>
        <v>393000</v>
      </c>
    </row>
    <row r="98" spans="1:48" ht="13.15" outlineLevel="2">
      <c r="A98" s="24"/>
      <c r="B98" s="27"/>
      <c r="C98" s="28" t="s">
        <v>51</v>
      </c>
      <c r="D98" s="27"/>
      <c r="E98" s="9">
        <v>0</v>
      </c>
      <c r="F98" s="43">
        <f>SDT!F95+TST!F95+TSG!F95+간접!F95</f>
        <v>117000</v>
      </c>
      <c r="G98" s="43">
        <f>SDT!G95+TST!G95+TSG!G95+간접!G95</f>
        <v>103000</v>
      </c>
      <c r="H98" s="43">
        <f>SDT!H95+TST!H95+TSG!H95+간접!H95</f>
        <v>103000</v>
      </c>
      <c r="I98" s="34">
        <f t="shared" si="179"/>
        <v>323000</v>
      </c>
      <c r="J98" s="43">
        <f>SDT!J95+TST!J95+TSG!J95+간접!J95</f>
        <v>103000</v>
      </c>
      <c r="K98" s="43">
        <f>SDT!K95+TST!K95+TSG!K95+간접!K95</f>
        <v>103000</v>
      </c>
      <c r="L98" s="43">
        <f>SDT!L95+TST!L95+TSG!L95+간접!L95</f>
        <v>103000</v>
      </c>
      <c r="M98" s="34">
        <f t="shared" si="180"/>
        <v>309000</v>
      </c>
      <c r="N98" s="43">
        <f>SDT!N95+TST!N95+TSG!N95+간접!N95</f>
        <v>103000</v>
      </c>
      <c r="O98" s="43">
        <f>SDT!O95+TST!O95+TSG!O95+간접!O95</f>
        <v>103000</v>
      </c>
      <c r="P98" s="43">
        <f>SDT!P95+TST!P95+TSG!P95+간접!P95</f>
        <v>103000</v>
      </c>
      <c r="Q98" s="34">
        <f t="shared" si="181"/>
        <v>309000</v>
      </c>
      <c r="R98" s="43">
        <f>SDT!R95+TST!R95+TSG!R95+간접!R95</f>
        <v>103000</v>
      </c>
      <c r="S98" s="43">
        <f>SDT!S95+TST!S95+TSG!S95+간접!S95</f>
        <v>103000</v>
      </c>
      <c r="T98" s="43">
        <f>SDT!T95+TST!T95+TSG!T95+간접!T95</f>
        <v>103000</v>
      </c>
      <c r="U98" s="34">
        <f t="shared" si="167"/>
        <v>309000</v>
      </c>
      <c r="V98" s="34">
        <f t="shared" si="168"/>
        <v>1250000</v>
      </c>
      <c r="X98" s="72">
        <v>117520</v>
      </c>
      <c r="Y98" s="42">
        <f t="shared" si="163"/>
        <v>520</v>
      </c>
      <c r="AA98" s="39">
        <v>25000</v>
      </c>
      <c r="AB98" s="39">
        <f t="shared" si="169"/>
        <v>103000</v>
      </c>
      <c r="AC98" s="72">
        <f t="shared" si="170"/>
        <v>-78000</v>
      </c>
      <c r="AD98" s="72">
        <v>2900</v>
      </c>
      <c r="AE98" s="72">
        <f t="shared" si="171"/>
        <v>100100</v>
      </c>
      <c r="AF98" s="72"/>
      <c r="AG98" s="42">
        <f t="shared" si="172"/>
        <v>1353000</v>
      </c>
      <c r="AH98" s="42"/>
      <c r="AI98" s="39">
        <v>75000</v>
      </c>
      <c r="AJ98" s="39">
        <f t="shared" si="173"/>
        <v>309000</v>
      </c>
      <c r="AK98" s="42">
        <f t="shared" si="174"/>
        <v>-234000</v>
      </c>
      <c r="AN98" s="42">
        <f t="shared" si="175"/>
        <v>208900</v>
      </c>
      <c r="AO98" s="42">
        <f t="shared" si="176"/>
        <v>-133900</v>
      </c>
      <c r="AQ98" s="39">
        <v>300000</v>
      </c>
      <c r="AR98" s="39">
        <f t="shared" si="177"/>
        <v>1250000</v>
      </c>
      <c r="AS98" s="87">
        <f t="shared" si="178"/>
        <v>-950000</v>
      </c>
    </row>
    <row r="99" spans="1:48" ht="13.15" outlineLevel="2">
      <c r="A99" s="24"/>
      <c r="B99" s="27"/>
      <c r="C99" s="28" t="s">
        <v>50</v>
      </c>
      <c r="D99" s="27"/>
      <c r="E99" s="8"/>
      <c r="F99" s="43">
        <f>SDT!F96+TST!F96+TSG!F96+간접!F96</f>
        <v>3300000</v>
      </c>
      <c r="G99" s="43">
        <f>SDT!G96+TST!G96+TSG!G96+간접!G96</f>
        <v>3300000</v>
      </c>
      <c r="H99" s="43">
        <f>SDT!H96+TST!H96+TSG!H96+간접!H96</f>
        <v>3300000</v>
      </c>
      <c r="I99" s="34">
        <f t="shared" si="179"/>
        <v>9900000</v>
      </c>
      <c r="J99" s="43">
        <f>SDT!J96+TST!J96+TSG!J96+간접!J96</f>
        <v>3300000</v>
      </c>
      <c r="K99" s="43">
        <f>SDT!K96+TST!K96+TSG!K96+간접!K96</f>
        <v>3300000</v>
      </c>
      <c r="L99" s="43">
        <f>SDT!L96+TST!L96+TSG!L96+간접!L96</f>
        <v>3300000</v>
      </c>
      <c r="M99" s="34">
        <f t="shared" si="180"/>
        <v>9900000</v>
      </c>
      <c r="N99" s="43">
        <f>SDT!N96+TST!N96+TSG!N96+간접!N96</f>
        <v>3300000</v>
      </c>
      <c r="O99" s="43">
        <f>SDT!O96+TST!O96+TSG!O96+간접!O96</f>
        <v>3300000</v>
      </c>
      <c r="P99" s="43">
        <f>SDT!P96+TST!P96+TSG!P96+간접!P96</f>
        <v>3300000</v>
      </c>
      <c r="Q99" s="34">
        <f t="shared" si="181"/>
        <v>9900000</v>
      </c>
      <c r="R99" s="43">
        <f>SDT!R96+TST!R96+TSG!R96+간접!R96</f>
        <v>3300000</v>
      </c>
      <c r="S99" s="43">
        <f>SDT!S96+TST!S96+TSG!S96+간접!S96</f>
        <v>3300000</v>
      </c>
      <c r="T99" s="43">
        <f>SDT!T96+TST!T96+TSG!T96+간접!T96</f>
        <v>3300000</v>
      </c>
      <c r="U99" s="34">
        <f t="shared" si="167"/>
        <v>9900000</v>
      </c>
      <c r="V99" s="34">
        <f t="shared" si="168"/>
        <v>39600000</v>
      </c>
      <c r="X99" s="39">
        <v>3300000</v>
      </c>
      <c r="Y99" s="42">
        <f t="shared" si="163"/>
        <v>0</v>
      </c>
      <c r="AA99" s="39">
        <v>500000</v>
      </c>
      <c r="AB99" s="39">
        <f t="shared" si="169"/>
        <v>3300000</v>
      </c>
      <c r="AC99" s="72">
        <f t="shared" si="170"/>
        <v>-2800000</v>
      </c>
      <c r="AD99" s="72">
        <v>0</v>
      </c>
      <c r="AE99" s="72">
        <f t="shared" si="171"/>
        <v>3300000</v>
      </c>
      <c r="AF99" s="72"/>
      <c r="AG99" s="42">
        <f t="shared" si="172"/>
        <v>42900000</v>
      </c>
      <c r="AH99" s="42"/>
      <c r="AI99" s="39">
        <v>500000</v>
      </c>
      <c r="AJ99" s="39">
        <f t="shared" si="173"/>
        <v>9900000</v>
      </c>
      <c r="AK99" s="42">
        <f t="shared" si="174"/>
        <v>-9400000</v>
      </c>
      <c r="AN99" s="42">
        <f t="shared" si="175"/>
        <v>6600000</v>
      </c>
      <c r="AO99" s="42">
        <f t="shared" si="176"/>
        <v>-6100000</v>
      </c>
      <c r="AQ99" s="39">
        <v>4500000</v>
      </c>
      <c r="AR99" s="39">
        <f t="shared" si="177"/>
        <v>39600000</v>
      </c>
      <c r="AS99" s="72">
        <f t="shared" si="178"/>
        <v>-35100000</v>
      </c>
    </row>
    <row r="100" spans="1:48" ht="13.15" outlineLevel="2">
      <c r="A100" s="24"/>
      <c r="B100" s="24" t="s">
        <v>17</v>
      </c>
      <c r="C100" s="24"/>
      <c r="D100" s="24"/>
      <c r="E100" s="9">
        <v>0</v>
      </c>
      <c r="F100" s="97">
        <f t="shared" ref="F100:U100" si="182">SUM(F94:F99)</f>
        <v>4984000</v>
      </c>
      <c r="G100" s="97">
        <f t="shared" ref="G100:H100" si="183">SUM(G94:G99)</f>
        <v>4883000</v>
      </c>
      <c r="H100" s="97">
        <f t="shared" si="183"/>
        <v>4883000</v>
      </c>
      <c r="I100" s="35">
        <f t="shared" si="182"/>
        <v>14750000</v>
      </c>
      <c r="J100" s="97">
        <f t="shared" ref="J100" si="184">SUM(J94:J99)</f>
        <v>4883000</v>
      </c>
      <c r="K100" s="97">
        <f t="shared" ref="K100:L100" si="185">SUM(K94:K99)</f>
        <v>4883000</v>
      </c>
      <c r="L100" s="97">
        <f t="shared" si="185"/>
        <v>4883000</v>
      </c>
      <c r="M100" s="35">
        <f t="shared" si="182"/>
        <v>14649000</v>
      </c>
      <c r="N100" s="97">
        <f t="shared" ref="N100" si="186">SUM(N94:N99)</f>
        <v>4883000</v>
      </c>
      <c r="O100" s="97">
        <f t="shared" ref="O100:P100" si="187">SUM(O94:O99)</f>
        <v>4883000</v>
      </c>
      <c r="P100" s="97">
        <f t="shared" si="187"/>
        <v>4883000</v>
      </c>
      <c r="Q100" s="35">
        <f t="shared" si="182"/>
        <v>14649000</v>
      </c>
      <c r="R100" s="97">
        <f t="shared" ref="R100" si="188">SUM(R94:R99)</f>
        <v>4883000</v>
      </c>
      <c r="S100" s="97">
        <f t="shared" ref="S100:T100" si="189">SUM(S94:S99)</f>
        <v>4883000</v>
      </c>
      <c r="T100" s="97">
        <f t="shared" si="189"/>
        <v>4883000</v>
      </c>
      <c r="U100" s="35">
        <f t="shared" si="182"/>
        <v>14649000</v>
      </c>
      <c r="V100" s="35">
        <f t="shared" si="168"/>
        <v>58697000</v>
      </c>
      <c r="X100" s="41">
        <f>SUM(X94:X99)</f>
        <v>4982477</v>
      </c>
      <c r="Y100" s="95">
        <f t="shared" si="163"/>
        <v>-1523</v>
      </c>
      <c r="AA100" s="41">
        <f>SUM(AA94:AA99)</f>
        <v>1602000</v>
      </c>
      <c r="AB100" s="41">
        <f>SUM(AB94:AB99)</f>
        <v>4883000</v>
      </c>
      <c r="AC100" s="41">
        <f>SUM(AC94:AC99)</f>
        <v>-3281000</v>
      </c>
      <c r="AD100" s="41">
        <f>SUM(AD94:AD99)</f>
        <v>890283</v>
      </c>
      <c r="AE100" s="41">
        <f>SUM(AE94:AE99)</f>
        <v>3992717</v>
      </c>
      <c r="AF100" s="74"/>
      <c r="AG100" s="42">
        <f t="shared" si="172"/>
        <v>63580000</v>
      </c>
      <c r="AH100" s="42"/>
      <c r="AI100" s="41">
        <f>SUM(AI94:AI99)</f>
        <v>3500000</v>
      </c>
      <c r="AJ100" s="41">
        <f>SUM(AJ94:AJ99)</f>
        <v>14649000</v>
      </c>
      <c r="AK100" s="41">
        <f>SUM(AK94:AK99)</f>
        <v>-11149000</v>
      </c>
      <c r="AN100" s="41">
        <f>SUM(AN94:AN99)</f>
        <v>10656283</v>
      </c>
      <c r="AO100" s="41">
        <f>SUM(AO94:AO99)</f>
        <v>-7156283</v>
      </c>
      <c r="AQ100" s="41">
        <f>SUM(AQ94:AQ99)</f>
        <v>15900000</v>
      </c>
      <c r="AR100" s="41">
        <f>SUM(AR94:AR99)</f>
        <v>58697000</v>
      </c>
      <c r="AS100" s="41">
        <f>SUM(AS94:AS99)</f>
        <v>-42797000</v>
      </c>
    </row>
    <row r="101" spans="1:48" ht="13.15" outlineLevel="2">
      <c r="A101" s="24"/>
      <c r="B101" s="26" t="s">
        <v>18</v>
      </c>
      <c r="C101" s="27"/>
      <c r="D101" s="27"/>
      <c r="E101" s="9">
        <v>0</v>
      </c>
      <c r="F101" s="98"/>
      <c r="G101" s="98"/>
      <c r="H101" s="98"/>
      <c r="I101" s="36"/>
      <c r="J101" s="98"/>
      <c r="K101" s="98"/>
      <c r="L101" s="98"/>
      <c r="M101" s="36"/>
      <c r="N101" s="98"/>
      <c r="O101" s="98"/>
      <c r="P101" s="98"/>
      <c r="Q101" s="36"/>
      <c r="R101" s="98"/>
      <c r="S101" s="98"/>
      <c r="T101" s="98"/>
      <c r="U101" s="36"/>
      <c r="V101" s="36"/>
      <c r="Y101" s="42">
        <f t="shared" si="163"/>
        <v>0</v>
      </c>
      <c r="AD101" s="72"/>
      <c r="AE101" s="72"/>
      <c r="AF101" s="72"/>
      <c r="AK101" s="39"/>
      <c r="AQ101" s="39"/>
      <c r="AR101" s="39"/>
      <c r="AS101" s="72"/>
    </row>
    <row r="102" spans="1:48" ht="13.15" outlineLevel="2">
      <c r="A102" s="24"/>
      <c r="B102" s="27"/>
      <c r="C102" s="28" t="s">
        <v>68</v>
      </c>
      <c r="D102" s="27"/>
      <c r="E102" s="9">
        <v>0</v>
      </c>
      <c r="F102" s="43">
        <f>SDT!F99+TST!F99+TSG!F99+간접!F99</f>
        <v>0</v>
      </c>
      <c r="G102" s="43">
        <f>SDT!G99+TST!G99+TSG!G99+간접!G99</f>
        <v>0</v>
      </c>
      <c r="H102" s="43">
        <f>SDT!H99+TST!H99+TSG!H99+간접!H99</f>
        <v>0</v>
      </c>
      <c r="I102" s="34">
        <f t="shared" ref="I102" si="190">SUM(F102:H102)</f>
        <v>0</v>
      </c>
      <c r="J102" s="43">
        <f>SDT!J99+TST!J99+TSG!J99+간접!J99</f>
        <v>0</v>
      </c>
      <c r="K102" s="43">
        <f>SDT!K99+TST!K99+TSG!K99+간접!K99</f>
        <v>0</v>
      </c>
      <c r="L102" s="43">
        <f>SDT!L99+TST!L99+TSG!L99+간접!L99</f>
        <v>0</v>
      </c>
      <c r="M102" s="34">
        <f t="shared" ref="M102" si="191">SUM(J102:L102)</f>
        <v>0</v>
      </c>
      <c r="N102" s="43">
        <f>SDT!N99+TST!N99+TSG!N99+간접!N99</f>
        <v>0</v>
      </c>
      <c r="O102" s="43">
        <f>SDT!O99+TST!O99+TSG!O99+간접!O99</f>
        <v>0</v>
      </c>
      <c r="P102" s="43">
        <f>SDT!P99+TST!P99+TSG!P99+간접!P99</f>
        <v>0</v>
      </c>
      <c r="Q102" s="34">
        <f t="shared" ref="Q102" si="192">SUM(N102:P102)</f>
        <v>0</v>
      </c>
      <c r="R102" s="43">
        <f>SDT!R99+TST!R99+TSG!R99+간접!R99</f>
        <v>0</v>
      </c>
      <c r="S102" s="43">
        <f>SDT!S99+TST!S99+TSG!S99+간접!S99</f>
        <v>0</v>
      </c>
      <c r="T102" s="43">
        <f>SDT!T99+TST!T99+TSG!T99+간접!T99</f>
        <v>0</v>
      </c>
      <c r="U102" s="34">
        <f t="shared" ref="U102:U108" si="193">SUM(R102:T102)</f>
        <v>0</v>
      </c>
      <c r="V102" s="34">
        <f t="shared" ref="V102:V109" si="194">I102+M102+Q102+U102</f>
        <v>0</v>
      </c>
      <c r="X102" s="72"/>
      <c r="Y102" s="42">
        <f t="shared" si="163"/>
        <v>0</v>
      </c>
      <c r="AD102" s="72"/>
      <c r="AE102" s="72"/>
      <c r="AF102" s="72"/>
      <c r="AK102" s="39"/>
      <c r="AQ102" s="39"/>
      <c r="AR102" s="39"/>
      <c r="AS102" s="72"/>
    </row>
    <row r="103" spans="1:48" ht="13.15" outlineLevel="2">
      <c r="A103" s="24"/>
      <c r="B103" s="27"/>
      <c r="C103" s="28" t="s">
        <v>45</v>
      </c>
      <c r="D103" s="27"/>
      <c r="E103" s="9">
        <v>0</v>
      </c>
      <c r="F103" s="43">
        <f>SDT!F100+TST!F100+TSG!F100+간접!F100</f>
        <v>370000</v>
      </c>
      <c r="G103" s="43">
        <f>SDT!G100+TST!G100+TSG!G100+간접!G100</f>
        <v>370000</v>
      </c>
      <c r="H103" s="43">
        <f>SDT!H100+TST!H100+TSG!H100+간접!H100</f>
        <v>370000</v>
      </c>
      <c r="I103" s="34">
        <f t="shared" ref="I103:I108" si="195">SUM(F103:H103)</f>
        <v>1110000</v>
      </c>
      <c r="J103" s="43">
        <f>SDT!J100+TST!J100+TSG!J100+간접!J100</f>
        <v>370000</v>
      </c>
      <c r="K103" s="43">
        <f>SDT!K100+TST!K100+TSG!K100+간접!K100</f>
        <v>370000</v>
      </c>
      <c r="L103" s="43">
        <f>SDT!L100+TST!L100+TSG!L100+간접!L100</f>
        <v>370000</v>
      </c>
      <c r="M103" s="34">
        <f t="shared" ref="M103:M108" si="196">SUM(J103:L103)</f>
        <v>1110000</v>
      </c>
      <c r="N103" s="43">
        <f>SDT!N100+TST!N100+TSG!N100+간접!N100</f>
        <v>370000</v>
      </c>
      <c r="O103" s="43">
        <f>SDT!O100+TST!O100+TSG!O100+간접!O100</f>
        <v>370000</v>
      </c>
      <c r="P103" s="43">
        <f>SDT!P100+TST!P100+TSG!P100+간접!P100</f>
        <v>370000</v>
      </c>
      <c r="Q103" s="34">
        <f t="shared" ref="Q103:Q108" si="197">SUM(N103:P103)</f>
        <v>1110000</v>
      </c>
      <c r="R103" s="43">
        <f>SDT!R100+TST!R100+TSG!R100+간접!R100</f>
        <v>370000</v>
      </c>
      <c r="S103" s="43">
        <f>SDT!S100+TST!S100+TSG!S100+간접!S100</f>
        <v>370000</v>
      </c>
      <c r="T103" s="43">
        <f>SDT!T100+TST!T100+TSG!T100+간접!T100</f>
        <v>370000</v>
      </c>
      <c r="U103" s="34">
        <f t="shared" si="193"/>
        <v>1110000</v>
      </c>
      <c r="V103" s="34">
        <f t="shared" si="194"/>
        <v>4440000</v>
      </c>
      <c r="X103" s="72">
        <v>370000</v>
      </c>
      <c r="Y103" s="42">
        <f t="shared" si="163"/>
        <v>0</v>
      </c>
      <c r="AA103" s="39">
        <v>340000</v>
      </c>
      <c r="AB103" s="39">
        <f t="shared" ref="AB103:AB108" si="198">T103</f>
        <v>370000</v>
      </c>
      <c r="AC103" s="87">
        <f t="shared" ref="AC103:AC108" si="199">AA103-AB103</f>
        <v>-30000</v>
      </c>
      <c r="AD103" s="72">
        <f>370000</f>
        <v>370000</v>
      </c>
      <c r="AE103" s="72">
        <f t="shared" ref="AE103:AE108" si="200">AB103-AD103</f>
        <v>0</v>
      </c>
      <c r="AF103" s="72"/>
      <c r="AG103" s="42">
        <f t="shared" ref="AG103:AG109" si="201">V103+AB103</f>
        <v>4810000</v>
      </c>
      <c r="AH103" s="42"/>
      <c r="AI103" s="39">
        <v>1020000</v>
      </c>
      <c r="AJ103" s="39">
        <f t="shared" ref="AJ103:AJ108" si="202">R103+S103+AB103</f>
        <v>1110000</v>
      </c>
      <c r="AK103" s="42">
        <f t="shared" ref="AK103:AK108" si="203">AI103-AJ103</f>
        <v>-90000</v>
      </c>
      <c r="AN103" s="42">
        <f t="shared" ref="AN103:AN108" si="204">R103+S103+AD103</f>
        <v>1110000</v>
      </c>
      <c r="AO103" s="42">
        <f t="shared" ref="AO103:AO108" si="205">AI103-AN103</f>
        <v>-90000</v>
      </c>
      <c r="AQ103" s="39">
        <v>7000000</v>
      </c>
      <c r="AR103" s="39">
        <f t="shared" ref="AR103:AR108" si="206">V103</f>
        <v>4440000</v>
      </c>
      <c r="AS103" s="72">
        <f t="shared" ref="AS103:AS108" si="207">AQ103-AR103</f>
        <v>2560000</v>
      </c>
    </row>
    <row r="104" spans="1:48" ht="13.15" outlineLevel="2">
      <c r="A104" s="24"/>
      <c r="B104" s="27"/>
      <c r="C104" s="28" t="s">
        <v>94</v>
      </c>
      <c r="D104" s="27"/>
      <c r="E104" s="9">
        <v>0</v>
      </c>
      <c r="F104" s="43">
        <f>SDT!F101+TST!F101+TSG!F101+간접!F101</f>
        <v>393000</v>
      </c>
      <c r="G104" s="43">
        <f>SDT!G101+TST!G101+TSG!G101+간접!G101</f>
        <v>100000</v>
      </c>
      <c r="H104" s="43">
        <f>SDT!H101+TST!H101+TSG!H101+간접!H101</f>
        <v>100000</v>
      </c>
      <c r="I104" s="34">
        <f t="shared" si="195"/>
        <v>593000</v>
      </c>
      <c r="J104" s="43">
        <f>SDT!J101+TST!J101+TSG!J101+간접!J101</f>
        <v>100000</v>
      </c>
      <c r="K104" s="43">
        <f>SDT!K101+TST!K101+TSG!K101+간접!K101</f>
        <v>100000</v>
      </c>
      <c r="L104" s="43">
        <f>SDT!L101+TST!L101+TSG!L101+간접!L101</f>
        <v>100000</v>
      </c>
      <c r="M104" s="34">
        <f t="shared" si="196"/>
        <v>300000</v>
      </c>
      <c r="N104" s="43">
        <f>SDT!N101+TST!N101+TSG!N101+간접!N101</f>
        <v>100000</v>
      </c>
      <c r="O104" s="43">
        <f>SDT!O101+TST!O101+TSG!O101+간접!O101</f>
        <v>100000</v>
      </c>
      <c r="P104" s="43">
        <f>SDT!P101+TST!P101+TSG!P101+간접!P101</f>
        <v>100000</v>
      </c>
      <c r="Q104" s="34">
        <f t="shared" si="197"/>
        <v>300000</v>
      </c>
      <c r="R104" s="43">
        <f>SDT!R101+TST!R101+TSG!R101+간접!R101</f>
        <v>100000</v>
      </c>
      <c r="S104" s="43">
        <f>SDT!S101+TST!S101+TSG!S101+간접!S101</f>
        <v>100000</v>
      </c>
      <c r="T104" s="43">
        <f>SDT!T101+TST!T101+TSG!T101+간접!T101</f>
        <v>100000</v>
      </c>
      <c r="U104" s="34">
        <f t="shared" si="193"/>
        <v>300000</v>
      </c>
      <c r="V104" s="34">
        <f t="shared" si="194"/>
        <v>1493000</v>
      </c>
      <c r="X104" s="72">
        <v>393023</v>
      </c>
      <c r="Y104" s="42">
        <f t="shared" si="163"/>
        <v>23</v>
      </c>
      <c r="AA104" s="39">
        <v>25000</v>
      </c>
      <c r="AB104" s="39">
        <f t="shared" si="198"/>
        <v>100000</v>
      </c>
      <c r="AC104" s="87">
        <f t="shared" si="199"/>
        <v>-75000</v>
      </c>
      <c r="AD104" s="72">
        <f>174672</f>
        <v>174672</v>
      </c>
      <c r="AE104" s="72">
        <f t="shared" si="200"/>
        <v>-74672</v>
      </c>
      <c r="AF104" s="72"/>
      <c r="AG104" s="42">
        <f t="shared" si="201"/>
        <v>1593000</v>
      </c>
      <c r="AH104" s="42"/>
      <c r="AI104" s="39">
        <v>75000</v>
      </c>
      <c r="AJ104" s="39">
        <f t="shared" si="202"/>
        <v>300000</v>
      </c>
      <c r="AK104" s="42">
        <f t="shared" si="203"/>
        <v>-225000</v>
      </c>
      <c r="AN104" s="42">
        <f t="shared" si="204"/>
        <v>374672</v>
      </c>
      <c r="AO104" s="42">
        <f t="shared" si="205"/>
        <v>-299672</v>
      </c>
      <c r="AQ104" s="39">
        <v>300000</v>
      </c>
      <c r="AR104" s="39">
        <f t="shared" si="206"/>
        <v>1493000</v>
      </c>
      <c r="AS104" s="72">
        <f t="shared" si="207"/>
        <v>-1193000</v>
      </c>
    </row>
    <row r="105" spans="1:48" ht="13.15" outlineLevel="2">
      <c r="A105" s="24"/>
      <c r="B105" s="27"/>
      <c r="C105" s="28" t="s">
        <v>46</v>
      </c>
      <c r="D105" s="27"/>
      <c r="E105" s="9">
        <v>0</v>
      </c>
      <c r="F105" s="43">
        <f>SDT!F102+TST!F102+TSG!F102+간접!F102</f>
        <v>0</v>
      </c>
      <c r="G105" s="43">
        <f>SDT!G102+TST!G102+TSG!G102+간접!G102</f>
        <v>0</v>
      </c>
      <c r="H105" s="43">
        <f>SDT!H102+TST!H102+TSG!H102+간접!H102</f>
        <v>0</v>
      </c>
      <c r="I105" s="34">
        <f t="shared" si="195"/>
        <v>0</v>
      </c>
      <c r="J105" s="43">
        <f>SDT!J102+TST!J102+TSG!J102+간접!J102</f>
        <v>0</v>
      </c>
      <c r="K105" s="43">
        <f>SDT!K102+TST!K102+TSG!K102+간접!K102</f>
        <v>0</v>
      </c>
      <c r="L105" s="43">
        <f>SDT!L102+TST!L102+TSG!L102+간접!L102</f>
        <v>0</v>
      </c>
      <c r="M105" s="34">
        <f t="shared" si="196"/>
        <v>0</v>
      </c>
      <c r="N105" s="43">
        <f>SDT!N102+TST!N102+TSG!N102+간접!N102</f>
        <v>0</v>
      </c>
      <c r="O105" s="43">
        <f>SDT!O102+TST!O102+TSG!O102+간접!O102</f>
        <v>0</v>
      </c>
      <c r="P105" s="43">
        <f>SDT!P102+TST!P102+TSG!P102+간접!P102</f>
        <v>0</v>
      </c>
      <c r="Q105" s="34">
        <f t="shared" si="197"/>
        <v>0</v>
      </c>
      <c r="R105" s="43">
        <f>SDT!R102+TST!R102+TSG!R102+간접!R102</f>
        <v>0</v>
      </c>
      <c r="S105" s="43">
        <f>SDT!S102+TST!S102+TSG!S102+간접!S102</f>
        <v>0</v>
      </c>
      <c r="T105" s="43">
        <f>SDT!T102+TST!T102+TSG!T102+간접!T102</f>
        <v>0</v>
      </c>
      <c r="U105" s="34">
        <f t="shared" si="193"/>
        <v>0</v>
      </c>
      <c r="V105" s="34">
        <f t="shared" si="194"/>
        <v>0</v>
      </c>
      <c r="X105" s="72">
        <v>15000</v>
      </c>
      <c r="Y105" s="42">
        <f t="shared" si="163"/>
        <v>15000</v>
      </c>
      <c r="Z105" s="145" t="s">
        <v>211</v>
      </c>
      <c r="AA105" s="39">
        <v>334000</v>
      </c>
      <c r="AB105" s="39">
        <f t="shared" si="198"/>
        <v>0</v>
      </c>
      <c r="AC105" s="72">
        <f t="shared" si="199"/>
        <v>334000</v>
      </c>
      <c r="AD105" s="72">
        <f>298250</f>
        <v>298250</v>
      </c>
      <c r="AE105" s="72">
        <f t="shared" si="200"/>
        <v>-298250</v>
      </c>
      <c r="AF105" s="72"/>
      <c r="AG105" s="42">
        <f t="shared" si="201"/>
        <v>0</v>
      </c>
      <c r="AH105" s="42"/>
      <c r="AI105" s="39">
        <v>1000000</v>
      </c>
      <c r="AJ105" s="39">
        <f t="shared" si="202"/>
        <v>0</v>
      </c>
      <c r="AK105" s="42">
        <f t="shared" si="203"/>
        <v>1000000</v>
      </c>
      <c r="AN105" s="42">
        <f t="shared" si="204"/>
        <v>298250</v>
      </c>
      <c r="AO105" s="42">
        <f t="shared" si="205"/>
        <v>701750</v>
      </c>
      <c r="AQ105" s="39">
        <v>7000000</v>
      </c>
      <c r="AR105" s="39">
        <f t="shared" si="206"/>
        <v>0</v>
      </c>
      <c r="AS105" s="72">
        <f t="shared" si="207"/>
        <v>7000000</v>
      </c>
      <c r="AV105" s="3" t="s">
        <v>158</v>
      </c>
    </row>
    <row r="106" spans="1:48" ht="13.15" outlineLevel="2">
      <c r="A106" s="24"/>
      <c r="B106" s="27"/>
      <c r="C106" s="28" t="s">
        <v>111</v>
      </c>
      <c r="D106" s="27"/>
      <c r="E106" s="10"/>
      <c r="F106" s="43">
        <f>SDT!F103+TST!F103+TSG!F103+간접!F103</f>
        <v>150000</v>
      </c>
      <c r="G106" s="43">
        <f>SDT!G103+TST!G103+TSG!G103+간접!G103</f>
        <v>150000</v>
      </c>
      <c r="H106" s="43">
        <f>SDT!H103+TST!H103+TSG!H103+간접!H103</f>
        <v>150000</v>
      </c>
      <c r="I106" s="34">
        <f t="shared" si="195"/>
        <v>450000</v>
      </c>
      <c r="J106" s="43">
        <f>SDT!J103+TST!J103+TSG!J103+간접!J103</f>
        <v>150000</v>
      </c>
      <c r="K106" s="43">
        <f>SDT!K103+TST!K103+TSG!K103+간접!K103</f>
        <v>150000</v>
      </c>
      <c r="L106" s="43">
        <f>SDT!L103+TST!L103+TSG!L103+간접!L103</f>
        <v>150000</v>
      </c>
      <c r="M106" s="34">
        <f t="shared" si="196"/>
        <v>450000</v>
      </c>
      <c r="N106" s="43">
        <f>SDT!N103+TST!N103+TSG!N103+간접!N103</f>
        <v>150000</v>
      </c>
      <c r="O106" s="43">
        <f>SDT!O103+TST!O103+TSG!O103+간접!O103</f>
        <v>150000</v>
      </c>
      <c r="P106" s="43">
        <f>SDT!P103+TST!P103+TSG!P103+간접!P103</f>
        <v>150000</v>
      </c>
      <c r="Q106" s="34">
        <f t="shared" si="197"/>
        <v>450000</v>
      </c>
      <c r="R106" s="43">
        <f>SDT!R103+TST!R103+TSG!R103+간접!R103</f>
        <v>150000</v>
      </c>
      <c r="S106" s="43">
        <f>SDT!S103+TST!S103+TSG!S103+간접!S103</f>
        <v>150000</v>
      </c>
      <c r="T106" s="43">
        <f>SDT!T103+TST!T103+TSG!T103+간접!T103</f>
        <v>150000</v>
      </c>
      <c r="U106" s="34">
        <f t="shared" si="193"/>
        <v>450000</v>
      </c>
      <c r="V106" s="34">
        <f t="shared" si="194"/>
        <v>1800000</v>
      </c>
      <c r="X106" s="72">
        <f>38290+112150</f>
        <v>150440</v>
      </c>
      <c r="Y106" s="42">
        <f t="shared" si="163"/>
        <v>440</v>
      </c>
      <c r="AA106" s="39">
        <v>8000</v>
      </c>
      <c r="AB106" s="39">
        <f t="shared" si="198"/>
        <v>150000</v>
      </c>
      <c r="AC106" s="87">
        <f t="shared" si="199"/>
        <v>-142000</v>
      </c>
      <c r="AD106" s="72">
        <v>19200</v>
      </c>
      <c r="AE106" s="72">
        <f t="shared" si="200"/>
        <v>130800</v>
      </c>
      <c r="AF106" s="72"/>
      <c r="AG106" s="42">
        <f t="shared" si="201"/>
        <v>1950000</v>
      </c>
      <c r="AH106" s="42"/>
      <c r="AI106" s="39">
        <v>20000</v>
      </c>
      <c r="AJ106" s="39">
        <f t="shared" si="202"/>
        <v>450000</v>
      </c>
      <c r="AK106" s="42">
        <f t="shared" si="203"/>
        <v>-430000</v>
      </c>
      <c r="AN106" s="42">
        <f t="shared" si="204"/>
        <v>319200</v>
      </c>
      <c r="AO106" s="42">
        <f t="shared" si="205"/>
        <v>-299200</v>
      </c>
      <c r="AQ106" s="39">
        <v>100000</v>
      </c>
      <c r="AR106" s="39">
        <f t="shared" si="206"/>
        <v>1800000</v>
      </c>
      <c r="AS106" s="87">
        <f t="shared" si="207"/>
        <v>-1700000</v>
      </c>
      <c r="AV106" s="3" t="s">
        <v>158</v>
      </c>
    </row>
    <row r="107" spans="1:48" ht="13.15" outlineLevel="2">
      <c r="A107" s="24"/>
      <c r="B107" s="27"/>
      <c r="C107" s="28" t="s">
        <v>117</v>
      </c>
      <c r="D107" s="27"/>
      <c r="E107" s="10"/>
      <c r="F107" s="43">
        <f>SDT!F104+TST!F104+TSG!F104+간접!F104</f>
        <v>0</v>
      </c>
      <c r="G107" s="43">
        <f>SDT!G104+TST!G104+TSG!G104+간접!G104</f>
        <v>0</v>
      </c>
      <c r="H107" s="43">
        <f>SDT!H104+TST!H104+TSG!H104+간접!H104</f>
        <v>0</v>
      </c>
      <c r="I107" s="34">
        <f t="shared" si="195"/>
        <v>0</v>
      </c>
      <c r="J107" s="43">
        <f>SDT!J104+TST!J104+TSG!J104+간접!J104</f>
        <v>0</v>
      </c>
      <c r="K107" s="43">
        <f>SDT!K104+TST!K104+TSG!K104+간접!K104</f>
        <v>0</v>
      </c>
      <c r="L107" s="43">
        <f>SDT!L104+TST!L104+TSG!L104+간접!L104</f>
        <v>0</v>
      </c>
      <c r="M107" s="34">
        <f t="shared" si="196"/>
        <v>0</v>
      </c>
      <c r="N107" s="43">
        <f>SDT!N104+TST!N104+TSG!N104+간접!N104</f>
        <v>0</v>
      </c>
      <c r="O107" s="43">
        <f>SDT!O104+TST!O104+TSG!O104+간접!O104</f>
        <v>0</v>
      </c>
      <c r="P107" s="43">
        <f>SDT!P104+TST!P104+TSG!P104+간접!P104</f>
        <v>0</v>
      </c>
      <c r="Q107" s="34">
        <f t="shared" si="197"/>
        <v>0</v>
      </c>
      <c r="R107" s="43">
        <f>SDT!R104+TST!R104+TSG!R104+간접!R104</f>
        <v>0</v>
      </c>
      <c r="S107" s="43">
        <f>SDT!S104+TST!S104+TSG!S104+간접!S104</f>
        <v>0</v>
      </c>
      <c r="T107" s="43">
        <f>SDT!T104+TST!T104+TSG!T104+간접!T104</f>
        <v>0</v>
      </c>
      <c r="U107" s="34">
        <f t="shared" si="193"/>
        <v>0</v>
      </c>
      <c r="V107" s="34">
        <f t="shared" si="194"/>
        <v>0</v>
      </c>
      <c r="X107" s="72">
        <v>0</v>
      </c>
      <c r="Y107" s="42">
        <f t="shared" si="163"/>
        <v>0</v>
      </c>
      <c r="Z107" s="145" t="s">
        <v>211</v>
      </c>
      <c r="AA107" s="39">
        <v>584000</v>
      </c>
      <c r="AB107" s="39">
        <f t="shared" si="198"/>
        <v>0</v>
      </c>
      <c r="AC107" s="72">
        <f t="shared" si="199"/>
        <v>584000</v>
      </c>
      <c r="AD107" s="72">
        <v>0</v>
      </c>
      <c r="AE107" s="72">
        <f t="shared" si="200"/>
        <v>0</v>
      </c>
      <c r="AF107" s="72"/>
      <c r="AG107" s="42">
        <f t="shared" si="201"/>
        <v>0</v>
      </c>
      <c r="AH107" s="42"/>
      <c r="AI107" s="39">
        <v>1750000</v>
      </c>
      <c r="AJ107" s="39">
        <f t="shared" si="202"/>
        <v>0</v>
      </c>
      <c r="AK107" s="42">
        <f t="shared" si="203"/>
        <v>1750000</v>
      </c>
      <c r="AN107" s="42">
        <f t="shared" si="204"/>
        <v>0</v>
      </c>
      <c r="AO107" s="42">
        <f t="shared" si="205"/>
        <v>1750000</v>
      </c>
      <c r="AQ107" s="39">
        <v>3500000</v>
      </c>
      <c r="AR107" s="39">
        <f t="shared" si="206"/>
        <v>0</v>
      </c>
      <c r="AS107" s="87">
        <f t="shared" si="207"/>
        <v>3500000</v>
      </c>
      <c r="AV107" s="3" t="s">
        <v>158</v>
      </c>
    </row>
    <row r="108" spans="1:48" ht="13.15" outlineLevel="2">
      <c r="A108" s="24"/>
      <c r="B108" s="27"/>
      <c r="C108" s="28" t="s">
        <v>26</v>
      </c>
      <c r="D108" s="27"/>
      <c r="E108" s="9"/>
      <c r="F108" s="43">
        <f>SDT!F105+TST!F105+TSG!F105+간접!F105</f>
        <v>2004000</v>
      </c>
      <c r="G108" s="43">
        <f>SDT!G105+TST!G105+TSG!G105+간접!G105</f>
        <v>2395000</v>
      </c>
      <c r="H108" s="43">
        <f>SDT!H105+TST!H105+TSG!H105+간접!H105</f>
        <v>2395000</v>
      </c>
      <c r="I108" s="34">
        <f t="shared" si="195"/>
        <v>6794000</v>
      </c>
      <c r="J108" s="43">
        <f>SDT!J105+TST!J105+TSG!J105+간접!J105</f>
        <v>2395000</v>
      </c>
      <c r="K108" s="43">
        <f>SDT!K105+TST!K105+TSG!K105+간접!K105</f>
        <v>2395000</v>
      </c>
      <c r="L108" s="43">
        <f>SDT!L105+TST!L105+TSG!L105+간접!L105</f>
        <v>2395000</v>
      </c>
      <c r="M108" s="34">
        <f t="shared" si="196"/>
        <v>7185000</v>
      </c>
      <c r="N108" s="43">
        <f>SDT!N105+TST!N105+TSG!N105+간접!N105</f>
        <v>2395000</v>
      </c>
      <c r="O108" s="43">
        <f>SDT!O105+TST!O105+TSG!O105+간접!O105</f>
        <v>2395000</v>
      </c>
      <c r="P108" s="43">
        <f>SDT!P105+TST!P105+TSG!P105+간접!P105</f>
        <v>2395000</v>
      </c>
      <c r="Q108" s="34">
        <f t="shared" si="197"/>
        <v>7185000</v>
      </c>
      <c r="R108" s="43">
        <f>SDT!R105+TST!R105+TSG!R105+간접!R105</f>
        <v>2395000</v>
      </c>
      <c r="S108" s="43">
        <f>SDT!S105+TST!S105+TSG!S105+간접!S105</f>
        <v>2395000</v>
      </c>
      <c r="T108" s="43">
        <f>SDT!T105+TST!T105+TSG!T105+간접!T105</f>
        <v>2395000</v>
      </c>
      <c r="U108" s="34">
        <f t="shared" si="193"/>
        <v>7185000</v>
      </c>
      <c r="V108" s="34">
        <f t="shared" si="194"/>
        <v>28349000</v>
      </c>
      <c r="X108" s="72">
        <v>5116544</v>
      </c>
      <c r="Y108" s="42">
        <f t="shared" si="163"/>
        <v>3112544</v>
      </c>
      <c r="Z108" s="145"/>
      <c r="AA108" s="39">
        <v>0</v>
      </c>
      <c r="AB108" s="39">
        <f t="shared" si="198"/>
        <v>2395000</v>
      </c>
      <c r="AC108" s="87">
        <f t="shared" si="199"/>
        <v>-2395000</v>
      </c>
      <c r="AD108" s="72">
        <f>209836+1013</f>
        <v>210849</v>
      </c>
      <c r="AE108" s="72">
        <f t="shared" si="200"/>
        <v>2184151</v>
      </c>
      <c r="AF108" s="72"/>
      <c r="AG108" s="42">
        <f t="shared" si="201"/>
        <v>30744000</v>
      </c>
      <c r="AH108" s="42"/>
      <c r="AJ108" s="39">
        <f t="shared" si="202"/>
        <v>7185000</v>
      </c>
      <c r="AK108" s="42">
        <f t="shared" si="203"/>
        <v>-7185000</v>
      </c>
      <c r="AN108" s="42">
        <f t="shared" si="204"/>
        <v>5000849</v>
      </c>
      <c r="AO108" s="42">
        <f t="shared" si="205"/>
        <v>-5000849</v>
      </c>
      <c r="AQ108" s="39">
        <v>3500000</v>
      </c>
      <c r="AR108" s="39">
        <f t="shared" si="206"/>
        <v>28349000</v>
      </c>
      <c r="AS108" s="72">
        <f t="shared" si="207"/>
        <v>-24849000</v>
      </c>
      <c r="AV108" s="3" t="s">
        <v>158</v>
      </c>
    </row>
    <row r="109" spans="1:48" ht="13.15" outlineLevel="2">
      <c r="A109" s="24"/>
      <c r="B109" s="29" t="s">
        <v>19</v>
      </c>
      <c r="C109" s="30"/>
      <c r="D109" s="30"/>
      <c r="E109" s="9">
        <v>0</v>
      </c>
      <c r="F109" s="99">
        <f t="shared" ref="F109" si="208">SUM(F102:F108)</f>
        <v>2917000</v>
      </c>
      <c r="G109" s="99">
        <f>SUM(G102:G108)</f>
        <v>3015000</v>
      </c>
      <c r="H109" s="99">
        <f t="shared" ref="H109" si="209">SUM(H102:H108)</f>
        <v>3015000</v>
      </c>
      <c r="I109" s="35">
        <f>SUM(I102:I108)</f>
        <v>8947000</v>
      </c>
      <c r="J109" s="99">
        <f t="shared" ref="J109" si="210">SUM(J102:J108)</f>
        <v>3015000</v>
      </c>
      <c r="K109" s="99">
        <f t="shared" ref="K109:L109" si="211">SUM(K102:K108)</f>
        <v>3015000</v>
      </c>
      <c r="L109" s="99">
        <f t="shared" si="211"/>
        <v>3015000</v>
      </c>
      <c r="M109" s="35">
        <f>SUM(M102:M108)</f>
        <v>9045000</v>
      </c>
      <c r="N109" s="99">
        <f t="shared" ref="N109" si="212">SUM(N102:N108)</f>
        <v>3015000</v>
      </c>
      <c r="O109" s="99">
        <f t="shared" ref="O109:P109" si="213">SUM(O102:O108)</f>
        <v>3015000</v>
      </c>
      <c r="P109" s="99">
        <f t="shared" si="213"/>
        <v>3015000</v>
      </c>
      <c r="Q109" s="35">
        <f>SUM(Q102:Q108)</f>
        <v>9045000</v>
      </c>
      <c r="R109" s="99">
        <f t="shared" ref="R109" si="214">SUM(R102:R108)</f>
        <v>3015000</v>
      </c>
      <c r="S109" s="99">
        <f t="shared" ref="S109:T109" si="215">SUM(S102:S108)</f>
        <v>3015000</v>
      </c>
      <c r="T109" s="99">
        <f t="shared" si="215"/>
        <v>3015000</v>
      </c>
      <c r="U109" s="35">
        <f>SUM(U102:U108)</f>
        <v>9045000</v>
      </c>
      <c r="V109" s="35">
        <f t="shared" si="194"/>
        <v>36082000</v>
      </c>
      <c r="X109" s="41">
        <f>SUM(X102:X108)</f>
        <v>6045007</v>
      </c>
      <c r="Y109" s="95">
        <f t="shared" si="163"/>
        <v>3128007</v>
      </c>
      <c r="AA109" s="41">
        <f>SUM(AA102:AA108)</f>
        <v>1291000</v>
      </c>
      <c r="AB109" s="41">
        <f>SUM(AB102:AB108)</f>
        <v>3015000</v>
      </c>
      <c r="AC109" s="41">
        <f>SUM(AC102:AC108)</f>
        <v>-1724000</v>
      </c>
      <c r="AD109" s="41">
        <f>SUM(AD102:AD108)</f>
        <v>1072971</v>
      </c>
      <c r="AE109" s="41">
        <f>SUM(AE102:AE108)</f>
        <v>1942029</v>
      </c>
      <c r="AF109" s="74"/>
      <c r="AG109" s="42">
        <f t="shared" si="201"/>
        <v>39097000</v>
      </c>
      <c r="AH109" s="42"/>
      <c r="AI109" s="41">
        <f>SUM(AI102:AI108)</f>
        <v>3865000</v>
      </c>
      <c r="AJ109" s="41">
        <f>SUM(AJ102:AJ108)</f>
        <v>9045000</v>
      </c>
      <c r="AK109" s="41">
        <f>SUM(AK102:AK108)</f>
        <v>-5180000</v>
      </c>
      <c r="AN109" s="41">
        <f>SUM(AN102:AN108)</f>
        <v>7102971</v>
      </c>
      <c r="AO109" s="41">
        <f>SUM(AO102:AO108)</f>
        <v>-3237971</v>
      </c>
      <c r="AQ109" s="41">
        <f>SUM(AQ102:AQ108)</f>
        <v>21400000</v>
      </c>
      <c r="AR109" s="41">
        <f>SUM(AR102:AR108)</f>
        <v>36082000</v>
      </c>
      <c r="AS109" s="41">
        <f>SUM(AS102:AS108)</f>
        <v>-14682000</v>
      </c>
      <c r="AV109" s="3" t="s">
        <v>158</v>
      </c>
    </row>
    <row r="110" spans="1:48" ht="13.15" outlineLevel="1">
      <c r="A110" s="24"/>
      <c r="B110" s="26" t="s">
        <v>20</v>
      </c>
      <c r="C110" s="27"/>
      <c r="D110" s="27"/>
      <c r="E110" s="9">
        <v>0</v>
      </c>
      <c r="F110" s="98"/>
      <c r="G110" s="98"/>
      <c r="H110" s="98"/>
      <c r="I110" s="36"/>
      <c r="J110" s="98"/>
      <c r="K110" s="98"/>
      <c r="L110" s="98"/>
      <c r="M110" s="36"/>
      <c r="N110" s="98"/>
      <c r="O110" s="98"/>
      <c r="P110" s="98"/>
      <c r="Q110" s="36"/>
      <c r="R110" s="98"/>
      <c r="S110" s="98"/>
      <c r="T110" s="98"/>
      <c r="U110" s="36"/>
      <c r="V110" s="53"/>
      <c r="Y110" s="42">
        <f t="shared" si="163"/>
        <v>0</v>
      </c>
      <c r="AD110" s="72"/>
      <c r="AE110" s="72"/>
      <c r="AF110" s="72"/>
      <c r="AK110" s="39"/>
      <c r="AQ110" s="39"/>
      <c r="AR110" s="39"/>
      <c r="AS110" s="72"/>
    </row>
    <row r="111" spans="1:48" ht="13.15" outlineLevel="2">
      <c r="A111" s="24"/>
      <c r="B111" s="27"/>
      <c r="C111" s="28" t="s">
        <v>29</v>
      </c>
      <c r="D111" s="27"/>
      <c r="E111" s="9"/>
      <c r="F111" s="43">
        <f>SDT!F108+TST!F108+TSG!F108+간접!F108</f>
        <v>23000</v>
      </c>
      <c r="G111" s="43">
        <f>SDT!G108+TST!G108+TSG!G108+간접!G108</f>
        <v>0</v>
      </c>
      <c r="H111" s="43">
        <f>SDT!H108+TST!H108+TSG!H108+간접!H108</f>
        <v>0</v>
      </c>
      <c r="I111" s="34">
        <f t="shared" ref="I111" si="216">SUM(F111:H111)</f>
        <v>23000</v>
      </c>
      <c r="J111" s="43">
        <f>SDT!J108+TST!J108+TSG!J108+간접!J108</f>
        <v>0</v>
      </c>
      <c r="K111" s="43">
        <f>SDT!K108+TST!K108+TSG!K108+간접!K108</f>
        <v>0</v>
      </c>
      <c r="L111" s="43">
        <f>SDT!L108+TST!L108+TSG!L108+간접!L108</f>
        <v>0</v>
      </c>
      <c r="M111" s="34">
        <f t="shared" ref="M111" si="217">SUM(J111:L111)</f>
        <v>0</v>
      </c>
      <c r="N111" s="43">
        <f>SDT!N108+TST!N108+TSG!N108+간접!N108</f>
        <v>0</v>
      </c>
      <c r="O111" s="43">
        <f>SDT!O108+TST!O108+TSG!O108+간접!O108</f>
        <v>0</v>
      </c>
      <c r="P111" s="43">
        <f>SDT!P108+TST!P108+TSG!P108+간접!P108</f>
        <v>0</v>
      </c>
      <c r="Q111" s="34">
        <f t="shared" ref="Q111" si="218">SUM(N111:P111)</f>
        <v>0</v>
      </c>
      <c r="R111" s="43">
        <f>SDT!R108+TST!R108+TSG!R108+간접!R108</f>
        <v>0</v>
      </c>
      <c r="S111" s="43">
        <f>SDT!S108+TST!S108+TSG!S108+간접!S108</f>
        <v>0</v>
      </c>
      <c r="T111" s="43">
        <f>SDT!T108+TST!T108+TSG!T108+간접!T108</f>
        <v>0</v>
      </c>
      <c r="U111" s="34">
        <f>SUM(R111:T111)</f>
        <v>0</v>
      </c>
      <c r="V111" s="34">
        <f t="shared" ref="V111:V118" si="219">I111+M111+Q111+U111</f>
        <v>23000</v>
      </c>
      <c r="X111" s="39">
        <v>23000</v>
      </c>
      <c r="Y111" s="42">
        <f t="shared" si="163"/>
        <v>0</v>
      </c>
      <c r="AA111" s="39">
        <v>18000</v>
      </c>
      <c r="AB111" s="39">
        <f>T111</f>
        <v>0</v>
      </c>
      <c r="AC111" s="87">
        <f t="shared" ref="AC111:AC115" si="220">AA111-AB111</f>
        <v>18000</v>
      </c>
      <c r="AD111" s="72">
        <f>46000+1000</f>
        <v>47000</v>
      </c>
      <c r="AE111" s="72">
        <f>AB111-AD111</f>
        <v>-47000</v>
      </c>
      <c r="AF111" s="72"/>
      <c r="AG111" s="42">
        <f t="shared" ref="AG111:AG118" si="221">V111+AB111</f>
        <v>23000</v>
      </c>
      <c r="AH111" s="42"/>
      <c r="AI111" s="39">
        <v>50000</v>
      </c>
      <c r="AJ111" s="39">
        <f t="shared" ref="AJ111:AJ115" si="222">R111+S111+AB111</f>
        <v>0</v>
      </c>
      <c r="AK111" s="42">
        <f t="shared" ref="AK111:AK115" si="223">AI111-AJ111</f>
        <v>50000</v>
      </c>
      <c r="AN111" s="42">
        <f t="shared" ref="AN111:AN115" si="224">R111+S111+AD111</f>
        <v>47000</v>
      </c>
      <c r="AO111" s="42">
        <f t="shared" ref="AO111:AO115" si="225">AI111-AN111</f>
        <v>3000</v>
      </c>
      <c r="AQ111" s="39">
        <v>200000</v>
      </c>
      <c r="AR111" s="39">
        <f>V111</f>
        <v>23000</v>
      </c>
      <c r="AS111" s="87">
        <f t="shared" ref="AS111:AS115" si="226">AQ111-AR111</f>
        <v>177000</v>
      </c>
    </row>
    <row r="112" spans="1:48" ht="13.5" outlineLevel="2">
      <c r="A112" s="24"/>
      <c r="B112" s="27"/>
      <c r="C112" s="28" t="s">
        <v>33</v>
      </c>
      <c r="D112" s="27"/>
      <c r="E112" s="9">
        <v>0</v>
      </c>
      <c r="F112" s="43">
        <f>SDT!F109+TST!F109+TSG!F109+간접!F109</f>
        <v>0</v>
      </c>
      <c r="G112" s="43">
        <f>SDT!G109+TST!G109+TSG!G109+간접!G109</f>
        <v>0</v>
      </c>
      <c r="H112" s="43">
        <f>SDT!H109+TST!H109+TSG!H109+간접!H109</f>
        <v>0</v>
      </c>
      <c r="I112" s="34">
        <f t="shared" ref="I112:I115" si="227">SUM(F112:H112)</f>
        <v>0</v>
      </c>
      <c r="J112" s="43">
        <f>SDT!J109+TST!J109+TSG!J109+간접!J109</f>
        <v>0</v>
      </c>
      <c r="K112" s="43">
        <f>SDT!K109+TST!K109+TSG!K109+간접!K109</f>
        <v>0</v>
      </c>
      <c r="L112" s="43">
        <f>SDT!L109+TST!L109+TSG!L109+간접!L109</f>
        <v>0</v>
      </c>
      <c r="M112" s="34">
        <f t="shared" ref="M112:M115" si="228">SUM(J112:L112)</f>
        <v>0</v>
      </c>
      <c r="N112" s="43">
        <f>SDT!N109+TST!N109+TSG!N109+간접!N109</f>
        <v>0</v>
      </c>
      <c r="O112" s="43">
        <f>SDT!O109+TST!O109+TSG!O109+간접!O109</f>
        <v>0</v>
      </c>
      <c r="P112" s="43">
        <f>SDT!P109+TST!P109+TSG!P109+간접!P109</f>
        <v>0</v>
      </c>
      <c r="Q112" s="34">
        <f t="shared" ref="Q112:Q115" si="229">SUM(N112:P112)</f>
        <v>0</v>
      </c>
      <c r="R112" s="43">
        <f>SDT!R109+TST!R109+TSG!R109+간접!R109</f>
        <v>0</v>
      </c>
      <c r="S112" s="43">
        <f>SDT!S109+TST!S109+TSG!S109+간접!S109</f>
        <v>0</v>
      </c>
      <c r="T112" s="43">
        <f>SDT!T109+TST!T109+TSG!T109+간접!T109</f>
        <v>0</v>
      </c>
      <c r="U112" s="34">
        <f>SUM(R112:T112)</f>
        <v>0</v>
      </c>
      <c r="V112" s="34">
        <f t="shared" si="219"/>
        <v>0</v>
      </c>
      <c r="Y112" s="42">
        <f t="shared" si="163"/>
        <v>0</v>
      </c>
      <c r="Z112" s="145"/>
      <c r="AA112" s="39">
        <v>84000</v>
      </c>
      <c r="AB112" s="39">
        <f>T112</f>
        <v>0</v>
      </c>
      <c r="AC112" s="87">
        <f t="shared" si="220"/>
        <v>84000</v>
      </c>
      <c r="AD112" s="72">
        <f>340000</f>
        <v>340000</v>
      </c>
      <c r="AE112" s="76">
        <f>AB112-AD112</f>
        <v>-340000</v>
      </c>
      <c r="AF112" s="72"/>
      <c r="AG112" s="42">
        <f t="shared" si="221"/>
        <v>0</v>
      </c>
      <c r="AH112" s="42"/>
      <c r="AI112" s="39">
        <v>100000</v>
      </c>
      <c r="AJ112" s="39">
        <f t="shared" si="222"/>
        <v>0</v>
      </c>
      <c r="AK112" s="65">
        <f t="shared" si="223"/>
        <v>100000</v>
      </c>
      <c r="AL112" s="68" t="s">
        <v>128</v>
      </c>
      <c r="AM112" s="80"/>
      <c r="AN112" s="42">
        <f t="shared" si="224"/>
        <v>340000</v>
      </c>
      <c r="AO112" s="42">
        <f t="shared" si="225"/>
        <v>-240000</v>
      </c>
      <c r="AQ112" s="39">
        <v>2500000</v>
      </c>
      <c r="AR112" s="39">
        <f>V112</f>
        <v>0</v>
      </c>
      <c r="AS112" s="87">
        <f t="shared" si="226"/>
        <v>2500000</v>
      </c>
    </row>
    <row r="113" spans="1:48" ht="13.15" outlineLevel="2">
      <c r="A113" s="24"/>
      <c r="B113" s="27"/>
      <c r="C113" s="28" t="s">
        <v>95</v>
      </c>
      <c r="D113" s="27"/>
      <c r="E113" s="10"/>
      <c r="F113" s="43">
        <f>SDT!F110+TST!F110+TSG!F110+간접!F110</f>
        <v>0</v>
      </c>
      <c r="G113" s="43">
        <f>SDT!G110+TST!G110+TSG!G110+간접!G110</f>
        <v>0</v>
      </c>
      <c r="H113" s="43">
        <f>SDT!H110+TST!H110+TSG!H110+간접!H110</f>
        <v>0</v>
      </c>
      <c r="I113" s="34">
        <f t="shared" si="227"/>
        <v>0</v>
      </c>
      <c r="J113" s="43">
        <f>SDT!J110+TST!J110+TSG!J110+간접!J110</f>
        <v>0</v>
      </c>
      <c r="K113" s="43">
        <f>SDT!K110+TST!K110+TSG!K110+간접!K110</f>
        <v>0</v>
      </c>
      <c r="L113" s="43">
        <f>SDT!L110+TST!L110+TSG!L110+간접!L110</f>
        <v>0</v>
      </c>
      <c r="M113" s="34">
        <f t="shared" si="228"/>
        <v>0</v>
      </c>
      <c r="N113" s="43">
        <f>SDT!N110+TST!N110+TSG!N110+간접!N110</f>
        <v>0</v>
      </c>
      <c r="O113" s="43">
        <f>SDT!O110+TST!O110+TSG!O110+간접!O110</f>
        <v>0</v>
      </c>
      <c r="P113" s="43">
        <f>SDT!P110+TST!P110+TSG!P110+간접!P110</f>
        <v>0</v>
      </c>
      <c r="Q113" s="34">
        <f t="shared" si="229"/>
        <v>0</v>
      </c>
      <c r="R113" s="43">
        <f>SDT!R110+TST!R110+TSG!R110+간접!R110</f>
        <v>0</v>
      </c>
      <c r="S113" s="43">
        <f>SDT!S110+TST!S110+TSG!S110+간접!S110</f>
        <v>0</v>
      </c>
      <c r="T113" s="43">
        <f>SDT!T110+TST!T110+TSG!T110+간접!T110</f>
        <v>0</v>
      </c>
      <c r="U113" s="34">
        <f>SUM(R113:T113)</f>
        <v>0</v>
      </c>
      <c r="V113" s="54">
        <f t="shared" si="219"/>
        <v>0</v>
      </c>
      <c r="Y113" s="42">
        <f t="shared" si="163"/>
        <v>0</v>
      </c>
      <c r="AA113" s="39">
        <v>700000</v>
      </c>
      <c r="AB113" s="39">
        <f>T113</f>
        <v>0</v>
      </c>
      <c r="AC113" s="72">
        <f t="shared" si="220"/>
        <v>700000</v>
      </c>
      <c r="AD113" s="72">
        <f>32279+585</f>
        <v>32864</v>
      </c>
      <c r="AE113" s="72">
        <f>AB113-AD113</f>
        <v>-32864</v>
      </c>
      <c r="AF113" s="72"/>
      <c r="AG113" s="42">
        <f t="shared" si="221"/>
        <v>0</v>
      </c>
      <c r="AH113" s="42"/>
      <c r="AI113" s="39">
        <v>250000</v>
      </c>
      <c r="AJ113" s="39">
        <f t="shared" si="222"/>
        <v>0</v>
      </c>
      <c r="AK113" s="42">
        <f t="shared" si="223"/>
        <v>250000</v>
      </c>
      <c r="AN113" s="42">
        <f t="shared" si="224"/>
        <v>32864</v>
      </c>
      <c r="AO113" s="42">
        <f t="shared" si="225"/>
        <v>217136</v>
      </c>
      <c r="AQ113" s="39">
        <v>1000000</v>
      </c>
      <c r="AR113" s="39">
        <f>V113</f>
        <v>0</v>
      </c>
      <c r="AS113" s="72">
        <f t="shared" si="226"/>
        <v>1000000</v>
      </c>
    </row>
    <row r="114" spans="1:48" ht="15.75" outlineLevel="2">
      <c r="A114" s="24"/>
      <c r="B114" s="27"/>
      <c r="C114" s="28" t="s">
        <v>155</v>
      </c>
      <c r="D114" s="27"/>
      <c r="E114" s="10"/>
      <c r="F114" s="43">
        <f>SDT!F111+TST!F111+TSG!F111+간접!F111</f>
        <v>0</v>
      </c>
      <c r="G114" s="43">
        <f>SDT!G111+TST!G111+TSG!G111+간접!G111</f>
        <v>0</v>
      </c>
      <c r="H114" s="43">
        <f>SDT!H111+TST!H111+TSG!H111+간접!H111</f>
        <v>0</v>
      </c>
      <c r="I114" s="34">
        <f t="shared" si="227"/>
        <v>0</v>
      </c>
      <c r="J114" s="43">
        <f>SDT!J111+TST!J111+TSG!J111+간접!J111</f>
        <v>0</v>
      </c>
      <c r="K114" s="43">
        <f>SDT!K111+TST!K111+TSG!K111+간접!K111</f>
        <v>0</v>
      </c>
      <c r="L114" s="43">
        <f>SDT!L111+TST!L111+TSG!L111+간접!L111</f>
        <v>0</v>
      </c>
      <c r="M114" s="34">
        <f t="shared" si="228"/>
        <v>0</v>
      </c>
      <c r="N114" s="43">
        <f>SDT!N111+TST!N111+TSG!N111+간접!N111</f>
        <v>0</v>
      </c>
      <c r="O114" s="43">
        <f>SDT!O111+TST!O111+TSG!O111+간접!O111</f>
        <v>0</v>
      </c>
      <c r="P114" s="43">
        <f>SDT!P111+TST!P111+TSG!P111+간접!P111</f>
        <v>0</v>
      </c>
      <c r="Q114" s="34">
        <f t="shared" si="229"/>
        <v>0</v>
      </c>
      <c r="R114" s="43">
        <f>SDT!R111+TST!R111+TSG!R111+간접!R111</f>
        <v>0</v>
      </c>
      <c r="S114" s="43">
        <f>SDT!S111+TST!S111+TSG!S111+간접!S111</f>
        <v>0</v>
      </c>
      <c r="T114" s="43">
        <f>SDT!T111+TST!T111+TSG!T111+간접!T111</f>
        <v>0</v>
      </c>
      <c r="U114" s="34">
        <f>SUM(R114:T114)</f>
        <v>0</v>
      </c>
      <c r="V114" s="54">
        <f t="shared" si="219"/>
        <v>0</v>
      </c>
      <c r="X114" s="39">
        <v>5255561</v>
      </c>
      <c r="Y114" s="42">
        <f t="shared" si="163"/>
        <v>5255561</v>
      </c>
      <c r="Z114" s="91" t="s">
        <v>152</v>
      </c>
      <c r="AD114" s="72"/>
      <c r="AE114" s="72"/>
      <c r="AF114" s="72"/>
      <c r="AG114" s="42"/>
      <c r="AH114" s="42"/>
      <c r="AK114" s="42"/>
      <c r="AN114" s="42"/>
      <c r="AO114" s="42"/>
      <c r="AQ114" s="39"/>
      <c r="AR114" s="39"/>
      <c r="AS114" s="72"/>
    </row>
    <row r="115" spans="1:48" ht="13.15" outlineLevel="2">
      <c r="A115" s="24"/>
      <c r="B115" s="27"/>
      <c r="C115" s="28" t="s">
        <v>153</v>
      </c>
      <c r="D115" s="27"/>
      <c r="E115" s="8"/>
      <c r="F115" s="43">
        <f>SDT!F112+TST!F112+TSG!F112+간접!F112</f>
        <v>0</v>
      </c>
      <c r="G115" s="43">
        <f>SDT!G112+TST!G112+TSG!G112+간접!G112</f>
        <v>0</v>
      </c>
      <c r="H115" s="43">
        <f>SDT!H112+TST!H112+TSG!H112+간접!H112</f>
        <v>0</v>
      </c>
      <c r="I115" s="34">
        <f t="shared" si="227"/>
        <v>0</v>
      </c>
      <c r="J115" s="43">
        <f>SDT!J112+TST!J112+TSG!J112+간접!J112</f>
        <v>0</v>
      </c>
      <c r="K115" s="43">
        <f>SDT!K112+TST!K112+TSG!K112+간접!K112</f>
        <v>0</v>
      </c>
      <c r="L115" s="43">
        <f>SDT!L112+TST!L112+TSG!L112+간접!L112</f>
        <v>0</v>
      </c>
      <c r="M115" s="34">
        <f t="shared" si="228"/>
        <v>0</v>
      </c>
      <c r="N115" s="43">
        <f>SDT!N112+TST!N112+TSG!N112+간접!N112</f>
        <v>0</v>
      </c>
      <c r="O115" s="43">
        <f>SDT!O112+TST!O112+TSG!O112+간접!O112</f>
        <v>0</v>
      </c>
      <c r="P115" s="43">
        <f>SDT!P112+TST!P112+TSG!P112+간접!P112</f>
        <v>0</v>
      </c>
      <c r="Q115" s="34">
        <f t="shared" si="229"/>
        <v>0</v>
      </c>
      <c r="R115" s="43">
        <f>SDT!R112+TST!R112+TSG!R112+간접!R112</f>
        <v>0</v>
      </c>
      <c r="S115" s="43">
        <f>SDT!S112+TST!S112+TSG!S112+간접!S112</f>
        <v>0</v>
      </c>
      <c r="T115" s="43">
        <f>SDT!T112+TST!T112+TSG!T112+간접!T112</f>
        <v>0</v>
      </c>
      <c r="U115" s="34">
        <f>SUM(R115:T115)</f>
        <v>0</v>
      </c>
      <c r="V115" s="34">
        <f t="shared" si="219"/>
        <v>0</v>
      </c>
      <c r="Y115" s="42">
        <f t="shared" si="163"/>
        <v>0</v>
      </c>
      <c r="Z115" s="206" t="s">
        <v>261</v>
      </c>
      <c r="AB115" s="39">
        <v>0</v>
      </c>
      <c r="AC115" s="72">
        <f t="shared" si="220"/>
        <v>0</v>
      </c>
      <c r="AD115" s="72">
        <v>0</v>
      </c>
      <c r="AE115" s="72">
        <f>AB115-AD115</f>
        <v>0</v>
      </c>
      <c r="AF115" s="72"/>
      <c r="AG115" s="42">
        <f t="shared" si="221"/>
        <v>0</v>
      </c>
      <c r="AH115" s="42"/>
      <c r="AI115" s="39">
        <v>2100000</v>
      </c>
      <c r="AJ115" s="39">
        <f t="shared" si="222"/>
        <v>0</v>
      </c>
      <c r="AK115" s="42">
        <f t="shared" si="223"/>
        <v>2100000</v>
      </c>
      <c r="AN115" s="42">
        <f t="shared" si="224"/>
        <v>0</v>
      </c>
      <c r="AO115" s="42">
        <f t="shared" si="225"/>
        <v>2100000</v>
      </c>
      <c r="AQ115" s="39">
        <v>8400000</v>
      </c>
      <c r="AR115" s="39">
        <f>V115</f>
        <v>0</v>
      </c>
      <c r="AS115" s="72">
        <f t="shared" si="226"/>
        <v>8400000</v>
      </c>
    </row>
    <row r="116" spans="1:48" ht="13.9" outlineLevel="2">
      <c r="A116" s="24"/>
      <c r="B116" s="30" t="s">
        <v>21</v>
      </c>
      <c r="C116" s="30"/>
      <c r="D116" s="30"/>
      <c r="E116" s="12"/>
      <c r="F116" s="45">
        <f t="shared" ref="F116:U116" si="230">SUM(F111:F115)</f>
        <v>23000</v>
      </c>
      <c r="G116" s="45">
        <f>SUM(G111:G115)</f>
        <v>0</v>
      </c>
      <c r="H116" s="45">
        <f t="shared" si="230"/>
        <v>0</v>
      </c>
      <c r="I116" s="35">
        <f t="shared" si="230"/>
        <v>23000</v>
      </c>
      <c r="J116" s="45">
        <f t="shared" si="230"/>
        <v>0</v>
      </c>
      <c r="K116" s="45">
        <f t="shared" si="230"/>
        <v>0</v>
      </c>
      <c r="L116" s="45">
        <f t="shared" si="230"/>
        <v>0</v>
      </c>
      <c r="M116" s="35">
        <f t="shared" si="230"/>
        <v>0</v>
      </c>
      <c r="N116" s="45">
        <f t="shared" si="230"/>
        <v>0</v>
      </c>
      <c r="O116" s="45">
        <f t="shared" si="230"/>
        <v>0</v>
      </c>
      <c r="P116" s="45">
        <f t="shared" si="230"/>
        <v>0</v>
      </c>
      <c r="Q116" s="35">
        <f t="shared" si="230"/>
        <v>0</v>
      </c>
      <c r="R116" s="45">
        <f t="shared" si="230"/>
        <v>0</v>
      </c>
      <c r="S116" s="45">
        <f t="shared" si="230"/>
        <v>0</v>
      </c>
      <c r="T116" s="45">
        <f t="shared" si="230"/>
        <v>0</v>
      </c>
      <c r="U116" s="35">
        <f t="shared" si="230"/>
        <v>0</v>
      </c>
      <c r="V116" s="35">
        <f t="shared" si="219"/>
        <v>23000</v>
      </c>
      <c r="X116" s="41">
        <f>SUM(X111:X115)</f>
        <v>5278561</v>
      </c>
      <c r="Y116" s="95">
        <f t="shared" si="163"/>
        <v>5255561</v>
      </c>
      <c r="AA116" s="41">
        <f>SUM(AA111:AA115)</f>
        <v>802000</v>
      </c>
      <c r="AB116" s="41">
        <f>SUM(AB111:AB115)</f>
        <v>0</v>
      </c>
      <c r="AC116" s="41">
        <f>SUM(AC111:AC115)</f>
        <v>802000</v>
      </c>
      <c r="AD116" s="41">
        <f>SUM(AD111:AD115)</f>
        <v>419864</v>
      </c>
      <c r="AE116" s="41">
        <f>SUM(AE111:AE115)</f>
        <v>-419864</v>
      </c>
      <c r="AF116" s="41"/>
      <c r="AG116" s="42">
        <f t="shared" si="221"/>
        <v>23000</v>
      </c>
      <c r="AH116" s="42"/>
      <c r="AI116" s="41">
        <f>SUM(AI111:AI115)</f>
        <v>2500000</v>
      </c>
      <c r="AJ116" s="41">
        <f>SUM(AJ111:AJ115)</f>
        <v>0</v>
      </c>
      <c r="AK116" s="41">
        <f>SUM(AK111:AK115)</f>
        <v>2500000</v>
      </c>
      <c r="AN116" s="41">
        <f>SUM(AN111:AN115)</f>
        <v>419864</v>
      </c>
      <c r="AO116" s="41">
        <f>SUM(AO111:AO115)</f>
        <v>2080136</v>
      </c>
      <c r="AQ116" s="41">
        <f>SUM(AQ111:AQ115)</f>
        <v>12100000</v>
      </c>
      <c r="AR116" s="41">
        <f>SUM(AR111:AR115)</f>
        <v>23000</v>
      </c>
      <c r="AS116" s="41">
        <f>SUM(AS111:AS115)</f>
        <v>12077000</v>
      </c>
    </row>
    <row r="117" spans="1:48" ht="13.15" outlineLevel="1">
      <c r="A117" s="24"/>
      <c r="B117" s="24"/>
      <c r="C117" s="24"/>
      <c r="D117" s="24" t="s">
        <v>22</v>
      </c>
      <c r="E117" s="9"/>
      <c r="F117" s="44">
        <f>F91+F92+F100+F109+F116</f>
        <v>28986000</v>
      </c>
      <c r="G117" s="44">
        <f>G91+G92+G100+G109+G116</f>
        <v>27750000</v>
      </c>
      <c r="H117" s="44">
        <f>H91+H92+H100+H109+H116</f>
        <v>27750000</v>
      </c>
      <c r="I117" s="35">
        <f>I116+I109+I100+I92+I91</f>
        <v>84486000</v>
      </c>
      <c r="J117" s="44">
        <f>J91+J92+J100+J109+J116</f>
        <v>27750000</v>
      </c>
      <c r="K117" s="44">
        <f>K91+K92+K100+K109+K116</f>
        <v>27750000</v>
      </c>
      <c r="L117" s="44">
        <f>L91+L92+L100+L109+L116</f>
        <v>27750000</v>
      </c>
      <c r="M117" s="35">
        <f>M116+M109+M100+M92+M91</f>
        <v>83250000</v>
      </c>
      <c r="N117" s="44">
        <f>N91+N92+N100+N109+N116</f>
        <v>27750000</v>
      </c>
      <c r="O117" s="44">
        <f>O91+O92+O100+O109+O116</f>
        <v>27750000</v>
      </c>
      <c r="P117" s="44">
        <f>P91+P92+P100+P109+P116</f>
        <v>27750000</v>
      </c>
      <c r="Q117" s="35">
        <f>Q116+Q109+Q100+Q92+Q91</f>
        <v>83250000</v>
      </c>
      <c r="R117" s="44">
        <f>R91+R92+R100+R109+R116</f>
        <v>27750000</v>
      </c>
      <c r="S117" s="44">
        <f>S91+S92+S100+S109+S116</f>
        <v>27750000</v>
      </c>
      <c r="T117" s="44">
        <f>T91+T92+T100+T109+T116</f>
        <v>27750000</v>
      </c>
      <c r="U117" s="35">
        <f>U116+U109+U100+U92+U91</f>
        <v>83250000</v>
      </c>
      <c r="V117" s="35">
        <f t="shared" si="219"/>
        <v>334236000</v>
      </c>
      <c r="X117" s="48">
        <f>X116+X109+X100+X91</f>
        <v>38533275</v>
      </c>
      <c r="Y117" s="95">
        <f t="shared" ref="Y117" si="231">X117-T117</f>
        <v>10783275</v>
      </c>
      <c r="Z117" s="42"/>
      <c r="AA117" s="84">
        <f>AA116+AA109+AA100+AA91</f>
        <v>15270000</v>
      </c>
      <c r="AB117" s="48">
        <f>AB116+AB109+AB100+AB91</f>
        <v>27750000</v>
      </c>
      <c r="AC117" s="48">
        <f>AC116+AC109+AC100+AC91</f>
        <v>-12480000</v>
      </c>
      <c r="AD117" s="48">
        <f>AD116+AD109+AD100+AD91</f>
        <v>14385200</v>
      </c>
      <c r="AE117" s="48">
        <f>AE116+AE109+AE100+AE91</f>
        <v>13364800</v>
      </c>
      <c r="AF117" s="48"/>
      <c r="AG117" s="42">
        <f t="shared" si="221"/>
        <v>361986000</v>
      </c>
      <c r="AH117" s="42"/>
      <c r="AI117" s="48">
        <f>AI116+AI109+AI100+AI91</f>
        <v>44590000</v>
      </c>
      <c r="AJ117" s="48">
        <f>AJ116+AJ109+AJ100+AJ91</f>
        <v>83250000</v>
      </c>
      <c r="AK117" s="48">
        <f>AK116+AK109+AK100+AK91</f>
        <v>-38660000</v>
      </c>
      <c r="AN117" s="48">
        <f>AN116+AN109+AN100+AN91</f>
        <v>69885200</v>
      </c>
      <c r="AO117" s="48">
        <f>AO116+AO109+AO100+AO91</f>
        <v>-25295200</v>
      </c>
      <c r="AQ117" s="84">
        <f>AQ116+AQ109+AQ100+AQ91</f>
        <v>191500000</v>
      </c>
      <c r="AR117" s="48">
        <f>AR116+AR109+AR100+AR91</f>
        <v>334236000</v>
      </c>
      <c r="AS117" s="48">
        <f>AS116+AS109+AS100+AS91</f>
        <v>-142736000</v>
      </c>
    </row>
    <row r="118" spans="1:48" ht="13.9">
      <c r="A118" s="11" t="s">
        <v>23</v>
      </c>
      <c r="B118" s="11"/>
      <c r="C118" s="11"/>
      <c r="D118" s="11"/>
      <c r="F118" s="46">
        <f t="shared" ref="F118:U118" si="232">F117+F80</f>
        <v>258669000</v>
      </c>
      <c r="G118" s="46">
        <f>G117+G80</f>
        <v>257632000</v>
      </c>
      <c r="H118" s="46">
        <f t="shared" si="232"/>
        <v>257632000</v>
      </c>
      <c r="I118" s="109">
        <f t="shared" si="232"/>
        <v>773933000</v>
      </c>
      <c r="J118" s="46">
        <f t="shared" si="232"/>
        <v>257632000</v>
      </c>
      <c r="K118" s="46">
        <f t="shared" si="232"/>
        <v>257632000</v>
      </c>
      <c r="L118" s="46">
        <f t="shared" si="232"/>
        <v>257632000</v>
      </c>
      <c r="M118" s="109">
        <f t="shared" si="232"/>
        <v>772896000</v>
      </c>
      <c r="N118" s="46">
        <f t="shared" si="232"/>
        <v>257632000</v>
      </c>
      <c r="O118" s="46">
        <f t="shared" si="232"/>
        <v>257632000</v>
      </c>
      <c r="P118" s="46">
        <f t="shared" si="232"/>
        <v>257632000</v>
      </c>
      <c r="Q118" s="109">
        <f t="shared" si="232"/>
        <v>772896000</v>
      </c>
      <c r="R118" s="46">
        <f t="shared" si="232"/>
        <v>257632000</v>
      </c>
      <c r="S118" s="46">
        <f t="shared" si="232"/>
        <v>257632000</v>
      </c>
      <c r="T118" s="46">
        <f t="shared" si="232"/>
        <v>257632000</v>
      </c>
      <c r="U118" s="109">
        <f t="shared" si="232"/>
        <v>772896000</v>
      </c>
      <c r="V118" s="40">
        <f t="shared" si="219"/>
        <v>3092621000</v>
      </c>
      <c r="X118" s="49">
        <f>X117+X80</f>
        <v>349729084</v>
      </c>
      <c r="Y118" s="95">
        <f>Y85+Y105+Y107</f>
        <v>1179927</v>
      </c>
      <c r="Z118" s="186" t="s">
        <v>211</v>
      </c>
      <c r="AA118" s="49">
        <f>AA117+AA80</f>
        <v>210957000</v>
      </c>
      <c r="AB118" s="49">
        <f>AB117+AB80</f>
        <v>256632000</v>
      </c>
      <c r="AC118" s="49">
        <f>AC117+AC80</f>
        <v>-45675000</v>
      </c>
      <c r="AD118" s="49">
        <f>AD117+AD80</f>
        <v>233973080</v>
      </c>
      <c r="AE118" s="49">
        <f>AE117+AE80</f>
        <v>22636260</v>
      </c>
      <c r="AF118" s="49"/>
      <c r="AG118" s="42">
        <f t="shared" si="221"/>
        <v>3349253000</v>
      </c>
      <c r="AH118" s="42"/>
      <c r="AI118" s="49">
        <f>AI117+AI80</f>
        <v>576591000</v>
      </c>
      <c r="AJ118" s="49">
        <f>AJ117+AJ80</f>
        <v>772904000</v>
      </c>
      <c r="AK118" s="64">
        <f>AK117+AK80</f>
        <v>-196313000</v>
      </c>
      <c r="AN118" s="49">
        <f>AN117+AN80</f>
        <v>749237080</v>
      </c>
      <c r="AO118" s="64">
        <f>AO117+AO80</f>
        <v>-172646080</v>
      </c>
      <c r="AQ118" s="49">
        <f>AQ117+AQ80</f>
        <v>2285521000</v>
      </c>
      <c r="AR118" s="49">
        <f>AR117+AR80</f>
        <v>3092621000</v>
      </c>
      <c r="AS118" s="49">
        <f>AS117+AS80</f>
        <v>-807100000</v>
      </c>
      <c r="AV118" s="42"/>
    </row>
    <row r="119" spans="1:48" ht="13.15" thickBot="1">
      <c r="A119" s="14"/>
      <c r="B119" s="14"/>
      <c r="C119" s="14"/>
      <c r="D119" s="14"/>
      <c r="F119" s="47"/>
      <c r="G119" s="47"/>
      <c r="H119" s="47"/>
      <c r="I119" s="37"/>
      <c r="J119" s="47"/>
      <c r="K119" s="47"/>
      <c r="L119" s="47"/>
      <c r="M119" s="37"/>
      <c r="N119" s="47"/>
      <c r="O119" s="47"/>
      <c r="P119" s="47"/>
      <c r="Q119" s="37"/>
      <c r="R119" s="47"/>
      <c r="S119" s="47"/>
      <c r="T119" s="47"/>
      <c r="U119" s="37"/>
      <c r="V119" s="37"/>
      <c r="X119" s="39">
        <f>F120</f>
        <v>262960000</v>
      </c>
      <c r="Y119" s="42">
        <f>T118</f>
        <v>257632000</v>
      </c>
      <c r="Z119" s="203"/>
      <c r="AB119" s="39" t="s">
        <v>141</v>
      </c>
      <c r="AG119" s="42">
        <f>V118+AD118</f>
        <v>3326594080</v>
      </c>
    </row>
    <row r="120" spans="1:48" ht="15.75">
      <c r="D120" s="92" t="s">
        <v>292</v>
      </c>
      <c r="E120" s="90"/>
      <c r="F120" s="52">
        <f>F118+F26+F27+F28</f>
        <v>262960000</v>
      </c>
      <c r="G120" s="52">
        <f>G118+G26+G27+G28</f>
        <v>259836000</v>
      </c>
      <c r="H120" s="52">
        <f t="shared" ref="H120:V120" si="233">H118+H26+H27+H28</f>
        <v>259836000</v>
      </c>
      <c r="I120" s="52">
        <f t="shared" si="233"/>
        <v>782632000</v>
      </c>
      <c r="J120" s="52">
        <f t="shared" si="233"/>
        <v>259836000</v>
      </c>
      <c r="K120" s="52">
        <f t="shared" si="233"/>
        <v>259836000</v>
      </c>
      <c r="L120" s="52">
        <f t="shared" si="233"/>
        <v>259836000</v>
      </c>
      <c r="M120" s="52">
        <f t="shared" si="233"/>
        <v>779508000</v>
      </c>
      <c r="N120" s="52">
        <f t="shared" si="233"/>
        <v>259836000</v>
      </c>
      <c r="O120" s="52">
        <f t="shared" si="233"/>
        <v>259836000</v>
      </c>
      <c r="P120" s="52">
        <f t="shared" si="233"/>
        <v>259836000</v>
      </c>
      <c r="Q120" s="52">
        <f t="shared" si="233"/>
        <v>779508000</v>
      </c>
      <c r="R120" s="52">
        <f t="shared" si="233"/>
        <v>259836000</v>
      </c>
      <c r="S120" s="52">
        <f t="shared" si="233"/>
        <v>259836000</v>
      </c>
      <c r="T120" s="52">
        <f t="shared" si="233"/>
        <v>259836000</v>
      </c>
      <c r="U120" s="52">
        <f t="shared" si="233"/>
        <v>779508000</v>
      </c>
      <c r="V120" s="52">
        <f t="shared" si="233"/>
        <v>3121156000</v>
      </c>
      <c r="X120" s="39">
        <f>X119+SUM(Y120:Y125)+Y118-F26-F27-F28</f>
        <v>265053460</v>
      </c>
      <c r="Y120" s="42">
        <f>Y42</f>
        <v>677770</v>
      </c>
      <c r="Z120" s="50" t="s">
        <v>107</v>
      </c>
      <c r="AA120" s="51"/>
      <c r="AB120" s="39" t="s">
        <v>141</v>
      </c>
      <c r="AD120" s="39">
        <f>209851094+32279</f>
        <v>209883373</v>
      </c>
    </row>
    <row r="121" spans="1:48" ht="15.75">
      <c r="D121" s="277" t="s">
        <v>293</v>
      </c>
      <c r="F121" s="58">
        <f>F32-F118</f>
        <v>521049000</v>
      </c>
      <c r="G121" s="58">
        <f>G32-G118</f>
        <v>10164000</v>
      </c>
      <c r="H121" s="58">
        <f t="shared" ref="H121:V121" si="234">H32-H118</f>
        <v>10164000</v>
      </c>
      <c r="I121" s="58">
        <f t="shared" si="234"/>
        <v>541377000</v>
      </c>
      <c r="J121" s="58">
        <f t="shared" si="234"/>
        <v>10164000</v>
      </c>
      <c r="K121" s="58">
        <f t="shared" si="234"/>
        <v>10164000</v>
      </c>
      <c r="L121" s="58">
        <f t="shared" si="234"/>
        <v>10164000</v>
      </c>
      <c r="M121" s="58">
        <f t="shared" si="234"/>
        <v>30492000</v>
      </c>
      <c r="N121" s="58">
        <f t="shared" si="234"/>
        <v>10164000</v>
      </c>
      <c r="O121" s="58">
        <f t="shared" si="234"/>
        <v>10164000</v>
      </c>
      <c r="P121" s="58">
        <f t="shared" si="234"/>
        <v>10164000</v>
      </c>
      <c r="Q121" s="58">
        <f t="shared" si="234"/>
        <v>30492000</v>
      </c>
      <c r="R121" s="58">
        <f t="shared" si="234"/>
        <v>10164000</v>
      </c>
      <c r="S121" s="58">
        <f t="shared" si="234"/>
        <v>10164000</v>
      </c>
      <c r="T121" s="58">
        <f t="shared" si="234"/>
        <v>10164000</v>
      </c>
      <c r="U121" s="58">
        <f t="shared" si="234"/>
        <v>30492000</v>
      </c>
      <c r="V121" s="89">
        <f t="shared" si="234"/>
        <v>632853000</v>
      </c>
      <c r="X121" s="160"/>
      <c r="Y121" s="42">
        <f>Y43</f>
        <v>4043530</v>
      </c>
      <c r="Z121" s="50" t="s">
        <v>108</v>
      </c>
      <c r="AA121" s="51"/>
      <c r="AB121" s="39" t="s">
        <v>141</v>
      </c>
      <c r="AD121" s="39">
        <v>-8404545</v>
      </c>
    </row>
    <row r="122" spans="1:48" ht="13.15">
      <c r="D122" s="104" t="s">
        <v>335</v>
      </c>
      <c r="F122" s="42">
        <f>F121-팀별실적!E46</f>
        <v>-1000</v>
      </c>
      <c r="G122" s="52">
        <f>G121-팀별실적!F46</f>
        <v>1000</v>
      </c>
      <c r="H122" s="52">
        <f>H121-팀별실적!G46</f>
        <v>1000</v>
      </c>
      <c r="I122" s="52"/>
      <c r="J122" s="52">
        <f>J121-팀별실적!I46</f>
        <v>1000</v>
      </c>
      <c r="K122" s="52">
        <f>K121-팀별실적!J46</f>
        <v>1000</v>
      </c>
      <c r="L122" s="52">
        <f>L121-팀별실적!K46</f>
        <v>1000</v>
      </c>
      <c r="M122" s="42"/>
      <c r="N122" s="52">
        <f>N121-팀별실적!M46</f>
        <v>1000</v>
      </c>
      <c r="O122" s="52">
        <f>O121-팀별실적!N46</f>
        <v>1000</v>
      </c>
      <c r="P122" s="52">
        <f>P121-팀별실적!O46</f>
        <v>1000</v>
      </c>
      <c r="Q122" s="42"/>
      <c r="R122" s="52">
        <f>R121-팀별실적!Q46</f>
        <v>1000</v>
      </c>
      <c r="S122" s="52">
        <f>S121-팀별실적!R46</f>
        <v>1000</v>
      </c>
      <c r="T122" s="52">
        <f>T121-팀별실적!S46</f>
        <v>1000</v>
      </c>
      <c r="U122" s="42"/>
      <c r="V122" s="52">
        <f>V121-팀별실적!U46</f>
        <v>10000</v>
      </c>
      <c r="X122" s="72"/>
      <c r="Y122" s="42">
        <f>Y44</f>
        <v>269970</v>
      </c>
      <c r="Z122" s="50" t="s">
        <v>109</v>
      </c>
      <c r="AA122" s="51"/>
      <c r="AB122" s="39" t="s">
        <v>141</v>
      </c>
      <c r="AD122" s="39">
        <f>32693667+585</f>
        <v>32694252</v>
      </c>
    </row>
    <row r="123" spans="1:48" ht="13.5">
      <c r="D123" s="105"/>
      <c r="F123" s="153"/>
      <c r="G123" s="153"/>
      <c r="H123" s="153"/>
      <c r="I123" s="153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X123" s="101"/>
      <c r="Y123" s="42">
        <f>Y45</f>
        <v>215200</v>
      </c>
      <c r="Z123" s="50" t="s">
        <v>110</v>
      </c>
      <c r="AA123" s="51"/>
      <c r="AB123" s="39" t="s">
        <v>141</v>
      </c>
      <c r="AD123" s="39">
        <v>-200000</v>
      </c>
    </row>
    <row r="124" spans="1:48" ht="13.15">
      <c r="D124" s="105"/>
      <c r="F124" s="153"/>
      <c r="G124" s="153"/>
      <c r="H124" s="153"/>
      <c r="I124" s="153"/>
      <c r="X124" s="39" t="s">
        <v>146</v>
      </c>
      <c r="Y124" s="42">
        <f>Y115</f>
        <v>0</v>
      </c>
      <c r="Z124" s="93" t="s">
        <v>240</v>
      </c>
      <c r="AA124" s="51"/>
      <c r="AB124" s="39" t="s">
        <v>141</v>
      </c>
      <c r="AD124" s="39">
        <f>SUM(AD120:AD123)</f>
        <v>233973080</v>
      </c>
    </row>
    <row r="125" spans="1:48" ht="15.75">
      <c r="D125" s="94"/>
      <c r="F125" s="154"/>
      <c r="G125" s="154"/>
      <c r="H125" s="154"/>
      <c r="I125" s="154"/>
      <c r="Y125" s="55">
        <v>-1937</v>
      </c>
      <c r="Z125" s="56" t="s">
        <v>106</v>
      </c>
      <c r="AA125" s="85"/>
      <c r="AB125" s="75" t="s">
        <v>123</v>
      </c>
      <c r="AC125" s="83"/>
      <c r="AD125" s="39">
        <f>AD118-AD124</f>
        <v>0</v>
      </c>
      <c r="AE125" s="39" t="s">
        <v>141</v>
      </c>
      <c r="AF125" s="39" t="s">
        <v>141</v>
      </c>
    </row>
    <row r="126" spans="1:48" ht="15.75">
      <c r="Y126" s="42">
        <f>SUM(Y118:Y125)</f>
        <v>264016460</v>
      </c>
      <c r="Z126" s="91" t="s">
        <v>87</v>
      </c>
      <c r="AB126" s="39" t="s">
        <v>141</v>
      </c>
    </row>
    <row r="127" spans="1:48">
      <c r="U127" s="246" t="s">
        <v>241</v>
      </c>
      <c r="V127" s="172">
        <f>V36/V118</f>
        <v>0.65187425164609569</v>
      </c>
      <c r="X127" s="204">
        <f>(V118+V26+V27+V28)/V36</f>
        <v>1.5481924603174604</v>
      </c>
      <c r="Y127" s="42"/>
    </row>
    <row r="128" spans="1:48">
      <c r="U128" s="246" t="s">
        <v>242</v>
      </c>
      <c r="V128" s="172">
        <f>V40/V118</f>
        <v>0.72559812534416601</v>
      </c>
      <c r="X128" s="204">
        <f>(V118+V26+V27+V28)/V40</f>
        <v>1.3908894830659537</v>
      </c>
      <c r="Y128" s="42"/>
    </row>
    <row r="129" spans="21:24">
      <c r="U129" s="246" t="s">
        <v>243</v>
      </c>
      <c r="V129" s="172">
        <f>(V40+V42+V43+V44+V45)/V118</f>
        <v>0.79703267875371731</v>
      </c>
      <c r="X129" s="204">
        <f>(V118+V26+V27+V28)/(V40+V42+V43+V44+V45)</f>
        <v>1.2662301413433297</v>
      </c>
    </row>
    <row r="130" spans="21:24">
      <c r="U130" s="94"/>
    </row>
  </sheetData>
  <mergeCells count="31">
    <mergeCell ref="A29:D29"/>
    <mergeCell ref="A31:D31"/>
    <mergeCell ref="C32:D32"/>
    <mergeCell ref="A18:A28"/>
    <mergeCell ref="C18:D18"/>
    <mergeCell ref="C24:D24"/>
    <mergeCell ref="C25:D25"/>
    <mergeCell ref="C27:D27"/>
    <mergeCell ref="C28:D28"/>
    <mergeCell ref="C26:D26"/>
    <mergeCell ref="A6:D6"/>
    <mergeCell ref="A7:A14"/>
    <mergeCell ref="B8:B13"/>
    <mergeCell ref="A15:D15"/>
    <mergeCell ref="A17:D17"/>
    <mergeCell ref="AQ58:AQ64"/>
    <mergeCell ref="AR58:AR64"/>
    <mergeCell ref="AS58:AS64"/>
    <mergeCell ref="A1:V1"/>
    <mergeCell ref="A2:V2"/>
    <mergeCell ref="A3:V3"/>
    <mergeCell ref="AB58:AB64"/>
    <mergeCell ref="AG58:AG64"/>
    <mergeCell ref="AE58:AE64"/>
    <mergeCell ref="AC58:AC64"/>
    <mergeCell ref="AA58:AA64"/>
    <mergeCell ref="AO58:AO64"/>
    <mergeCell ref="AJ58:AJ64"/>
    <mergeCell ref="AK58:AK64"/>
    <mergeCell ref="AI58:AI64"/>
    <mergeCell ref="AL58:AL64"/>
  </mergeCells>
  <phoneticPr fontId="8" type="noConversion"/>
  <pageMargins left="0.59055118110236227" right="0.39370078740157483" top="0.98425196850393704" bottom="0.39370078740157483" header="0.51181102362204722" footer="0.51181102362204722"/>
  <pageSetup paperSize="9" scale="41" orientation="landscape" r:id="rId1"/>
  <headerFooter alignWithMargins="0">
    <oddHeader>&amp;L&amp;Z&amp;F&amp;A</oddHeader>
  </headerFooter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B1:AB37"/>
  <sheetViews>
    <sheetView workbookViewId="0">
      <selection activeCell="E25" sqref="E25"/>
    </sheetView>
  </sheetViews>
  <sheetFormatPr defaultColWidth="8.87890625" defaultRowHeight="15.75"/>
  <cols>
    <col min="1" max="1" width="0.87890625" style="211" customWidth="1"/>
    <col min="2" max="2" width="8.87890625" style="215"/>
    <col min="3" max="3" width="6.87890625" style="211" customWidth="1"/>
    <col min="4" max="4" width="8.76171875" style="211" customWidth="1"/>
    <col min="5" max="20" width="8.87890625" style="215" customWidth="1"/>
    <col min="21" max="21" width="11.52734375" style="212" customWidth="1"/>
    <col min="22" max="23" width="8.87890625" style="211"/>
    <col min="24" max="24" width="15.41015625" style="211" bestFit="1" customWidth="1"/>
    <col min="25" max="25" width="27.3515625" style="211" bestFit="1" customWidth="1"/>
    <col min="26" max="26" width="11" style="211" bestFit="1" customWidth="1"/>
    <col min="27" max="16384" width="8.87890625" style="211"/>
  </cols>
  <sheetData>
    <row r="1" spans="2:28" ht="16.149999999999999" thickBot="1">
      <c r="B1" s="481" t="s">
        <v>247</v>
      </c>
      <c r="C1" s="482"/>
      <c r="D1" s="483"/>
      <c r="E1" s="207" t="s">
        <v>185</v>
      </c>
      <c r="F1" s="208" t="s">
        <v>201</v>
      </c>
      <c r="G1" s="208" t="s">
        <v>202</v>
      </c>
      <c r="H1" s="209" t="s">
        <v>187</v>
      </c>
      <c r="I1" s="208" t="s">
        <v>188</v>
      </c>
      <c r="J1" s="208" t="s">
        <v>189</v>
      </c>
      <c r="K1" s="208" t="s">
        <v>190</v>
      </c>
      <c r="L1" s="209" t="s">
        <v>191</v>
      </c>
      <c r="M1" s="208" t="s">
        <v>192</v>
      </c>
      <c r="N1" s="208" t="s">
        <v>193</v>
      </c>
      <c r="O1" s="208" t="s">
        <v>194</v>
      </c>
      <c r="P1" s="209" t="s">
        <v>195</v>
      </c>
      <c r="Q1" s="208" t="s">
        <v>196</v>
      </c>
      <c r="R1" s="208" t="s">
        <v>197</v>
      </c>
      <c r="S1" s="208" t="s">
        <v>198</v>
      </c>
      <c r="T1" s="209" t="s">
        <v>199</v>
      </c>
      <c r="U1" s="210" t="s">
        <v>200</v>
      </c>
      <c r="X1" s="212"/>
    </row>
    <row r="2" spans="2:28">
      <c r="B2" s="484" t="s">
        <v>248</v>
      </c>
      <c r="C2" s="487" t="s">
        <v>325</v>
      </c>
      <c r="D2" s="488"/>
      <c r="E2" s="222">
        <f>total!F15/1000</f>
        <v>1119067</v>
      </c>
      <c r="F2" s="220"/>
      <c r="G2" s="220"/>
      <c r="H2" s="221">
        <f>SUM(E2:G2)</f>
        <v>1119067</v>
      </c>
      <c r="I2" s="220"/>
      <c r="J2" s="220"/>
      <c r="K2" s="220"/>
      <c r="L2" s="221">
        <f>SUM(I2:K2)</f>
        <v>0</v>
      </c>
      <c r="M2" s="220"/>
      <c r="N2" s="220"/>
      <c r="O2" s="220"/>
      <c r="P2" s="221">
        <f>SUM(M2:O2)</f>
        <v>0</v>
      </c>
      <c r="Q2" s="220"/>
      <c r="R2" s="220"/>
      <c r="S2" s="220"/>
      <c r="T2" s="221">
        <f>SUM(Q2:S2)</f>
        <v>0</v>
      </c>
      <c r="U2" s="229">
        <f>SUM(H2,L2,P2,T2)</f>
        <v>1119067</v>
      </c>
      <c r="V2" s="213"/>
      <c r="W2" s="214"/>
      <c r="X2" s="244"/>
      <c r="Y2" s="214"/>
      <c r="Z2" s="214"/>
      <c r="AA2" s="213"/>
      <c r="AB2" s="213"/>
    </row>
    <row r="3" spans="2:28">
      <c r="B3" s="485"/>
      <c r="C3" s="487" t="s">
        <v>326</v>
      </c>
      <c r="D3" s="488"/>
      <c r="E3" s="222">
        <v>1130168</v>
      </c>
      <c r="F3" s="222"/>
      <c r="G3" s="222"/>
      <c r="H3" s="223">
        <f>SUM(E3:G3)</f>
        <v>1130168</v>
      </c>
      <c r="I3" s="222"/>
      <c r="J3" s="222"/>
      <c r="K3" s="222"/>
      <c r="L3" s="223">
        <f>SUM(I3:K3)</f>
        <v>0</v>
      </c>
      <c r="M3" s="222"/>
      <c r="N3" s="222"/>
      <c r="O3" s="222"/>
      <c r="P3" s="223">
        <f>SUM(M3:O3)</f>
        <v>0</v>
      </c>
      <c r="Q3" s="222"/>
      <c r="R3" s="222"/>
      <c r="S3" s="222"/>
      <c r="T3" s="223">
        <f>SUM(Q3:S3)</f>
        <v>0</v>
      </c>
      <c r="U3" s="230">
        <f>SUM(H3,L3,P3,T3)</f>
        <v>1130168</v>
      </c>
      <c r="V3" s="213"/>
      <c r="W3" s="214"/>
      <c r="X3" s="244"/>
      <c r="Y3" s="214"/>
      <c r="Z3" s="214"/>
      <c r="AA3" s="213"/>
      <c r="AB3" s="213"/>
    </row>
    <row r="4" spans="2:28">
      <c r="B4" s="485"/>
      <c r="C4" s="489" t="s">
        <v>249</v>
      </c>
      <c r="D4" s="490"/>
      <c r="E4" s="220">
        <f>E2-E3</f>
        <v>-11101</v>
      </c>
      <c r="F4" s="220">
        <f>F2-F3</f>
        <v>0</v>
      </c>
      <c r="G4" s="220">
        <f>G2-G3</f>
        <v>0</v>
      </c>
      <c r="H4" s="221">
        <f>SUM(E4:G4)</f>
        <v>-11101</v>
      </c>
      <c r="I4" s="220">
        <f>I2-I3</f>
        <v>0</v>
      </c>
      <c r="J4" s="220">
        <f>J2-J3</f>
        <v>0</v>
      </c>
      <c r="K4" s="220">
        <f>K2-K3</f>
        <v>0</v>
      </c>
      <c r="L4" s="221">
        <f>SUM(I4:K4)</f>
        <v>0</v>
      </c>
      <c r="M4" s="220">
        <f>M2-M3</f>
        <v>0</v>
      </c>
      <c r="N4" s="220">
        <f>N2-N3</f>
        <v>0</v>
      </c>
      <c r="O4" s="220">
        <f>O2-O3</f>
        <v>0</v>
      </c>
      <c r="P4" s="221">
        <f>SUM(M4:O4)</f>
        <v>0</v>
      </c>
      <c r="Q4" s="220">
        <f>Q2-Q3</f>
        <v>0</v>
      </c>
      <c r="R4" s="220">
        <f>R2-R3</f>
        <v>0</v>
      </c>
      <c r="S4" s="220">
        <f>S2-S3</f>
        <v>0</v>
      </c>
      <c r="T4" s="221">
        <f>SUM(Q4:S4)</f>
        <v>0</v>
      </c>
      <c r="U4" s="229">
        <f>SUM(H4,L4,P4,T4)</f>
        <v>-11101</v>
      </c>
      <c r="V4" s="213"/>
      <c r="W4" s="214"/>
      <c r="X4" s="244"/>
      <c r="Y4" s="214"/>
      <c r="Z4" s="214"/>
      <c r="AA4" s="213"/>
      <c r="AB4" s="213"/>
    </row>
    <row r="5" spans="2:28" ht="16.149999999999999" thickBot="1">
      <c r="B5" s="486"/>
      <c r="C5" s="491" t="s">
        <v>250</v>
      </c>
      <c r="D5" s="492"/>
      <c r="E5" s="224" t="s">
        <v>332</v>
      </c>
      <c r="F5" s="224"/>
      <c r="G5" s="231" t="s">
        <v>186</v>
      </c>
      <c r="H5" s="232"/>
      <c r="I5" s="224"/>
      <c r="J5" s="224"/>
      <c r="K5" s="231"/>
      <c r="L5" s="232"/>
      <c r="M5" s="224"/>
      <c r="N5" s="224"/>
      <c r="O5" s="231"/>
      <c r="P5" s="232"/>
      <c r="Q5" s="224"/>
      <c r="R5" s="224"/>
      <c r="S5" s="231"/>
      <c r="T5" s="232"/>
      <c r="U5" s="233"/>
      <c r="W5" s="214"/>
      <c r="X5" s="245"/>
    </row>
    <row r="6" spans="2:28">
      <c r="B6" s="485" t="s">
        <v>251</v>
      </c>
      <c r="C6" s="487" t="s">
        <v>325</v>
      </c>
      <c r="D6" s="488"/>
      <c r="E6" s="225">
        <f>total!F29/1000</f>
        <v>339349</v>
      </c>
      <c r="F6" s="225"/>
      <c r="G6" s="225"/>
      <c r="H6" s="226">
        <f>SUM(E6:G6)</f>
        <v>339349</v>
      </c>
      <c r="I6" s="225"/>
      <c r="J6" s="225"/>
      <c r="K6" s="225"/>
      <c r="L6" s="226">
        <f>SUM(I6:K6)</f>
        <v>0</v>
      </c>
      <c r="M6" s="225"/>
      <c r="N6" s="225"/>
      <c r="O6" s="225"/>
      <c r="P6" s="226">
        <f>SUM(M6:O6)</f>
        <v>0</v>
      </c>
      <c r="Q6" s="225"/>
      <c r="R6" s="225"/>
      <c r="S6" s="225"/>
      <c r="T6" s="226">
        <f>SUM(Q6:S6)</f>
        <v>0</v>
      </c>
      <c r="U6" s="234">
        <f>SUM(H6,L6,P6,T6)</f>
        <v>339349</v>
      </c>
      <c r="W6" s="214"/>
      <c r="X6" s="245"/>
    </row>
    <row r="7" spans="2:28">
      <c r="B7" s="485"/>
      <c r="C7" s="487" t="s">
        <v>326</v>
      </c>
      <c r="D7" s="488"/>
      <c r="E7" s="222">
        <v>339349</v>
      </c>
      <c r="F7" s="222"/>
      <c r="G7" s="222"/>
      <c r="H7" s="223">
        <f>SUM(E7:G7)</f>
        <v>339349</v>
      </c>
      <c r="I7" s="222"/>
      <c r="J7" s="222"/>
      <c r="K7" s="222"/>
      <c r="L7" s="223">
        <f>SUM(I7:K7)</f>
        <v>0</v>
      </c>
      <c r="M7" s="222"/>
      <c r="N7" s="222"/>
      <c r="O7" s="222"/>
      <c r="P7" s="223">
        <f>SUM(M7:O7)</f>
        <v>0</v>
      </c>
      <c r="Q7" s="222"/>
      <c r="R7" s="222"/>
      <c r="S7" s="222"/>
      <c r="T7" s="223">
        <f>SUM(Q7:S7)</f>
        <v>0</v>
      </c>
      <c r="U7" s="230">
        <f>SUM(H7,L7,P7,T7)</f>
        <v>339349</v>
      </c>
      <c r="W7" s="214"/>
      <c r="X7" s="245"/>
    </row>
    <row r="8" spans="2:28">
      <c r="B8" s="485"/>
      <c r="C8" s="489" t="s">
        <v>249</v>
      </c>
      <c r="D8" s="490"/>
      <c r="E8" s="220">
        <f>E6-E7</f>
        <v>0</v>
      </c>
      <c r="F8" s="220">
        <f>F6-F7</f>
        <v>0</v>
      </c>
      <c r="G8" s="220">
        <f>G6-G7</f>
        <v>0</v>
      </c>
      <c r="H8" s="221">
        <f>SUM(E8:G8)</f>
        <v>0</v>
      </c>
      <c r="I8" s="220">
        <f>I6-I7</f>
        <v>0</v>
      </c>
      <c r="J8" s="220">
        <f>J6-J7</f>
        <v>0</v>
      </c>
      <c r="K8" s="220">
        <f>K6-K7</f>
        <v>0</v>
      </c>
      <c r="L8" s="221">
        <f>SUM(I8:K8)</f>
        <v>0</v>
      </c>
      <c r="M8" s="220">
        <f>M6-M7</f>
        <v>0</v>
      </c>
      <c r="N8" s="220">
        <f>N6-N7</f>
        <v>0</v>
      </c>
      <c r="O8" s="220">
        <f>O6-O7</f>
        <v>0</v>
      </c>
      <c r="P8" s="221">
        <f>SUM(M8:O8)</f>
        <v>0</v>
      </c>
      <c r="Q8" s="220">
        <f>Q6-Q7</f>
        <v>0</v>
      </c>
      <c r="R8" s="220">
        <f>R6-R7</f>
        <v>0</v>
      </c>
      <c r="S8" s="220">
        <f>S6-S7</f>
        <v>0</v>
      </c>
      <c r="T8" s="221">
        <f>SUM(Q8:S8)</f>
        <v>0</v>
      </c>
      <c r="U8" s="229">
        <f>SUM(H8,L8,P8,T8)</f>
        <v>0</v>
      </c>
      <c r="W8" s="214"/>
      <c r="X8" s="245"/>
    </row>
    <row r="9" spans="2:28" ht="16.149999999999999" thickBot="1">
      <c r="B9" s="486"/>
      <c r="C9" s="491" t="s">
        <v>250</v>
      </c>
      <c r="D9" s="492"/>
      <c r="E9" s="224"/>
      <c r="F9" s="224"/>
      <c r="G9" s="231" t="s">
        <v>186</v>
      </c>
      <c r="H9" s="232"/>
      <c r="I9" s="224"/>
      <c r="J9" s="224"/>
      <c r="K9" s="231" t="s">
        <v>186</v>
      </c>
      <c r="L9" s="232"/>
      <c r="M9" s="224"/>
      <c r="N9" s="224"/>
      <c r="O9" s="231" t="s">
        <v>186</v>
      </c>
      <c r="P9" s="232"/>
      <c r="Q9" s="224"/>
      <c r="R9" s="224"/>
      <c r="S9" s="262"/>
      <c r="T9" s="232"/>
      <c r="U9" s="233"/>
      <c r="W9" s="214"/>
      <c r="X9" s="245"/>
    </row>
    <row r="10" spans="2:28">
      <c r="B10" s="485" t="s">
        <v>252</v>
      </c>
      <c r="C10" s="487" t="s">
        <v>325</v>
      </c>
      <c r="D10" s="488"/>
      <c r="E10" s="225">
        <f t="shared" ref="E10" si="0">E2-E6</f>
        <v>779718</v>
      </c>
      <c r="F10" s="225">
        <f t="shared" ref="F10:T11" si="1">F2-F6</f>
        <v>0</v>
      </c>
      <c r="G10" s="225">
        <f t="shared" si="1"/>
        <v>0</v>
      </c>
      <c r="H10" s="226">
        <f t="shared" si="1"/>
        <v>779718</v>
      </c>
      <c r="I10" s="225">
        <f t="shared" si="1"/>
        <v>0</v>
      </c>
      <c r="J10" s="225">
        <f t="shared" si="1"/>
        <v>0</v>
      </c>
      <c r="K10" s="225">
        <f t="shared" si="1"/>
        <v>0</v>
      </c>
      <c r="L10" s="226">
        <f t="shared" si="1"/>
        <v>0</v>
      </c>
      <c r="M10" s="225">
        <f t="shared" si="1"/>
        <v>0</v>
      </c>
      <c r="N10" s="225">
        <f t="shared" si="1"/>
        <v>0</v>
      </c>
      <c r="O10" s="225">
        <f t="shared" si="1"/>
        <v>0</v>
      </c>
      <c r="P10" s="226">
        <f t="shared" si="1"/>
        <v>0</v>
      </c>
      <c r="Q10" s="225">
        <f>Q2-Q6</f>
        <v>0</v>
      </c>
      <c r="R10" s="225">
        <f t="shared" si="1"/>
        <v>0</v>
      </c>
      <c r="S10" s="225">
        <f t="shared" si="1"/>
        <v>0</v>
      </c>
      <c r="T10" s="226">
        <f t="shared" si="1"/>
        <v>0</v>
      </c>
      <c r="U10" s="234">
        <f>SUM(H10,L10,P10,T10)</f>
        <v>779718</v>
      </c>
      <c r="W10" s="214"/>
      <c r="X10" s="245"/>
    </row>
    <row r="11" spans="2:28">
      <c r="B11" s="485"/>
      <c r="C11" s="487" t="s">
        <v>326</v>
      </c>
      <c r="D11" s="488"/>
      <c r="E11" s="222">
        <f t="shared" ref="E11" si="2">E3-E7</f>
        <v>790819</v>
      </c>
      <c r="F11" s="222">
        <f t="shared" si="1"/>
        <v>0</v>
      </c>
      <c r="G11" s="222">
        <f t="shared" si="1"/>
        <v>0</v>
      </c>
      <c r="H11" s="223">
        <f>SUM(E11:G11)</f>
        <v>790819</v>
      </c>
      <c r="I11" s="222">
        <f t="shared" si="1"/>
        <v>0</v>
      </c>
      <c r="J11" s="222">
        <f t="shared" si="1"/>
        <v>0</v>
      </c>
      <c r="K11" s="222">
        <f t="shared" si="1"/>
        <v>0</v>
      </c>
      <c r="L11" s="223">
        <f>SUM(I11:K11)</f>
        <v>0</v>
      </c>
      <c r="M11" s="222">
        <f t="shared" si="1"/>
        <v>0</v>
      </c>
      <c r="N11" s="222">
        <f t="shared" si="1"/>
        <v>0</v>
      </c>
      <c r="O11" s="222">
        <f t="shared" si="1"/>
        <v>0</v>
      </c>
      <c r="P11" s="223">
        <f>SUM(M11:O11)</f>
        <v>0</v>
      </c>
      <c r="Q11" s="222">
        <f>Q3-Q7</f>
        <v>0</v>
      </c>
      <c r="R11" s="222">
        <f>R3-R7</f>
        <v>0</v>
      </c>
      <c r="S11" s="222">
        <f>S3-S7</f>
        <v>0</v>
      </c>
      <c r="T11" s="223">
        <f>SUM(Q11:S11)</f>
        <v>0</v>
      </c>
      <c r="U11" s="230">
        <f>SUM(H11,L11,P11,T11)</f>
        <v>790819</v>
      </c>
    </row>
    <row r="12" spans="2:28">
      <c r="B12" s="485"/>
      <c r="C12" s="489" t="s">
        <v>249</v>
      </c>
      <c r="D12" s="490"/>
      <c r="E12" s="220">
        <f>E10-E11</f>
        <v>-11101</v>
      </c>
      <c r="F12" s="220">
        <f>F10-F11</f>
        <v>0</v>
      </c>
      <c r="G12" s="220">
        <f>G10-G11</f>
        <v>0</v>
      </c>
      <c r="H12" s="223">
        <f>SUM(E12:G12)</f>
        <v>-11101</v>
      </c>
      <c r="I12" s="220">
        <f>I10-I11</f>
        <v>0</v>
      </c>
      <c r="J12" s="220">
        <f>J10-J11</f>
        <v>0</v>
      </c>
      <c r="K12" s="220">
        <f>K10-K11</f>
        <v>0</v>
      </c>
      <c r="L12" s="223">
        <f>SUM(I12:K12)</f>
        <v>0</v>
      </c>
      <c r="M12" s="220">
        <f>M10-M11</f>
        <v>0</v>
      </c>
      <c r="N12" s="220">
        <f>N10-N11</f>
        <v>0</v>
      </c>
      <c r="O12" s="220">
        <f>O10-O11</f>
        <v>0</v>
      </c>
      <c r="P12" s="223">
        <f>SUM(M12:O12)</f>
        <v>0</v>
      </c>
      <c r="Q12" s="220">
        <f>Q10-Q11</f>
        <v>0</v>
      </c>
      <c r="R12" s="220">
        <f>R10-R11</f>
        <v>0</v>
      </c>
      <c r="S12" s="220">
        <f>S10-S11</f>
        <v>0</v>
      </c>
      <c r="T12" s="223">
        <f>SUM(Q12:S12)</f>
        <v>0</v>
      </c>
      <c r="U12" s="230">
        <f>SUM(H12,L12,P12,T12)</f>
        <v>-11101</v>
      </c>
    </row>
    <row r="13" spans="2:28" ht="16.149999999999999" thickBot="1">
      <c r="B13" s="486"/>
      <c r="C13" s="491" t="s">
        <v>250</v>
      </c>
      <c r="D13" s="492"/>
      <c r="E13" s="224" t="s">
        <v>332</v>
      </c>
      <c r="F13" s="224"/>
      <c r="G13" s="231" t="s">
        <v>186</v>
      </c>
      <c r="H13" s="232"/>
      <c r="I13" s="224"/>
      <c r="J13" s="224"/>
      <c r="K13" s="231" t="s">
        <v>186</v>
      </c>
      <c r="L13" s="232"/>
      <c r="M13" s="224"/>
      <c r="N13" s="224"/>
      <c r="O13" s="231" t="s">
        <v>186</v>
      </c>
      <c r="P13" s="232"/>
      <c r="Q13" s="224"/>
      <c r="R13" s="224"/>
      <c r="S13" s="231" t="s">
        <v>186</v>
      </c>
      <c r="T13" s="232"/>
      <c r="U13" s="235"/>
      <c r="W13" s="214"/>
      <c r="X13" s="215"/>
      <c r="Y13" s="215"/>
      <c r="Z13" s="215"/>
    </row>
    <row r="14" spans="2:28">
      <c r="B14" s="496" t="s">
        <v>253</v>
      </c>
      <c r="C14" s="487" t="s">
        <v>325</v>
      </c>
      <c r="D14" s="488"/>
      <c r="E14" s="225">
        <f>total!F118/1000</f>
        <v>258669</v>
      </c>
      <c r="F14" s="225"/>
      <c r="G14" s="225"/>
      <c r="H14" s="226">
        <f t="shared" ref="H14:H23" si="3">SUM(E14:G14)</f>
        <v>258669</v>
      </c>
      <c r="I14" s="225"/>
      <c r="J14" s="225"/>
      <c r="K14" s="225"/>
      <c r="L14" s="226">
        <f t="shared" ref="L14:L23" si="4">SUM(I14:K14)</f>
        <v>0</v>
      </c>
      <c r="M14" s="225"/>
      <c r="N14" s="225"/>
      <c r="O14" s="225"/>
      <c r="P14" s="226">
        <f t="shared" ref="P14:P23" si="5">SUM(M14:O14)</f>
        <v>0</v>
      </c>
      <c r="Q14" s="225"/>
      <c r="R14" s="225"/>
      <c r="S14" s="225"/>
      <c r="T14" s="226">
        <f t="shared" ref="T14:T23" si="6">SUM(Q14:S14)</f>
        <v>0</v>
      </c>
      <c r="U14" s="234">
        <f t="shared" ref="U14:U25" si="7">SUM(H14,L14,P14,T14)</f>
        <v>258669</v>
      </c>
      <c r="X14" s="214"/>
      <c r="Y14" s="214"/>
      <c r="Z14" s="245"/>
    </row>
    <row r="15" spans="2:28">
      <c r="B15" s="497"/>
      <c r="C15" s="487" t="s">
        <v>326</v>
      </c>
      <c r="D15" s="488"/>
      <c r="E15" s="222">
        <v>345438</v>
      </c>
      <c r="F15" s="222"/>
      <c r="G15" s="222"/>
      <c r="H15" s="223">
        <f t="shared" si="3"/>
        <v>345438</v>
      </c>
      <c r="I15" s="222"/>
      <c r="J15" s="222"/>
      <c r="K15" s="222"/>
      <c r="L15" s="223">
        <f t="shared" si="4"/>
        <v>0</v>
      </c>
      <c r="M15" s="222"/>
      <c r="N15" s="222"/>
      <c r="O15" s="222"/>
      <c r="P15" s="223">
        <f t="shared" si="5"/>
        <v>0</v>
      </c>
      <c r="Q15" s="222"/>
      <c r="R15" s="222"/>
      <c r="S15" s="222"/>
      <c r="T15" s="223">
        <f t="shared" si="6"/>
        <v>0</v>
      </c>
      <c r="U15" s="230">
        <f t="shared" si="7"/>
        <v>345438</v>
      </c>
      <c r="X15" s="214"/>
      <c r="Y15" s="214"/>
      <c r="Z15" s="245"/>
    </row>
    <row r="16" spans="2:28" ht="16.149999999999999" thickBot="1">
      <c r="B16" s="497"/>
      <c r="C16" s="499" t="s">
        <v>249</v>
      </c>
      <c r="D16" s="500"/>
      <c r="E16" s="227">
        <f>E14-E15</f>
        <v>-86769</v>
      </c>
      <c r="F16" s="227">
        <f>F14-F15</f>
        <v>0</v>
      </c>
      <c r="G16" s="227">
        <f>G14-G15</f>
        <v>0</v>
      </c>
      <c r="H16" s="228">
        <f t="shared" si="3"/>
        <v>-86769</v>
      </c>
      <c r="I16" s="227">
        <f>I14-I15</f>
        <v>0</v>
      </c>
      <c r="J16" s="227">
        <f>J14-J15</f>
        <v>0</v>
      </c>
      <c r="K16" s="227">
        <f>K14-K15</f>
        <v>0</v>
      </c>
      <c r="L16" s="228">
        <f t="shared" si="4"/>
        <v>0</v>
      </c>
      <c r="M16" s="227">
        <f>M14-M15</f>
        <v>0</v>
      </c>
      <c r="N16" s="227">
        <f>N14-N15</f>
        <v>0</v>
      </c>
      <c r="O16" s="227">
        <f>O14-O15</f>
        <v>0</v>
      </c>
      <c r="P16" s="228">
        <f t="shared" si="5"/>
        <v>0</v>
      </c>
      <c r="Q16" s="227">
        <f>Q14-Q15</f>
        <v>0</v>
      </c>
      <c r="R16" s="227">
        <f>R14-R15</f>
        <v>0</v>
      </c>
      <c r="S16" s="227">
        <f>S14-S15</f>
        <v>0</v>
      </c>
      <c r="T16" s="228">
        <f t="shared" si="6"/>
        <v>0</v>
      </c>
      <c r="U16" s="236">
        <f t="shared" si="7"/>
        <v>-86769</v>
      </c>
      <c r="X16" s="214"/>
      <c r="Y16" s="214"/>
      <c r="Z16" s="245"/>
    </row>
    <row r="17" spans="2:26">
      <c r="B17" s="497"/>
      <c r="C17" s="501" t="s">
        <v>250</v>
      </c>
      <c r="D17" s="249" t="s">
        <v>255</v>
      </c>
      <c r="E17" s="250"/>
      <c r="F17" s="250"/>
      <c r="G17" s="250"/>
      <c r="H17" s="226">
        <f t="shared" si="3"/>
        <v>0</v>
      </c>
      <c r="I17" s="250"/>
      <c r="J17" s="250"/>
      <c r="K17" s="250"/>
      <c r="L17" s="226">
        <f t="shared" si="4"/>
        <v>0</v>
      </c>
      <c r="M17" s="250"/>
      <c r="N17" s="250"/>
      <c r="O17" s="250"/>
      <c r="P17" s="226">
        <f t="shared" si="5"/>
        <v>0</v>
      </c>
      <c r="Q17" s="250"/>
      <c r="R17" s="250"/>
      <c r="S17" s="250"/>
      <c r="T17" s="226">
        <f t="shared" si="6"/>
        <v>0</v>
      </c>
      <c r="U17" s="237">
        <f t="shared" si="7"/>
        <v>0</v>
      </c>
      <c r="X17" s="214"/>
      <c r="Y17" s="214"/>
      <c r="Z17" s="245"/>
    </row>
    <row r="18" spans="2:26">
      <c r="B18" s="497"/>
      <c r="C18" s="502"/>
      <c r="D18" s="251" t="s">
        <v>256</v>
      </c>
      <c r="E18" s="252"/>
      <c r="F18" s="252"/>
      <c r="G18" s="252"/>
      <c r="H18" s="221">
        <f t="shared" si="3"/>
        <v>0</v>
      </c>
      <c r="I18" s="252"/>
      <c r="J18" s="252"/>
      <c r="K18" s="252"/>
      <c r="L18" s="221">
        <f t="shared" si="4"/>
        <v>0</v>
      </c>
      <c r="M18" s="253"/>
      <c r="N18" s="252"/>
      <c r="O18" s="252"/>
      <c r="P18" s="221">
        <f t="shared" si="5"/>
        <v>0</v>
      </c>
      <c r="Q18" s="252"/>
      <c r="R18" s="252"/>
      <c r="S18" s="252"/>
      <c r="T18" s="221">
        <f t="shared" si="6"/>
        <v>0</v>
      </c>
      <c r="U18" s="239">
        <f t="shared" si="7"/>
        <v>0</v>
      </c>
      <c r="X18" s="214"/>
      <c r="Y18" s="214"/>
      <c r="Z18" s="245"/>
    </row>
    <row r="19" spans="2:26">
      <c r="B19" s="497"/>
      <c r="C19" s="502"/>
      <c r="D19" s="216" t="s">
        <v>257</v>
      </c>
      <c r="E19" s="220"/>
      <c r="F19" s="240"/>
      <c r="G19" s="240"/>
      <c r="H19" s="221">
        <f t="shared" si="3"/>
        <v>0</v>
      </c>
      <c r="I19" s="220"/>
      <c r="J19" s="240"/>
      <c r="K19" s="240"/>
      <c r="L19" s="221">
        <f t="shared" si="4"/>
        <v>0</v>
      </c>
      <c r="M19" s="238"/>
      <c r="N19" s="240"/>
      <c r="O19" s="240"/>
      <c r="P19" s="221">
        <f t="shared" si="5"/>
        <v>0</v>
      </c>
      <c r="Q19" s="220"/>
      <c r="R19" s="240"/>
      <c r="S19" s="240"/>
      <c r="T19" s="221">
        <f t="shared" si="6"/>
        <v>0</v>
      </c>
      <c r="U19" s="239">
        <f t="shared" si="7"/>
        <v>0</v>
      </c>
    </row>
    <row r="20" spans="2:26">
      <c r="B20" s="497"/>
      <c r="C20" s="502"/>
      <c r="D20" s="216" t="s">
        <v>260</v>
      </c>
      <c r="E20" s="220"/>
      <c r="F20" s="240"/>
      <c r="G20" s="240"/>
      <c r="H20" s="221">
        <f t="shared" si="3"/>
        <v>0</v>
      </c>
      <c r="I20" s="220"/>
      <c r="J20" s="220"/>
      <c r="K20" s="240"/>
      <c r="L20" s="221">
        <f t="shared" si="4"/>
        <v>0</v>
      </c>
      <c r="M20" s="220"/>
      <c r="N20" s="220"/>
      <c r="O20" s="240"/>
      <c r="P20" s="221">
        <f t="shared" si="5"/>
        <v>0</v>
      </c>
      <c r="Q20" s="220"/>
      <c r="R20" s="220"/>
      <c r="S20" s="240"/>
      <c r="T20" s="221">
        <f t="shared" si="6"/>
        <v>0</v>
      </c>
      <c r="U20" s="239">
        <f t="shared" si="7"/>
        <v>0</v>
      </c>
    </row>
    <row r="21" spans="2:26">
      <c r="B21" s="497"/>
      <c r="C21" s="502"/>
      <c r="D21" s="216" t="s">
        <v>258</v>
      </c>
      <c r="E21" s="220"/>
      <c r="F21" s="220"/>
      <c r="G21" s="220"/>
      <c r="H21" s="221">
        <f t="shared" si="3"/>
        <v>0</v>
      </c>
      <c r="I21" s="220"/>
      <c r="J21" s="220"/>
      <c r="K21" s="220"/>
      <c r="L21" s="221">
        <f t="shared" si="4"/>
        <v>0</v>
      </c>
      <c r="M21" s="220"/>
      <c r="N21" s="220"/>
      <c r="O21" s="220"/>
      <c r="P21" s="221">
        <f t="shared" si="5"/>
        <v>0</v>
      </c>
      <c r="Q21" s="220"/>
      <c r="R21" s="220"/>
      <c r="S21" s="220"/>
      <c r="T21" s="221">
        <f t="shared" si="6"/>
        <v>0</v>
      </c>
      <c r="U21" s="239">
        <f t="shared" si="7"/>
        <v>0</v>
      </c>
    </row>
    <row r="22" spans="2:26">
      <c r="B22" s="497"/>
      <c r="C22" s="502"/>
      <c r="D22" s="254" t="s">
        <v>333</v>
      </c>
      <c r="E22" s="388">
        <v>5256</v>
      </c>
      <c r="F22" s="227"/>
      <c r="G22" s="227"/>
      <c r="H22" s="255"/>
      <c r="I22" s="238"/>
      <c r="J22" s="238"/>
      <c r="K22" s="238"/>
      <c r="L22" s="221">
        <f t="shared" si="4"/>
        <v>0</v>
      </c>
      <c r="M22" s="227"/>
      <c r="N22" s="227"/>
      <c r="O22" s="227"/>
      <c r="P22" s="221">
        <f t="shared" si="5"/>
        <v>0</v>
      </c>
      <c r="Q22" s="227"/>
      <c r="R22" s="227"/>
      <c r="S22" s="227"/>
      <c r="T22" s="221">
        <f t="shared" si="6"/>
        <v>0</v>
      </c>
      <c r="U22" s="239">
        <f t="shared" si="7"/>
        <v>0</v>
      </c>
    </row>
    <row r="23" spans="2:26" ht="16.149999999999999" thickBot="1">
      <c r="B23" s="498"/>
      <c r="C23" s="503"/>
      <c r="D23" s="217" t="s">
        <v>259</v>
      </c>
      <c r="E23" s="241">
        <v>6273</v>
      </c>
      <c r="F23" s="241"/>
      <c r="G23" s="241"/>
      <c r="H23" s="232">
        <f t="shared" si="3"/>
        <v>6273</v>
      </c>
      <c r="I23" s="241"/>
      <c r="J23" s="241"/>
      <c r="K23" s="241"/>
      <c r="L23" s="221">
        <f t="shared" si="4"/>
        <v>0</v>
      </c>
      <c r="M23" s="241"/>
      <c r="N23" s="241"/>
      <c r="O23" s="241"/>
      <c r="P23" s="232">
        <f t="shared" si="5"/>
        <v>0</v>
      </c>
      <c r="Q23" s="241"/>
      <c r="R23" s="241"/>
      <c r="S23" s="241"/>
      <c r="T23" s="232">
        <f t="shared" si="6"/>
        <v>0</v>
      </c>
      <c r="U23" s="233">
        <f t="shared" si="7"/>
        <v>6273</v>
      </c>
    </row>
    <row r="24" spans="2:26">
      <c r="B24" s="493" t="s">
        <v>254</v>
      </c>
      <c r="C24" s="487" t="s">
        <v>325</v>
      </c>
      <c r="D24" s="488"/>
      <c r="E24" s="225">
        <f>E10-E14</f>
        <v>521049</v>
      </c>
      <c r="F24" s="225">
        <f t="shared" ref="F24:T24" si="8">F10-F14</f>
        <v>0</v>
      </c>
      <c r="G24" s="225">
        <f t="shared" si="8"/>
        <v>0</v>
      </c>
      <c r="H24" s="226">
        <f t="shared" si="8"/>
        <v>521049</v>
      </c>
      <c r="I24" s="225">
        <f t="shared" si="8"/>
        <v>0</v>
      </c>
      <c r="J24" s="225">
        <f t="shared" si="8"/>
        <v>0</v>
      </c>
      <c r="K24" s="225">
        <f t="shared" si="8"/>
        <v>0</v>
      </c>
      <c r="L24" s="226">
        <f t="shared" si="8"/>
        <v>0</v>
      </c>
      <c r="M24" s="225">
        <f t="shared" si="8"/>
        <v>0</v>
      </c>
      <c r="N24" s="225">
        <f t="shared" si="8"/>
        <v>0</v>
      </c>
      <c r="O24" s="225">
        <f t="shared" si="8"/>
        <v>0</v>
      </c>
      <c r="P24" s="226">
        <f t="shared" si="8"/>
        <v>0</v>
      </c>
      <c r="Q24" s="225">
        <f t="shared" si="8"/>
        <v>0</v>
      </c>
      <c r="R24" s="225">
        <f t="shared" si="8"/>
        <v>0</v>
      </c>
      <c r="S24" s="225">
        <f t="shared" si="8"/>
        <v>0</v>
      </c>
      <c r="T24" s="226">
        <f t="shared" si="8"/>
        <v>0</v>
      </c>
      <c r="U24" s="234">
        <f t="shared" si="7"/>
        <v>521049</v>
      </c>
    </row>
    <row r="25" spans="2:26">
      <c r="B25" s="485"/>
      <c r="C25" s="487" t="s">
        <v>326</v>
      </c>
      <c r="D25" s="488"/>
      <c r="E25" s="220">
        <f>E11-E15</f>
        <v>445381</v>
      </c>
      <c r="F25" s="220">
        <f>F11-F15</f>
        <v>0</v>
      </c>
      <c r="G25" s="220">
        <f>G11-G15</f>
        <v>0</v>
      </c>
      <c r="H25" s="221">
        <f>SUM(E25:G25)</f>
        <v>445381</v>
      </c>
      <c r="I25" s="220">
        <f>I11-I15</f>
        <v>0</v>
      </c>
      <c r="J25" s="220">
        <f>J11-J15</f>
        <v>0</v>
      </c>
      <c r="K25" s="220">
        <f>K11-K15</f>
        <v>0</v>
      </c>
      <c r="L25" s="221">
        <f>SUM(I25:K25)</f>
        <v>0</v>
      </c>
      <c r="M25" s="220">
        <f>M11-M15</f>
        <v>0</v>
      </c>
      <c r="N25" s="220">
        <f>N11-N15</f>
        <v>0</v>
      </c>
      <c r="O25" s="220">
        <f>O11-O15</f>
        <v>0</v>
      </c>
      <c r="P25" s="221">
        <f>SUM(M25:O25)</f>
        <v>0</v>
      </c>
      <c r="Q25" s="220">
        <f>Q11-Q15</f>
        <v>0</v>
      </c>
      <c r="R25" s="220">
        <f>R11-R15</f>
        <v>0</v>
      </c>
      <c r="S25" s="220">
        <f>S11-S15</f>
        <v>0</v>
      </c>
      <c r="T25" s="221">
        <f>SUM(Q25:S25)</f>
        <v>0</v>
      </c>
      <c r="U25" s="229">
        <f t="shared" si="7"/>
        <v>445381</v>
      </c>
    </row>
    <row r="26" spans="2:26">
      <c r="B26" s="485"/>
      <c r="C26" s="494" t="s">
        <v>249</v>
      </c>
      <c r="D26" s="489"/>
      <c r="E26" s="220">
        <f>E24-E25</f>
        <v>75668</v>
      </c>
      <c r="F26" s="220">
        <f>F24-F25</f>
        <v>0</v>
      </c>
      <c r="G26" s="220">
        <f>G24-G25</f>
        <v>0</v>
      </c>
      <c r="H26" s="221">
        <f>SUM(E26:G26)</f>
        <v>75668</v>
      </c>
      <c r="I26" s="220">
        <f>I24-I25</f>
        <v>0</v>
      </c>
      <c r="J26" s="220">
        <f>J24-J25</f>
        <v>0</v>
      </c>
      <c r="K26" s="220">
        <f>K24-K25</f>
        <v>0</v>
      </c>
      <c r="L26" s="221">
        <f>SUM(I26:K26)</f>
        <v>0</v>
      </c>
      <c r="M26" s="220">
        <f>M24-M25</f>
        <v>0</v>
      </c>
      <c r="N26" s="220">
        <f>N24-N25</f>
        <v>0</v>
      </c>
      <c r="O26" s="220">
        <f>O24-O25</f>
        <v>0</v>
      </c>
      <c r="P26" s="221">
        <f>SUM(M26:O26)</f>
        <v>0</v>
      </c>
      <c r="Q26" s="220">
        <f>Q24-Q25</f>
        <v>0</v>
      </c>
      <c r="R26" s="220">
        <f>R24-R25</f>
        <v>0</v>
      </c>
      <c r="S26" s="220">
        <f>S24-S25</f>
        <v>0</v>
      </c>
      <c r="T26" s="221">
        <f>SUM(Q26:S26)</f>
        <v>0</v>
      </c>
      <c r="U26" s="229">
        <f>SUM(H26,L26,P26,T26)</f>
        <v>75668</v>
      </c>
    </row>
    <row r="27" spans="2:26" ht="16.149999999999999" thickBot="1">
      <c r="B27" s="486"/>
      <c r="C27" s="495" t="s">
        <v>250</v>
      </c>
      <c r="D27" s="491"/>
      <c r="E27" s="378" t="s">
        <v>327</v>
      </c>
      <c r="F27" s="257"/>
      <c r="G27" s="258"/>
      <c r="H27" s="259"/>
      <c r="I27" s="257"/>
      <c r="J27" s="257"/>
      <c r="K27" s="257"/>
      <c r="L27" s="259"/>
      <c r="M27" s="257"/>
      <c r="N27" s="256"/>
      <c r="O27" s="257"/>
      <c r="P27" s="259"/>
      <c r="Q27" s="256"/>
      <c r="R27" s="257"/>
      <c r="S27" s="258"/>
      <c r="T27" s="242"/>
      <c r="U27" s="243"/>
    </row>
    <row r="28" spans="2:26">
      <c r="E28" s="218"/>
      <c r="F28" s="218"/>
      <c r="G28" s="218"/>
      <c r="H28" s="218"/>
      <c r="I28" s="218"/>
      <c r="J28" s="218"/>
      <c r="K28" s="218"/>
      <c r="L28" s="218"/>
      <c r="M28" s="218"/>
      <c r="N28" s="218"/>
      <c r="O28" s="218"/>
      <c r="P28" s="218"/>
      <c r="Q28" s="218"/>
      <c r="R28" s="218"/>
      <c r="S28" s="218"/>
      <c r="T28" s="218"/>
      <c r="U28" s="219"/>
    </row>
    <row r="29" spans="2:26">
      <c r="E29" s="218"/>
      <c r="F29" s="218"/>
      <c r="G29" s="218"/>
      <c r="H29" s="218"/>
      <c r="I29" s="218"/>
      <c r="J29" s="218"/>
      <c r="K29" s="218"/>
      <c r="L29" s="218"/>
      <c r="M29" s="218"/>
      <c r="N29" s="218"/>
      <c r="O29" s="218"/>
      <c r="P29" s="218"/>
      <c r="Q29" s="218"/>
      <c r="R29" s="218"/>
      <c r="S29" s="261"/>
      <c r="T29" s="218"/>
      <c r="U29" s="219"/>
    </row>
    <row r="30" spans="2:26">
      <c r="Q30" s="260"/>
      <c r="R30" s="260"/>
      <c r="S30" s="260"/>
    </row>
    <row r="31" spans="2:26">
      <c r="M31" s="260"/>
      <c r="S31" s="260"/>
    </row>
    <row r="32" spans="2:26">
      <c r="S32" s="260"/>
    </row>
    <row r="33" spans="19:19">
      <c r="S33" s="260"/>
    </row>
    <row r="34" spans="19:19">
      <c r="S34" s="260"/>
    </row>
    <row r="37" spans="19:19">
      <c r="S37" s="260"/>
    </row>
  </sheetData>
  <mergeCells count="26">
    <mergeCell ref="B14:B23"/>
    <mergeCell ref="C14:D14"/>
    <mergeCell ref="C15:D15"/>
    <mergeCell ref="C16:D16"/>
    <mergeCell ref="C17:C23"/>
    <mergeCell ref="B24:B27"/>
    <mergeCell ref="C24:D24"/>
    <mergeCell ref="C25:D25"/>
    <mergeCell ref="C26:D26"/>
    <mergeCell ref="C27:D27"/>
    <mergeCell ref="B6:B9"/>
    <mergeCell ref="C6:D6"/>
    <mergeCell ref="C7:D7"/>
    <mergeCell ref="C8:D8"/>
    <mergeCell ref="C9:D9"/>
    <mergeCell ref="B10:B13"/>
    <mergeCell ref="C10:D10"/>
    <mergeCell ref="C11:D11"/>
    <mergeCell ref="C12:D12"/>
    <mergeCell ref="C13:D13"/>
    <mergeCell ref="B1:D1"/>
    <mergeCell ref="B2:B5"/>
    <mergeCell ref="C2:D2"/>
    <mergeCell ref="C3:D3"/>
    <mergeCell ref="C4:D4"/>
    <mergeCell ref="C5:D5"/>
  </mergeCells>
  <phoneticPr fontId="8" type="noConversion"/>
  <pageMargins left="0.70866141732283472" right="0.70866141732283472" top="0.74803149606299213" bottom="0.74803149606299213" header="0.31496062992125984" footer="0.31496062992125984"/>
  <pageSetup paperSize="9" scale="47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1B984-EC5D-474C-9172-8558DC1DE2F8}">
  <dimension ref="B2:AF47"/>
  <sheetViews>
    <sheetView workbookViewId="0">
      <selection activeCell="A21" sqref="A21"/>
    </sheetView>
  </sheetViews>
  <sheetFormatPr defaultRowHeight="13.5"/>
  <cols>
    <col min="3" max="3" width="11" customWidth="1"/>
    <col min="4" max="8" width="12.234375" customWidth="1"/>
    <col min="11" max="11" width="8.41015625" bestFit="1" customWidth="1"/>
    <col min="12" max="12" width="11.3515625" customWidth="1"/>
    <col min="13" max="14" width="10.76171875" customWidth="1"/>
    <col min="15" max="15" width="11.3515625" customWidth="1"/>
    <col min="16" max="16" width="11.52734375" bestFit="1" customWidth="1"/>
    <col min="17" max="17" width="5.52734375" customWidth="1"/>
    <col min="20" max="20" width="10.1171875" bestFit="1" customWidth="1"/>
    <col min="21" max="22" width="10.76171875" bestFit="1" customWidth="1"/>
    <col min="23" max="23" width="11.3515625" bestFit="1" customWidth="1"/>
    <col min="24" max="24" width="11.52734375" bestFit="1" customWidth="1"/>
    <col min="25" max="25" width="5.52734375" customWidth="1"/>
    <col min="26" max="26" width="10.1171875" bestFit="1" customWidth="1"/>
    <col min="27" max="27" width="10.76171875" bestFit="1" customWidth="1"/>
    <col min="28" max="30" width="10.1171875" bestFit="1" customWidth="1"/>
    <col min="31" max="31" width="11.3515625" bestFit="1" customWidth="1"/>
    <col min="32" max="32" width="13.1171875" bestFit="1" customWidth="1"/>
  </cols>
  <sheetData>
    <row r="2" spans="2:32">
      <c r="B2" s="281" t="s">
        <v>296</v>
      </c>
      <c r="J2" s="281" t="s">
        <v>296</v>
      </c>
      <c r="R2" s="281" t="s">
        <v>296</v>
      </c>
      <c r="Z2" s="281" t="s">
        <v>296</v>
      </c>
    </row>
    <row r="3" spans="2:32">
      <c r="B3" s="282" t="s">
        <v>297</v>
      </c>
      <c r="J3" s="282" t="s">
        <v>297</v>
      </c>
      <c r="R3" s="282" t="s">
        <v>298</v>
      </c>
      <c r="Z3" s="282" t="s">
        <v>299</v>
      </c>
    </row>
    <row r="4" spans="2:32" ht="13.9" thickBot="1">
      <c r="B4" s="282" t="s">
        <v>300</v>
      </c>
      <c r="J4" s="282" t="s">
        <v>300</v>
      </c>
    </row>
    <row r="5" spans="2:32" ht="13.9" thickBot="1">
      <c r="B5" s="278" t="s">
        <v>212</v>
      </c>
      <c r="C5" s="149" t="s">
        <v>301</v>
      </c>
      <c r="D5" s="151" t="s">
        <v>72</v>
      </c>
      <c r="E5" s="151" t="s">
        <v>77</v>
      </c>
      <c r="F5" s="151" t="s">
        <v>83</v>
      </c>
      <c r="G5" s="283" t="s">
        <v>89</v>
      </c>
      <c r="H5" s="284">
        <v>2026</v>
      </c>
      <c r="J5" s="278" t="s">
        <v>212</v>
      </c>
      <c r="K5" s="149" t="s">
        <v>301</v>
      </c>
      <c r="L5" s="151" t="s">
        <v>72</v>
      </c>
      <c r="M5" s="151" t="s">
        <v>77</v>
      </c>
      <c r="N5" s="151" t="s">
        <v>83</v>
      </c>
      <c r="O5" s="283" t="s">
        <v>89</v>
      </c>
      <c r="P5" s="284">
        <v>2025</v>
      </c>
      <c r="Q5" s="285"/>
      <c r="R5" s="278" t="s">
        <v>212</v>
      </c>
      <c r="S5" s="149" t="s">
        <v>213</v>
      </c>
      <c r="T5" s="151" t="s">
        <v>72</v>
      </c>
      <c r="U5" s="151" t="s">
        <v>77</v>
      </c>
      <c r="V5" s="151" t="s">
        <v>83</v>
      </c>
      <c r="W5" s="283" t="s">
        <v>89</v>
      </c>
      <c r="X5" s="284">
        <v>2024</v>
      </c>
      <c r="Y5" s="285"/>
      <c r="Z5" s="278" t="s">
        <v>212</v>
      </c>
      <c r="AA5" s="149" t="s">
        <v>213</v>
      </c>
      <c r="AB5" s="151" t="s">
        <v>72</v>
      </c>
      <c r="AC5" s="151" t="s">
        <v>77</v>
      </c>
      <c r="AD5" s="151" t="s">
        <v>83</v>
      </c>
      <c r="AE5" s="283" t="s">
        <v>89</v>
      </c>
      <c r="AF5" s="284">
        <v>2023</v>
      </c>
    </row>
    <row r="6" spans="2:32" ht="13.5" customHeight="1">
      <c r="B6" s="508" t="s">
        <v>214</v>
      </c>
      <c r="C6" s="184" t="s">
        <v>278</v>
      </c>
      <c r="D6" s="287">
        <f>팀별실적!H3</f>
        <v>671987000</v>
      </c>
      <c r="E6" s="288">
        <f>팀별실적!L3</f>
        <v>204000000</v>
      </c>
      <c r="F6" s="288">
        <f>팀별실적!P3</f>
        <v>204000000</v>
      </c>
      <c r="G6" s="288">
        <f>팀별실적!T3</f>
        <v>204000000</v>
      </c>
      <c r="H6" s="290">
        <f t="shared" ref="H6:H11" si="0">D6+E6+F6+G6</f>
        <v>1283987000</v>
      </c>
      <c r="J6" s="508" t="s">
        <v>214</v>
      </c>
      <c r="K6" s="184" t="s">
        <v>302</v>
      </c>
      <c r="L6" s="287">
        <f>[1]ESBD!I12</f>
        <v>2040658000</v>
      </c>
      <c r="M6" s="288">
        <f>[1]ESBD!M12</f>
        <v>1470052000</v>
      </c>
      <c r="N6" s="288">
        <f>[1]ESBD!Q12</f>
        <v>1089928000</v>
      </c>
      <c r="O6" s="289">
        <f>[1]ESBD!U12</f>
        <v>2034105000</v>
      </c>
      <c r="P6" s="290">
        <f>L6+M6+N6+O6</f>
        <v>6634743000</v>
      </c>
      <c r="Q6" s="291"/>
      <c r="R6" s="286" t="s">
        <v>214</v>
      </c>
      <c r="S6" s="184" t="s">
        <v>302</v>
      </c>
      <c r="T6" s="287">
        <v>1761856000</v>
      </c>
      <c r="U6" s="288">
        <v>918557000</v>
      </c>
      <c r="V6" s="288">
        <v>1049414000</v>
      </c>
      <c r="W6" s="289">
        <v>2165799000</v>
      </c>
      <c r="X6" s="290">
        <f>T6+U6+V6+W6</f>
        <v>5895626000</v>
      </c>
      <c r="Y6" s="291"/>
      <c r="Z6" s="286" t="s">
        <v>214</v>
      </c>
      <c r="AA6" s="184" t="s">
        <v>303</v>
      </c>
      <c r="AB6" s="287">
        <v>1586828000</v>
      </c>
      <c r="AC6" s="288">
        <v>1584164000</v>
      </c>
      <c r="AD6" s="288">
        <v>1237613000</v>
      </c>
      <c r="AE6" s="289">
        <v>1827972000</v>
      </c>
      <c r="AF6" s="290">
        <v>6236577000</v>
      </c>
    </row>
    <row r="7" spans="2:32" ht="13.5" customHeight="1">
      <c r="B7" s="509"/>
      <c r="C7" s="184" t="s">
        <v>279</v>
      </c>
      <c r="D7" s="287">
        <f>팀별실적!H4</f>
        <v>891480000</v>
      </c>
      <c r="E7" s="288">
        <f>팀별실적!L4</f>
        <v>465000000</v>
      </c>
      <c r="F7" s="288">
        <f>팀별실적!P4</f>
        <v>465000000</v>
      </c>
      <c r="G7" s="288">
        <f>팀별실적!T4</f>
        <v>465000000</v>
      </c>
      <c r="H7" s="290">
        <f t="shared" si="0"/>
        <v>2286480000</v>
      </c>
      <c r="J7" s="509"/>
      <c r="K7" s="184"/>
      <c r="L7" s="287"/>
      <c r="M7" s="288"/>
      <c r="N7" s="288"/>
      <c r="O7" s="289"/>
      <c r="P7" s="290"/>
      <c r="Q7" s="291"/>
      <c r="R7" s="379"/>
      <c r="S7" s="184"/>
      <c r="T7" s="287"/>
      <c r="U7" s="288"/>
      <c r="V7" s="288"/>
      <c r="W7" s="289"/>
      <c r="X7" s="290"/>
      <c r="Y7" s="291"/>
      <c r="Z7" s="379"/>
      <c r="AA7" s="184"/>
      <c r="AB7" s="287"/>
      <c r="AC7" s="288"/>
      <c r="AD7" s="288"/>
      <c r="AE7" s="289"/>
      <c r="AF7" s="290"/>
    </row>
    <row r="8" spans="2:32" ht="13.5" customHeight="1">
      <c r="B8" s="509"/>
      <c r="C8" s="184" t="s">
        <v>238</v>
      </c>
      <c r="D8" s="287">
        <f>팀별실적!H2</f>
        <v>61600000</v>
      </c>
      <c r="E8" s="288">
        <f>팀별실적!L2</f>
        <v>90000000</v>
      </c>
      <c r="F8" s="288">
        <f>팀별실적!P2</f>
        <v>90000000</v>
      </c>
      <c r="G8" s="288">
        <f>팀별실적!T2</f>
        <v>90000000</v>
      </c>
      <c r="H8" s="290">
        <f t="shared" si="0"/>
        <v>331600000</v>
      </c>
      <c r="J8" s="509"/>
      <c r="K8" s="184"/>
      <c r="L8" s="287"/>
      <c r="M8" s="288"/>
      <c r="N8" s="288"/>
      <c r="O8" s="289"/>
      <c r="P8" s="290"/>
      <c r="Q8" s="291"/>
      <c r="R8" s="379"/>
      <c r="S8" s="184"/>
      <c r="T8" s="287"/>
      <c r="U8" s="288"/>
      <c r="V8" s="288"/>
      <c r="W8" s="289"/>
      <c r="X8" s="290"/>
      <c r="Y8" s="291"/>
      <c r="Z8" s="379"/>
      <c r="AA8" s="184"/>
      <c r="AB8" s="287"/>
      <c r="AC8" s="288"/>
      <c r="AD8" s="288"/>
      <c r="AE8" s="289"/>
      <c r="AF8" s="290"/>
    </row>
    <row r="9" spans="2:32" ht="13.5" customHeight="1">
      <c r="B9" s="509"/>
      <c r="C9" s="184" t="s">
        <v>274</v>
      </c>
      <c r="D9" s="287">
        <f>팀별실적!H5</f>
        <v>240000000</v>
      </c>
      <c r="E9" s="288">
        <f>팀별실적!L5</f>
        <v>360000000</v>
      </c>
      <c r="F9" s="288">
        <f>팀별실적!P5</f>
        <v>360000000</v>
      </c>
      <c r="G9" s="288">
        <f>팀별실적!T5</f>
        <v>360000000</v>
      </c>
      <c r="H9" s="290">
        <f t="shared" si="0"/>
        <v>1320000000</v>
      </c>
      <c r="J9" s="509"/>
      <c r="K9" s="184"/>
      <c r="L9" s="287"/>
      <c r="M9" s="288"/>
      <c r="N9" s="288"/>
      <c r="O9" s="289"/>
      <c r="P9" s="290"/>
      <c r="Q9" s="291"/>
      <c r="R9" s="379"/>
      <c r="S9" s="184"/>
      <c r="T9" s="287"/>
      <c r="U9" s="288"/>
      <c r="V9" s="288"/>
      <c r="W9" s="289"/>
      <c r="X9" s="290"/>
      <c r="Y9" s="291"/>
      <c r="Z9" s="379"/>
      <c r="AA9" s="184"/>
      <c r="AB9" s="287"/>
      <c r="AC9" s="288"/>
      <c r="AD9" s="288"/>
      <c r="AE9" s="289"/>
      <c r="AF9" s="290"/>
    </row>
    <row r="10" spans="2:32" ht="13.5" customHeight="1">
      <c r="B10" s="509"/>
      <c r="C10" s="184" t="s">
        <v>267</v>
      </c>
      <c r="D10" s="287">
        <f>팀별실적!H6</f>
        <v>10000000</v>
      </c>
      <c r="E10" s="288">
        <f>팀별실적!L6</f>
        <v>15000000</v>
      </c>
      <c r="F10" s="288">
        <f>팀별실적!P6</f>
        <v>15000000</v>
      </c>
      <c r="G10" s="288">
        <f>팀별실적!T6</f>
        <v>15000000</v>
      </c>
      <c r="H10" s="290">
        <f t="shared" si="0"/>
        <v>55000000</v>
      </c>
      <c r="J10" s="509"/>
      <c r="K10" s="184"/>
      <c r="L10" s="287"/>
      <c r="M10" s="288"/>
      <c r="N10" s="288"/>
      <c r="O10" s="289"/>
      <c r="P10" s="290"/>
      <c r="Q10" s="291"/>
      <c r="R10" s="379"/>
      <c r="S10" s="184"/>
      <c r="T10" s="287"/>
      <c r="U10" s="288"/>
      <c r="V10" s="288"/>
      <c r="W10" s="289"/>
      <c r="X10" s="290"/>
      <c r="Y10" s="291"/>
      <c r="Z10" s="379"/>
      <c r="AA10" s="184"/>
      <c r="AB10" s="287"/>
      <c r="AC10" s="288"/>
      <c r="AD10" s="288"/>
      <c r="AE10" s="289"/>
      <c r="AF10" s="290"/>
    </row>
    <row r="11" spans="2:32" ht="13.5" customHeight="1">
      <c r="B11" s="510"/>
      <c r="C11" s="184" t="s">
        <v>265</v>
      </c>
      <c r="D11" s="288">
        <f>팀별실적!H7</f>
        <v>2000000</v>
      </c>
      <c r="E11" s="288">
        <f>팀별실적!L7</f>
        <v>3000000</v>
      </c>
      <c r="F11" s="288">
        <f>팀별실적!P7</f>
        <v>3000000</v>
      </c>
      <c r="G11" s="288">
        <f>팀별실적!T7</f>
        <v>3000000</v>
      </c>
      <c r="H11" s="290">
        <f t="shared" si="0"/>
        <v>11000000</v>
      </c>
      <c r="J11" s="510"/>
      <c r="K11" s="184" t="s">
        <v>304</v>
      </c>
      <c r="L11" s="288">
        <f>[1]CBT1!I12</f>
        <v>339200000</v>
      </c>
      <c r="M11" s="288">
        <f>[1]CBT1!M12</f>
        <v>382700000</v>
      </c>
      <c r="N11" s="288">
        <f>[1]CBT1!Q12</f>
        <v>346200000</v>
      </c>
      <c r="O11" s="289">
        <f>[1]CBT1!U12</f>
        <v>703650000</v>
      </c>
      <c r="P11" s="290">
        <f>L11+M11+N11+O11</f>
        <v>1771750000</v>
      </c>
      <c r="Q11" s="291"/>
      <c r="R11" s="292"/>
      <c r="S11" s="184" t="s">
        <v>304</v>
      </c>
      <c r="T11" s="288">
        <v>360558000</v>
      </c>
      <c r="U11" s="288">
        <v>231378000</v>
      </c>
      <c r="V11" s="288">
        <v>485770000</v>
      </c>
      <c r="W11" s="289">
        <v>557360000</v>
      </c>
      <c r="X11" s="290">
        <f>T11+U11+V11+W11</f>
        <v>1635066000</v>
      </c>
      <c r="Y11" s="291"/>
      <c r="Z11" s="292"/>
      <c r="AA11" s="184" t="s">
        <v>305</v>
      </c>
      <c r="AB11" s="288">
        <v>205200000</v>
      </c>
      <c r="AC11" s="288">
        <v>309400000</v>
      </c>
      <c r="AD11" s="288">
        <v>184000000</v>
      </c>
      <c r="AE11" s="289">
        <v>1252320000</v>
      </c>
      <c r="AF11" s="290">
        <v>1950920000</v>
      </c>
    </row>
    <row r="12" spans="2:32" ht="13.9" thickBot="1">
      <c r="B12" s="437" t="s">
        <v>216</v>
      </c>
      <c r="C12" s="438"/>
      <c r="D12" s="293">
        <f>SUM(D6:D11)</f>
        <v>1877067000</v>
      </c>
      <c r="E12" s="293">
        <f>SUM(E6:E11)</f>
        <v>1137000000</v>
      </c>
      <c r="F12" s="293">
        <f>SUM(F6:F11)</f>
        <v>1137000000</v>
      </c>
      <c r="G12" s="293">
        <f>SUM(G6:G11)</f>
        <v>1137000000</v>
      </c>
      <c r="H12" s="295">
        <f>SUM(H6:H11)</f>
        <v>5288067000</v>
      </c>
      <c r="J12" s="437" t="s">
        <v>216</v>
      </c>
      <c r="K12" s="438"/>
      <c r="L12" s="293">
        <f>L6+L11</f>
        <v>2379858000</v>
      </c>
      <c r="M12" s="293">
        <f>M6+M11</f>
        <v>1852752000</v>
      </c>
      <c r="N12" s="293">
        <f>N6+N11</f>
        <v>1436128000</v>
      </c>
      <c r="O12" s="294">
        <f>O6+O11</f>
        <v>2737755000</v>
      </c>
      <c r="P12" s="295">
        <f>P6+P11</f>
        <v>8406493000</v>
      </c>
      <c r="Q12" s="291"/>
      <c r="R12" s="511" t="s">
        <v>216</v>
      </c>
      <c r="S12" s="512"/>
      <c r="T12" s="293">
        <f>T6+T11</f>
        <v>2122414000</v>
      </c>
      <c r="U12" s="293">
        <f>U6+U11</f>
        <v>1149935000</v>
      </c>
      <c r="V12" s="293">
        <f>V6+V11</f>
        <v>1535184000</v>
      </c>
      <c r="W12" s="294">
        <f>W6+W11</f>
        <v>2723159000</v>
      </c>
      <c r="X12" s="295">
        <f>X6+X11</f>
        <v>7530692000</v>
      </c>
      <c r="Y12" s="291"/>
      <c r="Z12" s="511" t="s">
        <v>216</v>
      </c>
      <c r="AA12" s="512"/>
      <c r="AB12" s="293">
        <f>AB6+AB11</f>
        <v>1792028000</v>
      </c>
      <c r="AC12" s="293">
        <f>AC6+AC11</f>
        <v>1893564000</v>
      </c>
      <c r="AD12" s="293">
        <f>AD6+AD11</f>
        <v>1421613000</v>
      </c>
      <c r="AE12" s="294">
        <f>AE6+AE11</f>
        <v>3080292000</v>
      </c>
      <c r="AF12" s="295">
        <f>AF6+AF11</f>
        <v>8187497000</v>
      </c>
    </row>
    <row r="13" spans="2:32" ht="13.5" customHeight="1">
      <c r="B13" s="513" t="s">
        <v>217</v>
      </c>
      <c r="C13" s="184" t="s">
        <v>278</v>
      </c>
      <c r="D13" s="287">
        <f>팀별실적!H10</f>
        <v>296527000</v>
      </c>
      <c r="E13" s="287">
        <f>팀별실적!L10</f>
        <v>92985000</v>
      </c>
      <c r="F13" s="287">
        <f>팀별실적!P10</f>
        <v>92985000</v>
      </c>
      <c r="G13" s="287">
        <f>팀별실적!T10</f>
        <v>92985000</v>
      </c>
      <c r="H13" s="290">
        <f t="shared" ref="H13:H18" si="1">D13+E13+F13+G13</f>
        <v>575482000</v>
      </c>
      <c r="J13" s="513" t="s">
        <v>217</v>
      </c>
      <c r="K13" s="184" t="s">
        <v>302</v>
      </c>
      <c r="L13" s="287">
        <f>[1]ESBD!I26</f>
        <v>1143103000</v>
      </c>
      <c r="M13" s="287">
        <f>[1]ESBD!M26</f>
        <v>755282000</v>
      </c>
      <c r="N13" s="288">
        <f>[1]ESBD!Q26</f>
        <v>576520000</v>
      </c>
      <c r="O13" s="289">
        <f>[1]ESBD!U26</f>
        <v>1035074000</v>
      </c>
      <c r="P13" s="290">
        <f>L13+M13+N13+O13</f>
        <v>3509979000</v>
      </c>
      <c r="Q13" s="291"/>
      <c r="R13" s="296" t="s">
        <v>217</v>
      </c>
      <c r="S13" s="184" t="s">
        <v>302</v>
      </c>
      <c r="T13" s="287">
        <v>846733000</v>
      </c>
      <c r="U13" s="288">
        <v>455375000</v>
      </c>
      <c r="V13" s="288">
        <v>526180000</v>
      </c>
      <c r="W13" s="289">
        <v>908826000</v>
      </c>
      <c r="X13" s="290">
        <f>T13+U13+V13+W13</f>
        <v>2737114000</v>
      </c>
      <c r="Y13" s="291"/>
      <c r="Z13" s="296" t="s">
        <v>217</v>
      </c>
      <c r="AA13" s="184" t="s">
        <v>303</v>
      </c>
      <c r="AB13" s="287">
        <v>677130000</v>
      </c>
      <c r="AC13" s="288">
        <v>738054000</v>
      </c>
      <c r="AD13" s="288">
        <v>551262000</v>
      </c>
      <c r="AE13" s="289">
        <v>832636000</v>
      </c>
      <c r="AF13" s="290">
        <v>2799082000</v>
      </c>
    </row>
    <row r="14" spans="2:32" ht="13.5" customHeight="1">
      <c r="B14" s="514"/>
      <c r="C14" s="184" t="s">
        <v>279</v>
      </c>
      <c r="D14" s="287">
        <f>팀별실적!H11</f>
        <v>257603000</v>
      </c>
      <c r="E14" s="287">
        <f>팀별실적!L11</f>
        <v>234087000</v>
      </c>
      <c r="F14" s="287">
        <f>팀별실적!P11</f>
        <v>234087000</v>
      </c>
      <c r="G14" s="287">
        <f>팀별실적!T11</f>
        <v>234087000</v>
      </c>
      <c r="H14" s="290">
        <f t="shared" si="1"/>
        <v>959864000</v>
      </c>
      <c r="J14" s="514"/>
      <c r="K14" s="184"/>
      <c r="L14" s="287"/>
      <c r="M14" s="287"/>
      <c r="N14" s="288"/>
      <c r="O14" s="289"/>
      <c r="P14" s="290"/>
      <c r="Q14" s="291"/>
      <c r="R14" s="380"/>
      <c r="S14" s="184"/>
      <c r="T14" s="287"/>
      <c r="U14" s="288"/>
      <c r="V14" s="288"/>
      <c r="W14" s="289"/>
      <c r="X14" s="290"/>
      <c r="Y14" s="291"/>
      <c r="Z14" s="380"/>
      <c r="AA14" s="184"/>
      <c r="AB14" s="287"/>
      <c r="AC14" s="288"/>
      <c r="AD14" s="288"/>
      <c r="AE14" s="289"/>
      <c r="AF14" s="290"/>
    </row>
    <row r="15" spans="2:32" ht="13.5" customHeight="1">
      <c r="B15" s="514"/>
      <c r="C15" s="184" t="s">
        <v>238</v>
      </c>
      <c r="D15" s="287">
        <f>팀별실적!H9</f>
        <v>246000</v>
      </c>
      <c r="E15" s="287">
        <f>팀별실적!L9</f>
        <v>240000</v>
      </c>
      <c r="F15" s="287">
        <f>팀별실적!P9</f>
        <v>240000</v>
      </c>
      <c r="G15" s="287">
        <f>팀별실적!T9</f>
        <v>240000</v>
      </c>
      <c r="H15" s="290">
        <f t="shared" si="1"/>
        <v>966000</v>
      </c>
      <c r="J15" s="514"/>
      <c r="K15" s="184"/>
      <c r="L15" s="287"/>
      <c r="M15" s="287"/>
      <c r="N15" s="288"/>
      <c r="O15" s="289"/>
      <c r="P15" s="290"/>
      <c r="Q15" s="291"/>
      <c r="R15" s="380"/>
      <c r="S15" s="184"/>
      <c r="T15" s="287"/>
      <c r="U15" s="288"/>
      <c r="V15" s="288"/>
      <c r="W15" s="289"/>
      <c r="X15" s="290"/>
      <c r="Y15" s="291"/>
      <c r="Z15" s="380"/>
      <c r="AA15" s="184"/>
      <c r="AB15" s="287"/>
      <c r="AC15" s="288"/>
      <c r="AD15" s="288"/>
      <c r="AE15" s="289"/>
      <c r="AF15" s="290"/>
    </row>
    <row r="16" spans="2:32" ht="13.5" customHeight="1">
      <c r="B16" s="514"/>
      <c r="C16" s="184" t="s">
        <v>274</v>
      </c>
      <c r="D16" s="287">
        <f>팀별실적!H12</f>
        <v>5300000</v>
      </c>
      <c r="E16" s="287">
        <f>팀별실적!L12</f>
        <v>6300000</v>
      </c>
      <c r="F16" s="287">
        <f>팀별실적!P12</f>
        <v>6300000</v>
      </c>
      <c r="G16" s="287">
        <f>팀별실적!T12</f>
        <v>6300000</v>
      </c>
      <c r="H16" s="290">
        <f t="shared" si="1"/>
        <v>24200000</v>
      </c>
      <c r="J16" s="514"/>
      <c r="K16" s="184"/>
      <c r="L16" s="287"/>
      <c r="M16" s="287"/>
      <c r="N16" s="288"/>
      <c r="O16" s="289"/>
      <c r="P16" s="290"/>
      <c r="Q16" s="291"/>
      <c r="R16" s="380"/>
      <c r="S16" s="184"/>
      <c r="T16" s="287"/>
      <c r="U16" s="288"/>
      <c r="V16" s="288"/>
      <c r="W16" s="289"/>
      <c r="X16" s="290"/>
      <c r="Y16" s="291"/>
      <c r="Z16" s="380"/>
      <c r="AA16" s="184"/>
      <c r="AB16" s="287"/>
      <c r="AC16" s="288"/>
      <c r="AD16" s="288"/>
      <c r="AE16" s="289"/>
      <c r="AF16" s="290"/>
    </row>
    <row r="17" spans="2:32" ht="13.5" customHeight="1">
      <c r="B17" s="514"/>
      <c r="C17" s="184" t="s">
        <v>267</v>
      </c>
      <c r="D17" s="287">
        <f>팀별실적!H13</f>
        <v>2081000</v>
      </c>
      <c r="E17" s="287">
        <f>팀별실적!L13</f>
        <v>0</v>
      </c>
      <c r="F17" s="287">
        <f>팀별실적!P13</f>
        <v>0</v>
      </c>
      <c r="G17" s="287">
        <f>팀별실적!T13</f>
        <v>0</v>
      </c>
      <c r="H17" s="290">
        <f t="shared" si="1"/>
        <v>2081000</v>
      </c>
      <c r="J17" s="514"/>
      <c r="K17" s="184"/>
      <c r="L17" s="287"/>
      <c r="M17" s="287"/>
      <c r="N17" s="288"/>
      <c r="O17" s="289"/>
      <c r="P17" s="290"/>
      <c r="Q17" s="291"/>
      <c r="R17" s="380"/>
      <c r="S17" s="184"/>
      <c r="T17" s="287"/>
      <c r="U17" s="288"/>
      <c r="V17" s="288"/>
      <c r="W17" s="289"/>
      <c r="X17" s="290"/>
      <c r="Y17" s="291"/>
      <c r="Z17" s="380"/>
      <c r="AA17" s="184"/>
      <c r="AB17" s="287"/>
      <c r="AC17" s="288"/>
      <c r="AD17" s="288"/>
      <c r="AE17" s="289"/>
      <c r="AF17" s="290"/>
    </row>
    <row r="18" spans="2:32" ht="13.5" customHeight="1">
      <c r="B18" s="515"/>
      <c r="C18" s="184" t="s">
        <v>265</v>
      </c>
      <c r="D18" s="287">
        <f>팀별실적!H14</f>
        <v>0</v>
      </c>
      <c r="E18" s="287">
        <f>팀별실적!L14</f>
        <v>0</v>
      </c>
      <c r="F18" s="287">
        <f>팀별실적!P14</f>
        <v>0</v>
      </c>
      <c r="G18" s="287">
        <f>팀별실적!T14</f>
        <v>0</v>
      </c>
      <c r="H18" s="290">
        <f t="shared" si="1"/>
        <v>0</v>
      </c>
      <c r="J18" s="515"/>
      <c r="K18" s="184" t="s">
        <v>304</v>
      </c>
      <c r="L18" s="288">
        <f>[1]CBT1!I26</f>
        <v>6509000</v>
      </c>
      <c r="M18" s="288">
        <f>[1]CBT1!M26</f>
        <v>137766000</v>
      </c>
      <c r="N18" s="288">
        <f>[1]CBT1!Q26</f>
        <v>6483000</v>
      </c>
      <c r="O18" s="289">
        <f>[1]CBT1!U26</f>
        <v>174873000</v>
      </c>
      <c r="P18" s="290">
        <f>L18+M18+N18+O18</f>
        <v>325631000</v>
      </c>
      <c r="Q18" s="291"/>
      <c r="R18" s="297"/>
      <c r="S18" s="184" t="s">
        <v>304</v>
      </c>
      <c r="T18" s="288">
        <v>103844000</v>
      </c>
      <c r="U18" s="288">
        <v>33021000</v>
      </c>
      <c r="V18" s="288">
        <v>98462000</v>
      </c>
      <c r="W18" s="289">
        <v>160625000</v>
      </c>
      <c r="X18" s="290">
        <f>T18+U18+V18+W18</f>
        <v>395952000</v>
      </c>
      <c r="Y18" s="291"/>
      <c r="Z18" s="297"/>
      <c r="AA18" s="184" t="s">
        <v>305</v>
      </c>
      <c r="AB18" s="288">
        <v>29568000</v>
      </c>
      <c r="AC18" s="288">
        <v>65865000</v>
      </c>
      <c r="AD18" s="288">
        <v>150527000</v>
      </c>
      <c r="AE18" s="289">
        <v>366156000</v>
      </c>
      <c r="AF18" s="290">
        <v>612116000</v>
      </c>
    </row>
    <row r="19" spans="2:32" ht="13.9" thickBot="1">
      <c r="B19" s="504" t="s">
        <v>216</v>
      </c>
      <c r="C19" s="505"/>
      <c r="D19" s="298">
        <f>SUM(D13:D18)</f>
        <v>561757000</v>
      </c>
      <c r="E19" s="298">
        <f>SUM(E13:E18)</f>
        <v>333612000</v>
      </c>
      <c r="F19" s="298">
        <f>SUM(F13:F18)</f>
        <v>333612000</v>
      </c>
      <c r="G19" s="298">
        <f>SUM(G13:G18)</f>
        <v>333612000</v>
      </c>
      <c r="H19" s="300">
        <f>SUM(H13:H18)</f>
        <v>1562593000</v>
      </c>
      <c r="J19" s="504" t="s">
        <v>216</v>
      </c>
      <c r="K19" s="505"/>
      <c r="L19" s="298">
        <f>L13+L18</f>
        <v>1149612000</v>
      </c>
      <c r="M19" s="298">
        <f>M13+M18</f>
        <v>893048000</v>
      </c>
      <c r="N19" s="298">
        <f>N13+N18</f>
        <v>583003000</v>
      </c>
      <c r="O19" s="299">
        <f>O13+O18</f>
        <v>1209947000</v>
      </c>
      <c r="P19" s="300">
        <f>P13+P18</f>
        <v>3835610000</v>
      </c>
      <c r="Q19" s="301"/>
      <c r="R19" s="506" t="s">
        <v>216</v>
      </c>
      <c r="S19" s="507"/>
      <c r="T19" s="298">
        <f>T13+T18</f>
        <v>950577000</v>
      </c>
      <c r="U19" s="298">
        <f>U13+U18</f>
        <v>488396000</v>
      </c>
      <c r="V19" s="298">
        <f>V13+V18</f>
        <v>624642000</v>
      </c>
      <c r="W19" s="299">
        <f>W13+W18</f>
        <v>1069451000</v>
      </c>
      <c r="X19" s="300">
        <f>X13+X18</f>
        <v>3133066000</v>
      </c>
      <c r="Y19" s="301"/>
      <c r="Z19" s="506" t="s">
        <v>216</v>
      </c>
      <c r="AA19" s="507"/>
      <c r="AB19" s="298">
        <f>AB13+AB18</f>
        <v>706698000</v>
      </c>
      <c r="AC19" s="298">
        <f>AC13+AC18</f>
        <v>803919000</v>
      </c>
      <c r="AD19" s="298">
        <f>AD13+AD18</f>
        <v>701789000</v>
      </c>
      <c r="AE19" s="299">
        <f>AE13+AE18</f>
        <v>1198792000</v>
      </c>
      <c r="AF19" s="300">
        <f>AF13+AF18</f>
        <v>3411198000</v>
      </c>
    </row>
    <row r="20" spans="2:32">
      <c r="B20" s="518" t="s">
        <v>218</v>
      </c>
      <c r="C20" s="302" t="s">
        <v>314</v>
      </c>
      <c r="D20" s="302">
        <f>570000000+750000000</f>
        <v>1320000000</v>
      </c>
      <c r="E20" s="302">
        <f>280000000+60000000</f>
        <v>340000000</v>
      </c>
      <c r="F20" s="302">
        <f>250000000+220000000</f>
        <v>470000000</v>
      </c>
      <c r="G20" s="303">
        <f>740000000+330000000</f>
        <v>1070000000</v>
      </c>
      <c r="H20" s="304">
        <f>SUM(D20:G20)</f>
        <v>3200000000</v>
      </c>
      <c r="J20" s="516" t="s">
        <v>218</v>
      </c>
      <c r="K20" s="302" t="s">
        <v>306</v>
      </c>
      <c r="L20" s="302">
        <v>968834000</v>
      </c>
      <c r="M20" s="302">
        <v>789666000</v>
      </c>
      <c r="N20" s="302">
        <v>630000000</v>
      </c>
      <c r="O20" s="303">
        <v>1261500000</v>
      </c>
      <c r="P20" s="304">
        <f>SUM(L20:O20)</f>
        <v>3650000000</v>
      </c>
      <c r="R20" s="518" t="s">
        <v>218</v>
      </c>
      <c r="S20" s="302" t="s">
        <v>306</v>
      </c>
      <c r="T20" s="302">
        <v>930000000</v>
      </c>
      <c r="U20" s="302">
        <v>800000000</v>
      </c>
      <c r="V20" s="302">
        <v>730000000</v>
      </c>
      <c r="W20" s="303">
        <v>940000000</v>
      </c>
      <c r="X20" s="305">
        <v>3400000000</v>
      </c>
      <c r="Y20" s="306"/>
      <c r="Z20" s="518" t="s">
        <v>218</v>
      </c>
      <c r="AA20" s="302" t="s">
        <v>307</v>
      </c>
      <c r="AB20" s="302"/>
      <c r="AC20" s="302"/>
      <c r="AD20" s="302"/>
      <c r="AE20" s="303"/>
      <c r="AF20" s="305"/>
    </row>
    <row r="21" spans="2:32">
      <c r="B21" s="519"/>
      <c r="C21" s="307" t="s">
        <v>308</v>
      </c>
      <c r="D21" s="308">
        <f>D22/D20</f>
        <v>0.76464924242424237</v>
      </c>
      <c r="E21" s="308">
        <f>E22/E20</f>
        <v>1.0056705882352941</v>
      </c>
      <c r="F21" s="308">
        <f>F22/F20</f>
        <v>0.72750638297872339</v>
      </c>
      <c r="G21" s="309">
        <f>G22/G20</f>
        <v>0.31955887850467291</v>
      </c>
      <c r="H21" s="310">
        <f>H22/H20</f>
        <v>0.63597531249999995</v>
      </c>
      <c r="J21" s="517"/>
      <c r="K21" s="307" t="s">
        <v>308</v>
      </c>
      <c r="L21" s="308">
        <f>L22/L20</f>
        <v>0.92642805681881524</v>
      </c>
      <c r="M21" s="308">
        <f>M22/M20</f>
        <v>1.038189563688952</v>
      </c>
      <c r="N21" s="308">
        <f>N22/N20</f>
        <v>0.92742380952380954</v>
      </c>
      <c r="O21" s="309">
        <f>O22/O20</f>
        <v>0.87603963535473639</v>
      </c>
      <c r="P21" s="310">
        <f>P22/P20</f>
        <v>0.93336410958904115</v>
      </c>
      <c r="Q21" s="311"/>
      <c r="R21" s="519"/>
      <c r="S21" s="307" t="s">
        <v>308</v>
      </c>
      <c r="T21" s="308">
        <f>T22/T20</f>
        <v>0.98400322580645161</v>
      </c>
      <c r="U21" s="308">
        <f>U22/U20</f>
        <v>0.57897750000000003</v>
      </c>
      <c r="V21" s="308">
        <f>V22/V20</f>
        <v>0.71675890410958909</v>
      </c>
      <c r="W21" s="309">
        <f>W22/W20</f>
        <v>1.369077659574468</v>
      </c>
      <c r="X21" s="310">
        <f>X22/X20</f>
        <v>0.93778588235294114</v>
      </c>
      <c r="Y21" s="311"/>
      <c r="Z21" s="519"/>
      <c r="AA21" s="307" t="s">
        <v>308</v>
      </c>
      <c r="AB21" s="308"/>
      <c r="AC21" s="308"/>
      <c r="AD21" s="308"/>
      <c r="AE21" s="309"/>
      <c r="AF21" s="310"/>
    </row>
    <row r="22" spans="2:32">
      <c r="B22" s="519"/>
      <c r="C22" s="184" t="s">
        <v>317</v>
      </c>
      <c r="D22" s="288">
        <f>D6+D7-D13-D14</f>
        <v>1009337000</v>
      </c>
      <c r="E22" s="288">
        <f>E6+E7-E13-E14</f>
        <v>341928000</v>
      </c>
      <c r="F22" s="288">
        <f>F6+F7-F13-F14</f>
        <v>341928000</v>
      </c>
      <c r="G22" s="288">
        <f>G6+G7-G13-G14</f>
        <v>341928000</v>
      </c>
      <c r="H22" s="290">
        <f>D22+E22+F22+G22</f>
        <v>2035121000</v>
      </c>
      <c r="J22" s="517"/>
      <c r="K22" s="184" t="s">
        <v>302</v>
      </c>
      <c r="L22" s="288">
        <f>L6-L13</f>
        <v>897555000</v>
      </c>
      <c r="M22" s="288">
        <v>819823000</v>
      </c>
      <c r="N22" s="288">
        <v>584277000</v>
      </c>
      <c r="O22" s="289">
        <v>1105124000</v>
      </c>
      <c r="P22" s="290">
        <f>L22+M22+N22+O22</f>
        <v>3406779000</v>
      </c>
      <c r="Q22" s="291"/>
      <c r="R22" s="519"/>
      <c r="S22" s="184" t="s">
        <v>302</v>
      </c>
      <c r="T22" s="288">
        <f>T6-T13</f>
        <v>915123000</v>
      </c>
      <c r="U22" s="288">
        <f>U6-U13</f>
        <v>463182000</v>
      </c>
      <c r="V22" s="288">
        <f>V6-V13</f>
        <v>523234000</v>
      </c>
      <c r="W22" s="289">
        <f>W6-W13+29960000</f>
        <v>1286933000</v>
      </c>
      <c r="X22" s="290">
        <f>T22+U22+V22+W22</f>
        <v>3188472000</v>
      </c>
      <c r="Y22" s="291"/>
      <c r="Z22" s="519"/>
      <c r="AA22" s="184" t="s">
        <v>303</v>
      </c>
      <c r="AB22" s="288">
        <f>AB6-AB13</f>
        <v>909698000</v>
      </c>
      <c r="AC22" s="288">
        <f>AC6-AC13</f>
        <v>846110000</v>
      </c>
      <c r="AD22" s="288">
        <f>AD6-AD13</f>
        <v>686351000</v>
      </c>
      <c r="AE22" s="288">
        <f>AE6-AE13</f>
        <v>995336000</v>
      </c>
      <c r="AF22" s="290">
        <f>SUM(AB22:AE22)</f>
        <v>3437495000</v>
      </c>
    </row>
    <row r="23" spans="2:32">
      <c r="B23" s="519"/>
      <c r="C23" s="371" t="s">
        <v>318</v>
      </c>
      <c r="D23" s="372">
        <f>100000000+150000000</f>
        <v>250000000</v>
      </c>
      <c r="E23" s="372">
        <f>200000000+15000000</f>
        <v>215000000</v>
      </c>
      <c r="F23" s="372">
        <f>60000000+15000000</f>
        <v>75000000</v>
      </c>
      <c r="G23" s="373">
        <f>240000000+170000000</f>
        <v>410000000</v>
      </c>
      <c r="H23" s="304">
        <f>SUM(D23:G23)</f>
        <v>950000000</v>
      </c>
      <c r="J23" s="517"/>
      <c r="K23" s="312" t="s">
        <v>309</v>
      </c>
      <c r="L23" s="313">
        <v>340000000</v>
      </c>
      <c r="M23" s="313">
        <v>410000000</v>
      </c>
      <c r="N23" s="313">
        <v>350000000</v>
      </c>
      <c r="O23" s="314">
        <v>300000000</v>
      </c>
      <c r="P23" s="304">
        <f>SUM(L23:O23)</f>
        <v>1400000000</v>
      </c>
      <c r="Q23" s="315"/>
      <c r="R23" s="519"/>
      <c r="S23" s="312" t="s">
        <v>309</v>
      </c>
      <c r="T23" s="313">
        <v>250000000</v>
      </c>
      <c r="U23" s="313">
        <v>250000000</v>
      </c>
      <c r="V23" s="313">
        <v>300000000</v>
      </c>
      <c r="W23" s="314">
        <v>600000000</v>
      </c>
      <c r="X23" s="304">
        <v>1400000000</v>
      </c>
      <c r="Y23" s="315"/>
      <c r="Z23" s="519"/>
      <c r="AA23" s="312" t="s">
        <v>310</v>
      </c>
      <c r="AB23" s="313"/>
      <c r="AC23" s="313"/>
      <c r="AD23" s="313"/>
      <c r="AE23" s="314"/>
      <c r="AF23" s="304"/>
    </row>
    <row r="24" spans="2:32">
      <c r="B24" s="519"/>
      <c r="C24" s="307" t="s">
        <v>308</v>
      </c>
      <c r="D24" s="316">
        <f>D25/D23</f>
        <v>0.245416</v>
      </c>
      <c r="E24" s="316">
        <f>E25/E23</f>
        <v>0.41748837209302325</v>
      </c>
      <c r="F24" s="316">
        <f>F25/F23</f>
        <v>1.1968000000000001</v>
      </c>
      <c r="G24" s="317">
        <f>G25/G23</f>
        <v>0.21892682926829268</v>
      </c>
      <c r="H24" s="318">
        <f>H25/H23</f>
        <v>0.34803578947368419</v>
      </c>
      <c r="J24" s="517"/>
      <c r="K24" s="307" t="s">
        <v>308</v>
      </c>
      <c r="L24" s="316">
        <f>L25/L23</f>
        <v>0.97850294117647063</v>
      </c>
      <c r="M24" s="316">
        <f>M25/M23</f>
        <v>0.59740000000000004</v>
      </c>
      <c r="N24" s="316">
        <f>N25/N23</f>
        <v>0.97062000000000004</v>
      </c>
      <c r="O24" s="317">
        <f>O25/O23</f>
        <v>1.7625900000000001</v>
      </c>
      <c r="P24" s="318">
        <f>P25/P23</f>
        <v>1.0329421428571428</v>
      </c>
      <c r="Q24" s="319"/>
      <c r="R24" s="519"/>
      <c r="S24" s="307" t="s">
        <v>308</v>
      </c>
      <c r="T24" s="316">
        <f>T25/T23</f>
        <v>1.026856</v>
      </c>
      <c r="U24" s="316">
        <f>U25/U23</f>
        <v>0.79342800000000002</v>
      </c>
      <c r="V24" s="316">
        <f>V25/V23</f>
        <v>1.2910266666666668</v>
      </c>
      <c r="W24" s="317">
        <f>W25/W23</f>
        <v>0.61129166666666668</v>
      </c>
      <c r="X24" s="318">
        <f>X25/X23</f>
        <v>0.8636814285714286</v>
      </c>
      <c r="Y24" s="319"/>
      <c r="Z24" s="519"/>
      <c r="AA24" s="307" t="s">
        <v>308</v>
      </c>
      <c r="AB24" s="316"/>
      <c r="AC24" s="316"/>
      <c r="AD24" s="316"/>
      <c r="AE24" s="317"/>
      <c r="AF24" s="318"/>
    </row>
    <row r="25" spans="2:32">
      <c r="B25" s="519"/>
      <c r="C25" s="184" t="s">
        <v>238</v>
      </c>
      <c r="D25" s="288">
        <f>D8-D15</f>
        <v>61354000</v>
      </c>
      <c r="E25" s="288">
        <f>E8-E15</f>
        <v>89760000</v>
      </c>
      <c r="F25" s="288">
        <f>F8-F15</f>
        <v>89760000</v>
      </c>
      <c r="G25" s="288">
        <f>G8-G15</f>
        <v>89760000</v>
      </c>
      <c r="H25" s="290">
        <f>D25+E25+F25+G25</f>
        <v>330634000</v>
      </c>
      <c r="J25" s="517"/>
      <c r="K25" s="184" t="s">
        <v>304</v>
      </c>
      <c r="L25" s="288">
        <f>L11-L18</f>
        <v>332691000</v>
      </c>
      <c r="M25" s="288">
        <v>244934000</v>
      </c>
      <c r="N25" s="288">
        <v>339717000</v>
      </c>
      <c r="O25" s="289">
        <v>528777000</v>
      </c>
      <c r="P25" s="290">
        <f>L25+M25+N25+O25</f>
        <v>1446119000</v>
      </c>
      <c r="Q25" s="291"/>
      <c r="R25" s="516"/>
      <c r="S25" s="184" t="s">
        <v>304</v>
      </c>
      <c r="T25" s="288">
        <f>T11-T18</f>
        <v>256714000</v>
      </c>
      <c r="U25" s="288">
        <f>U11-U18</f>
        <v>198357000</v>
      </c>
      <c r="V25" s="288">
        <f>V11-V18</f>
        <v>387308000</v>
      </c>
      <c r="W25" s="289">
        <f>W11-W18-29960000</f>
        <v>366775000</v>
      </c>
      <c r="X25" s="290">
        <f>T25+U25+V25+W25</f>
        <v>1209154000</v>
      </c>
      <c r="Y25" s="291"/>
      <c r="Z25" s="516"/>
      <c r="AA25" s="184" t="s">
        <v>305</v>
      </c>
      <c r="AB25" s="288">
        <f>AB11-AB18</f>
        <v>175632000</v>
      </c>
      <c r="AC25" s="288">
        <f>AC11-AC18</f>
        <v>243535000</v>
      </c>
      <c r="AD25" s="288">
        <f>AD11-AD18</f>
        <v>33473000</v>
      </c>
      <c r="AE25" s="288">
        <f>AE11-AE18</f>
        <v>886164000</v>
      </c>
      <c r="AF25" s="290">
        <f>SUM(AB25:AE25)</f>
        <v>1338804000</v>
      </c>
    </row>
    <row r="26" spans="2:32">
      <c r="B26" s="519"/>
      <c r="C26" s="312" t="s">
        <v>315</v>
      </c>
      <c r="D26" s="313">
        <f>350000000+50000000+100000000</f>
        <v>500000000</v>
      </c>
      <c r="E26" s="313">
        <f>300000000+30000000+50000000</f>
        <v>380000000</v>
      </c>
      <c r="F26" s="313">
        <f>350000000+30000000+10000000</f>
        <v>390000000</v>
      </c>
      <c r="G26" s="314">
        <f>40000000+110000000+20000000</f>
        <v>170000000</v>
      </c>
      <c r="H26" s="304">
        <f>SUM(D26:G26)</f>
        <v>1440000000</v>
      </c>
      <c r="J26" s="362"/>
      <c r="K26" s="363"/>
      <c r="L26" s="364"/>
      <c r="M26" s="364"/>
      <c r="N26" s="364"/>
      <c r="O26" s="365"/>
      <c r="P26" s="366"/>
      <c r="Q26" s="291"/>
      <c r="R26" s="367"/>
      <c r="S26" s="368"/>
      <c r="T26" s="364"/>
      <c r="U26" s="364"/>
      <c r="V26" s="364"/>
      <c r="W26" s="365"/>
      <c r="X26" s="366"/>
      <c r="Y26" s="291"/>
      <c r="Z26" s="367"/>
      <c r="AA26" s="368"/>
      <c r="AB26" s="364"/>
      <c r="AC26" s="364"/>
      <c r="AD26" s="364"/>
      <c r="AE26" s="364"/>
      <c r="AF26" s="366"/>
    </row>
    <row r="27" spans="2:32">
      <c r="B27" s="519"/>
      <c r="C27" s="307" t="s">
        <v>308</v>
      </c>
      <c r="D27" s="316">
        <f>D28/D26</f>
        <v>0.48923800000000001</v>
      </c>
      <c r="E27" s="316">
        <f>E28/E26</f>
        <v>0.97815789473684212</v>
      </c>
      <c r="F27" s="316">
        <f>F28/F26</f>
        <v>0.95307692307692304</v>
      </c>
      <c r="G27" s="317">
        <f>G28/G26</f>
        <v>2.1864705882352942</v>
      </c>
      <c r="H27" s="318">
        <f>H28/H26</f>
        <v>0.94424930555555553</v>
      </c>
      <c r="J27" s="362"/>
      <c r="K27" s="363"/>
      <c r="L27" s="364"/>
      <c r="M27" s="364"/>
      <c r="N27" s="364"/>
      <c r="O27" s="365"/>
      <c r="P27" s="366"/>
      <c r="Q27" s="291"/>
      <c r="R27" s="367"/>
      <c r="S27" s="368"/>
      <c r="T27" s="364"/>
      <c r="U27" s="364"/>
      <c r="V27" s="364"/>
      <c r="W27" s="365"/>
      <c r="X27" s="366"/>
      <c r="Y27" s="291"/>
      <c r="Z27" s="367"/>
      <c r="AA27" s="368"/>
      <c r="AB27" s="364"/>
      <c r="AC27" s="364"/>
      <c r="AD27" s="364"/>
      <c r="AE27" s="364"/>
      <c r="AF27" s="366"/>
    </row>
    <row r="28" spans="2:32">
      <c r="B28" s="516"/>
      <c r="C28" s="184" t="s">
        <v>316</v>
      </c>
      <c r="D28" s="288">
        <f>D9+D10+D11-D16-D17-D18</f>
        <v>244619000</v>
      </c>
      <c r="E28" s="288">
        <f>E9+E10+E11-E16-E17-E18</f>
        <v>371700000</v>
      </c>
      <c r="F28" s="288">
        <f>F9+F10+F11-F16-F17-F18</f>
        <v>371700000</v>
      </c>
      <c r="G28" s="288">
        <f>G9+G10+G11-G16-G17-G18</f>
        <v>371700000</v>
      </c>
      <c r="H28" s="290">
        <f>D28+E28+F28+G28</f>
        <v>1359719000</v>
      </c>
      <c r="J28" s="362"/>
      <c r="K28" s="363"/>
      <c r="L28" s="364"/>
      <c r="M28" s="364"/>
      <c r="N28" s="364"/>
      <c r="O28" s="365"/>
      <c r="P28" s="366"/>
      <c r="Q28" s="291"/>
      <c r="R28" s="367"/>
      <c r="S28" s="368"/>
      <c r="T28" s="364"/>
      <c r="U28" s="364"/>
      <c r="V28" s="364"/>
      <c r="W28" s="365"/>
      <c r="X28" s="366"/>
      <c r="Y28" s="291"/>
      <c r="Z28" s="367"/>
      <c r="AA28" s="368"/>
      <c r="AB28" s="364"/>
      <c r="AC28" s="364"/>
      <c r="AD28" s="364"/>
      <c r="AE28" s="364"/>
      <c r="AF28" s="366"/>
    </row>
    <row r="29" spans="2:32" ht="13.9" thickBot="1">
      <c r="B29" s="520" t="s">
        <v>216</v>
      </c>
      <c r="C29" s="521"/>
      <c r="D29" s="320">
        <f>D22+D25+D28</f>
        <v>1315310000</v>
      </c>
      <c r="E29" s="320">
        <f>E22+E25+E28</f>
        <v>803388000</v>
      </c>
      <c r="F29" s="320">
        <f>F22+F25+F28</f>
        <v>803388000</v>
      </c>
      <c r="G29" s="320">
        <f>G22+G25+G28</f>
        <v>803388000</v>
      </c>
      <c r="H29" s="322">
        <f>H22+H25+H28</f>
        <v>3725474000</v>
      </c>
      <c r="J29" s="520" t="s">
        <v>216</v>
      </c>
      <c r="K29" s="521"/>
      <c r="L29" s="320">
        <f>L22+L25</f>
        <v>1230246000</v>
      </c>
      <c r="M29" s="320">
        <f>M22+M25</f>
        <v>1064757000</v>
      </c>
      <c r="N29" s="320">
        <f>N22+N25</f>
        <v>923994000</v>
      </c>
      <c r="O29" s="321">
        <f>O22+O25</f>
        <v>1633901000</v>
      </c>
      <c r="P29" s="322">
        <f>P22+P25</f>
        <v>4852898000</v>
      </c>
      <c r="Q29" s="291"/>
      <c r="R29" s="522" t="s">
        <v>216</v>
      </c>
      <c r="S29" s="523"/>
      <c r="T29" s="320">
        <f>T22+T25</f>
        <v>1171837000</v>
      </c>
      <c r="U29" s="320">
        <f>U22+U25</f>
        <v>661539000</v>
      </c>
      <c r="V29" s="320">
        <f>V22+V25</f>
        <v>910542000</v>
      </c>
      <c r="W29" s="321">
        <f>W22+W25</f>
        <v>1653708000</v>
      </c>
      <c r="X29" s="322">
        <f>X22+X25</f>
        <v>4397626000</v>
      </c>
      <c r="Y29" s="291"/>
      <c r="Z29" s="522" t="s">
        <v>216</v>
      </c>
      <c r="AA29" s="523"/>
      <c r="AB29" s="320">
        <f>AB22+AB25</f>
        <v>1085330000</v>
      </c>
      <c r="AC29" s="320">
        <f>AC22+AC25</f>
        <v>1089645000</v>
      </c>
      <c r="AD29" s="320">
        <f>AD22+AD25</f>
        <v>719824000</v>
      </c>
      <c r="AE29" s="320">
        <f>AE22+AE25</f>
        <v>1881500000</v>
      </c>
      <c r="AF29" s="322">
        <f>AF22+AF25</f>
        <v>4776299000</v>
      </c>
    </row>
    <row r="30" spans="2:32">
      <c r="B30" s="524" t="s">
        <v>234</v>
      </c>
      <c r="C30" s="185" t="s">
        <v>278</v>
      </c>
      <c r="D30" s="287">
        <f>팀별실적!H25</f>
        <v>139564000</v>
      </c>
      <c r="E30" s="287">
        <f>팀별실적!L25</f>
        <v>140127000</v>
      </c>
      <c r="F30" s="287">
        <f>팀별실적!P25</f>
        <v>140127000</v>
      </c>
      <c r="G30" s="287">
        <f>팀별실적!T25</f>
        <v>140127000</v>
      </c>
      <c r="H30" s="324">
        <f t="shared" ref="H30:H35" si="2">D30+E30+F30+G30</f>
        <v>559945000</v>
      </c>
      <c r="J30" s="524" t="s">
        <v>234</v>
      </c>
      <c r="K30" s="185" t="s">
        <v>302</v>
      </c>
      <c r="L30" s="287">
        <v>577263000</v>
      </c>
      <c r="M30" s="287">
        <v>606615000</v>
      </c>
      <c r="N30" s="287">
        <v>619863000</v>
      </c>
      <c r="O30" s="323">
        <v>676783000</v>
      </c>
      <c r="P30" s="324">
        <f>L30+M30+N30+O30</f>
        <v>2480524000</v>
      </c>
      <c r="Q30" s="161"/>
      <c r="R30" s="526" t="s">
        <v>234</v>
      </c>
      <c r="S30" s="184" t="s">
        <v>302</v>
      </c>
      <c r="T30" s="287">
        <v>634300000</v>
      </c>
      <c r="U30" s="288">
        <v>491718000</v>
      </c>
      <c r="V30" s="288">
        <v>546367000</v>
      </c>
      <c r="W30" s="289">
        <v>605051000</v>
      </c>
      <c r="X30" s="325">
        <f>T30+U30+V30+W30</f>
        <v>2277436000</v>
      </c>
      <c r="Y30" s="161"/>
      <c r="Z30" s="526" t="s">
        <v>234</v>
      </c>
      <c r="AA30" s="184" t="s">
        <v>303</v>
      </c>
      <c r="AB30" s="287">
        <v>575814000</v>
      </c>
      <c r="AC30" s="288">
        <v>458116000</v>
      </c>
      <c r="AD30" s="288">
        <v>479790000</v>
      </c>
      <c r="AE30" s="289">
        <v>553048000</v>
      </c>
      <c r="AF30" s="325">
        <f>AB30+AC30+AD30+AE30</f>
        <v>2066768000</v>
      </c>
    </row>
    <row r="31" spans="2:32">
      <c r="B31" s="524"/>
      <c r="C31" s="185" t="s">
        <v>279</v>
      </c>
      <c r="D31" s="287">
        <f>팀별실적!H26</f>
        <v>87240000</v>
      </c>
      <c r="E31" s="287">
        <f>팀별실적!L26</f>
        <v>87762000</v>
      </c>
      <c r="F31" s="287">
        <f>팀별실적!P26</f>
        <v>87762000</v>
      </c>
      <c r="G31" s="287">
        <f>팀별실적!T26</f>
        <v>87762000</v>
      </c>
      <c r="H31" s="324">
        <f t="shared" si="2"/>
        <v>350526000</v>
      </c>
      <c r="J31" s="524"/>
      <c r="K31" s="185"/>
      <c r="L31" s="287"/>
      <c r="M31" s="287"/>
      <c r="N31" s="287"/>
      <c r="O31" s="323"/>
      <c r="P31" s="324"/>
      <c r="Q31" s="161"/>
      <c r="R31" s="524"/>
      <c r="S31" s="184"/>
      <c r="T31" s="287"/>
      <c r="U31" s="288"/>
      <c r="V31" s="288"/>
      <c r="W31" s="289"/>
      <c r="X31" s="325"/>
      <c r="Y31" s="161"/>
      <c r="Z31" s="524"/>
      <c r="AA31" s="184"/>
      <c r="AB31" s="287"/>
      <c r="AC31" s="288"/>
      <c r="AD31" s="288"/>
      <c r="AE31" s="289"/>
      <c r="AF31" s="325"/>
    </row>
    <row r="32" spans="2:32">
      <c r="B32" s="524"/>
      <c r="C32" s="185" t="s">
        <v>319</v>
      </c>
      <c r="D32" s="287">
        <f>팀별실적!H24</f>
        <v>99711000</v>
      </c>
      <c r="E32" s="287">
        <f>팀별실적!L24</f>
        <v>99741000</v>
      </c>
      <c r="F32" s="287">
        <f>팀별실적!P24</f>
        <v>99741000</v>
      </c>
      <c r="G32" s="287">
        <f>팀별실적!T24</f>
        <v>99741000</v>
      </c>
      <c r="H32" s="324">
        <f t="shared" si="2"/>
        <v>398934000</v>
      </c>
      <c r="J32" s="524"/>
      <c r="K32" s="185"/>
      <c r="L32" s="287"/>
      <c r="M32" s="287"/>
      <c r="N32" s="287"/>
      <c r="O32" s="323"/>
      <c r="P32" s="324"/>
      <c r="Q32" s="161"/>
      <c r="R32" s="524"/>
      <c r="S32" s="184"/>
      <c r="T32" s="287"/>
      <c r="U32" s="288"/>
      <c r="V32" s="288"/>
      <c r="W32" s="289"/>
      <c r="X32" s="325"/>
      <c r="Y32" s="161"/>
      <c r="Z32" s="524"/>
      <c r="AA32" s="184"/>
      <c r="AB32" s="287"/>
      <c r="AC32" s="288"/>
      <c r="AD32" s="288"/>
      <c r="AE32" s="289"/>
      <c r="AF32" s="325"/>
    </row>
    <row r="33" spans="2:32">
      <c r="B33" s="524"/>
      <c r="C33" s="185" t="s">
        <v>274</v>
      </c>
      <c r="D33" s="287">
        <f>팀별실적!H27</f>
        <v>131603000</v>
      </c>
      <c r="E33" s="287">
        <f>팀별실적!L27</f>
        <v>131538000</v>
      </c>
      <c r="F33" s="287">
        <f>팀별실적!P27</f>
        <v>131538000</v>
      </c>
      <c r="G33" s="287">
        <f>팀별실적!T27</f>
        <v>131538000</v>
      </c>
      <c r="H33" s="324">
        <f t="shared" si="2"/>
        <v>526217000</v>
      </c>
      <c r="J33" s="524"/>
      <c r="K33" s="185"/>
      <c r="L33" s="287"/>
      <c r="M33" s="287"/>
      <c r="N33" s="287"/>
      <c r="O33" s="323"/>
      <c r="P33" s="324"/>
      <c r="Q33" s="161"/>
      <c r="R33" s="524"/>
      <c r="S33" s="184"/>
      <c r="T33" s="287"/>
      <c r="U33" s="288"/>
      <c r="V33" s="288"/>
      <c r="W33" s="289"/>
      <c r="X33" s="325"/>
      <c r="Y33" s="161"/>
      <c r="Z33" s="524"/>
      <c r="AA33" s="184"/>
      <c r="AB33" s="287"/>
      <c r="AC33" s="288"/>
      <c r="AD33" s="288"/>
      <c r="AE33" s="289"/>
      <c r="AF33" s="325"/>
    </row>
    <row r="34" spans="2:32">
      <c r="B34" s="524"/>
      <c r="C34" s="185" t="s">
        <v>267</v>
      </c>
      <c r="D34" s="287">
        <f>팀별실적!H28</f>
        <v>92587000</v>
      </c>
      <c r="E34" s="287">
        <f>팀별실적!L28</f>
        <v>92541000</v>
      </c>
      <c r="F34" s="287">
        <f>팀별실적!P28</f>
        <v>92541000</v>
      </c>
      <c r="G34" s="287">
        <f>팀별실적!T28</f>
        <v>92541000</v>
      </c>
      <c r="H34" s="324">
        <f t="shared" si="2"/>
        <v>370210000</v>
      </c>
      <c r="J34" s="524"/>
      <c r="K34" s="185"/>
      <c r="L34" s="287"/>
      <c r="M34" s="287"/>
      <c r="N34" s="287"/>
      <c r="O34" s="323"/>
      <c r="P34" s="324"/>
      <c r="Q34" s="161"/>
      <c r="R34" s="524"/>
      <c r="S34" s="184"/>
      <c r="T34" s="287"/>
      <c r="U34" s="288"/>
      <c r="V34" s="288"/>
      <c r="W34" s="289"/>
      <c r="X34" s="325"/>
      <c r="Y34" s="161"/>
      <c r="Z34" s="524"/>
      <c r="AA34" s="184"/>
      <c r="AB34" s="287"/>
      <c r="AC34" s="288"/>
      <c r="AD34" s="288"/>
      <c r="AE34" s="289"/>
      <c r="AF34" s="325"/>
    </row>
    <row r="35" spans="2:32">
      <c r="B35" s="525"/>
      <c r="C35" s="184" t="s">
        <v>265</v>
      </c>
      <c r="D35" s="287">
        <f>팀별실적!H29</f>
        <v>49254000</v>
      </c>
      <c r="E35" s="287">
        <f>팀별실적!L29</f>
        <v>49230000</v>
      </c>
      <c r="F35" s="287">
        <f>팀별실적!P29</f>
        <v>49230000</v>
      </c>
      <c r="G35" s="287">
        <f>팀별실적!T29</f>
        <v>49230000</v>
      </c>
      <c r="H35" s="324">
        <f t="shared" si="2"/>
        <v>196944000</v>
      </c>
      <c r="J35" s="525"/>
      <c r="K35" s="184" t="s">
        <v>304</v>
      </c>
      <c r="L35" s="287">
        <v>218661000</v>
      </c>
      <c r="M35" s="287">
        <v>217350000</v>
      </c>
      <c r="N35" s="288">
        <v>218762000</v>
      </c>
      <c r="O35" s="289">
        <v>237056000</v>
      </c>
      <c r="P35" s="325">
        <f>L35+M35+N35+O35</f>
        <v>891829000</v>
      </c>
      <c r="Q35" s="161"/>
      <c r="R35" s="525"/>
      <c r="S35" s="184" t="s">
        <v>304</v>
      </c>
      <c r="T35" s="287">
        <v>234275000</v>
      </c>
      <c r="U35" s="288">
        <v>178729000</v>
      </c>
      <c r="V35" s="288">
        <v>189874000</v>
      </c>
      <c r="W35" s="289">
        <v>230487000</v>
      </c>
      <c r="X35" s="325">
        <f>T35+U35+V35+W35</f>
        <v>833365000</v>
      </c>
      <c r="Y35" s="161"/>
      <c r="Z35" s="525"/>
      <c r="AA35" s="184" t="s">
        <v>305</v>
      </c>
      <c r="AB35" s="287">
        <v>226704000</v>
      </c>
      <c r="AC35" s="288">
        <v>160415000</v>
      </c>
      <c r="AD35" s="288">
        <v>170516000</v>
      </c>
      <c r="AE35" s="289">
        <v>182586000</v>
      </c>
      <c r="AF35" s="325">
        <f>AB35+AC35+AD35+AE35</f>
        <v>740221000</v>
      </c>
    </row>
    <row r="36" spans="2:32">
      <c r="B36" s="527" t="s">
        <v>215</v>
      </c>
      <c r="C36" s="528"/>
      <c r="D36" s="326">
        <f>SUM(D30:D35)</f>
        <v>599959000</v>
      </c>
      <c r="E36" s="326">
        <f>SUM(E30:E35)</f>
        <v>600939000</v>
      </c>
      <c r="F36" s="326">
        <f>SUM(F30:F35)</f>
        <v>600939000</v>
      </c>
      <c r="G36" s="326">
        <f>SUM(G30:G35)</f>
        <v>600939000</v>
      </c>
      <c r="H36" s="326">
        <f>SUM(H30:H35)</f>
        <v>2402776000</v>
      </c>
      <c r="J36" s="527" t="s">
        <v>215</v>
      </c>
      <c r="K36" s="528"/>
      <c r="L36" s="326">
        <f>L30+L35</f>
        <v>795924000</v>
      </c>
      <c r="M36" s="326">
        <f>M30+M35</f>
        <v>823965000</v>
      </c>
      <c r="N36" s="326">
        <f t="shared" ref="N36:O36" si="3">N30+N35</f>
        <v>838625000</v>
      </c>
      <c r="O36" s="326">
        <f t="shared" si="3"/>
        <v>913839000</v>
      </c>
      <c r="P36" s="327">
        <f>P30+P35</f>
        <v>3372353000</v>
      </c>
      <c r="Q36" s="161"/>
      <c r="R36" s="529" t="s">
        <v>215</v>
      </c>
      <c r="S36" s="530"/>
      <c r="T36" s="326">
        <f>T30+T35</f>
        <v>868575000</v>
      </c>
      <c r="U36" s="326">
        <f>U30+U35</f>
        <v>670447000</v>
      </c>
      <c r="V36" s="326">
        <f>V30+V35</f>
        <v>736241000</v>
      </c>
      <c r="W36" s="328">
        <f>W30+W35</f>
        <v>835538000</v>
      </c>
      <c r="X36" s="327">
        <f>X30+X35</f>
        <v>3110801000</v>
      </c>
      <c r="Y36" s="161"/>
      <c r="Z36" s="529" t="s">
        <v>215</v>
      </c>
      <c r="AA36" s="530"/>
      <c r="AB36" s="326">
        <f>AB30+AB35</f>
        <v>802518000</v>
      </c>
      <c r="AC36" s="326">
        <f>AC30+AC35</f>
        <v>618531000</v>
      </c>
      <c r="AD36" s="326">
        <f>AD30+AD35</f>
        <v>650306000</v>
      </c>
      <c r="AE36" s="328">
        <f>AE30+AE35</f>
        <v>735634000</v>
      </c>
      <c r="AF36" s="327">
        <f>AF30+AF35</f>
        <v>2806989000</v>
      </c>
    </row>
    <row r="37" spans="2:32">
      <c r="B37" s="531" t="s">
        <v>235</v>
      </c>
      <c r="C37" s="184" t="s">
        <v>317</v>
      </c>
      <c r="D37" s="288">
        <f>팀별실적!H32+팀별실적!H33</f>
        <v>65762000</v>
      </c>
      <c r="E37" s="288">
        <f>팀별실적!L32+팀별실적!L33</f>
        <v>65211000</v>
      </c>
      <c r="F37" s="288">
        <f>팀별실적!P32+팀별실적!P33</f>
        <v>65211000</v>
      </c>
      <c r="G37" s="288">
        <f>팀별실적!T32+팀별실적!T33</f>
        <v>65211000</v>
      </c>
      <c r="H37" s="325">
        <f>D37+E37+F37+G37</f>
        <v>261395000</v>
      </c>
      <c r="J37" s="531" t="s">
        <v>235</v>
      </c>
      <c r="K37" s="184" t="s">
        <v>302</v>
      </c>
      <c r="L37" s="288">
        <v>147148000</v>
      </c>
      <c r="M37" s="288">
        <v>162758000</v>
      </c>
      <c r="N37" s="288">
        <v>146002000</v>
      </c>
      <c r="O37" s="289">
        <v>234222000</v>
      </c>
      <c r="P37" s="325">
        <f>L37+M37+N37+O37</f>
        <v>690130000</v>
      </c>
      <c r="Q37" s="161"/>
      <c r="R37" s="531" t="s">
        <v>235</v>
      </c>
      <c r="S37" s="184" t="s">
        <v>302</v>
      </c>
      <c r="T37" s="288">
        <v>178866000</v>
      </c>
      <c r="U37" s="288">
        <v>148196000</v>
      </c>
      <c r="V37" s="288">
        <v>137096000</v>
      </c>
      <c r="W37" s="289">
        <v>125711000</v>
      </c>
      <c r="X37" s="325">
        <f>T37+U37+V37+W37</f>
        <v>589869000</v>
      </c>
      <c r="Y37" s="161"/>
      <c r="Z37" s="531" t="s">
        <v>235</v>
      </c>
      <c r="AA37" s="184" t="s">
        <v>303</v>
      </c>
      <c r="AB37" s="288">
        <v>133162000</v>
      </c>
      <c r="AC37" s="288">
        <v>135408000</v>
      </c>
      <c r="AD37" s="288">
        <v>127250000</v>
      </c>
      <c r="AE37" s="289">
        <v>192140000</v>
      </c>
      <c r="AF37" s="325">
        <f>AB37+AC37+AD37+AE37</f>
        <v>587960000</v>
      </c>
    </row>
    <row r="38" spans="2:32">
      <c r="B38" s="524"/>
      <c r="C38" s="184" t="s">
        <v>238</v>
      </c>
      <c r="D38" s="288">
        <f>팀별실적!H31</f>
        <v>28916000</v>
      </c>
      <c r="E38" s="288">
        <f>팀별실적!L31</f>
        <v>28542000</v>
      </c>
      <c r="F38" s="288">
        <f>팀별실적!P31</f>
        <v>28542000</v>
      </c>
      <c r="G38" s="288">
        <f>팀별실적!T31</f>
        <v>28542000</v>
      </c>
      <c r="H38" s="325">
        <f>D38+E38+F38+G38</f>
        <v>114542000</v>
      </c>
      <c r="J38" s="524"/>
      <c r="K38" s="184"/>
      <c r="L38" s="288"/>
      <c r="M38" s="288"/>
      <c r="N38" s="288"/>
      <c r="O38" s="289"/>
      <c r="P38" s="325"/>
      <c r="Q38" s="161"/>
      <c r="R38" s="524"/>
      <c r="S38" s="184"/>
      <c r="T38" s="288"/>
      <c r="U38" s="288"/>
      <c r="V38" s="288"/>
      <c r="W38" s="289"/>
      <c r="X38" s="325"/>
      <c r="Y38" s="161"/>
      <c r="Z38" s="524"/>
      <c r="AA38" s="184"/>
      <c r="AB38" s="288"/>
      <c r="AC38" s="288"/>
      <c r="AD38" s="288"/>
      <c r="AE38" s="289"/>
      <c r="AF38" s="325"/>
    </row>
    <row r="39" spans="2:32">
      <c r="B39" s="525"/>
      <c r="C39" s="184" t="s">
        <v>316</v>
      </c>
      <c r="D39" s="288">
        <f>팀별실적!H34+팀별실적!H35+팀별실적!H36</f>
        <v>79297000</v>
      </c>
      <c r="E39" s="288">
        <f>팀별실적!L34+팀별실적!L35+팀별실적!L36</f>
        <v>78207000</v>
      </c>
      <c r="F39" s="288">
        <f>팀별실적!P34+팀별실적!P35+팀별실적!P36</f>
        <v>78207000</v>
      </c>
      <c r="G39" s="288">
        <f>팀별실적!T34+팀별실적!T35+팀별실적!T36</f>
        <v>78207000</v>
      </c>
      <c r="H39" s="325">
        <f>D39+E39+F39+G39</f>
        <v>313918000</v>
      </c>
      <c r="J39" s="525"/>
      <c r="K39" s="184" t="s">
        <v>304</v>
      </c>
      <c r="L39" s="288">
        <v>55840000</v>
      </c>
      <c r="M39" s="288">
        <v>58563000</v>
      </c>
      <c r="N39" s="288">
        <v>51597000</v>
      </c>
      <c r="O39" s="289">
        <v>83161000</v>
      </c>
      <c r="P39" s="325">
        <f>L39+M39+N39+O39</f>
        <v>249161000</v>
      </c>
      <c r="Q39" s="161"/>
      <c r="R39" s="525"/>
      <c r="S39" s="184" t="s">
        <v>304</v>
      </c>
      <c r="T39" s="288">
        <v>67178000</v>
      </c>
      <c r="U39" s="288">
        <v>54118000</v>
      </c>
      <c r="V39" s="288">
        <v>47603000</v>
      </c>
      <c r="W39" s="289">
        <v>47689000</v>
      </c>
      <c r="X39" s="325">
        <f>T39+U39+V39+W39</f>
        <v>216588000</v>
      </c>
      <c r="Y39" s="161"/>
      <c r="Z39" s="525"/>
      <c r="AA39" s="184" t="s">
        <v>305</v>
      </c>
      <c r="AB39" s="288">
        <v>52228000</v>
      </c>
      <c r="AC39" s="288">
        <v>47426000</v>
      </c>
      <c r="AD39" s="288">
        <v>45384000</v>
      </c>
      <c r="AE39" s="289">
        <v>62898000</v>
      </c>
      <c r="AF39" s="325">
        <f>AB39+AC39+AD39+AE39</f>
        <v>207936000</v>
      </c>
    </row>
    <row r="40" spans="2:32">
      <c r="B40" s="527" t="s">
        <v>215</v>
      </c>
      <c r="C40" s="528"/>
      <c r="D40" s="326">
        <f>D37+D38+D39</f>
        <v>173975000</v>
      </c>
      <c r="E40" s="326">
        <f>E37+E38+E39</f>
        <v>171960000</v>
      </c>
      <c r="F40" s="326">
        <f>F37+F38+F39</f>
        <v>171960000</v>
      </c>
      <c r="G40" s="326">
        <f>G37+G38+G39</f>
        <v>171960000</v>
      </c>
      <c r="H40" s="327">
        <f>H37+H38+H39</f>
        <v>689855000</v>
      </c>
      <c r="J40" s="527" t="s">
        <v>215</v>
      </c>
      <c r="K40" s="528"/>
      <c r="L40" s="326">
        <f>L37+L39</f>
        <v>202988000</v>
      </c>
      <c r="M40" s="326">
        <f>M37+M39</f>
        <v>221321000</v>
      </c>
      <c r="N40" s="326">
        <f t="shared" ref="N40:O40" si="4">N37+N39</f>
        <v>197599000</v>
      </c>
      <c r="O40" s="326">
        <f t="shared" si="4"/>
        <v>317383000</v>
      </c>
      <c r="P40" s="327">
        <f>P37+P39</f>
        <v>939291000</v>
      </c>
      <c r="Q40" s="161"/>
      <c r="R40" s="529" t="s">
        <v>215</v>
      </c>
      <c r="S40" s="530"/>
      <c r="T40" s="326">
        <f>T37+T39</f>
        <v>246044000</v>
      </c>
      <c r="U40" s="326">
        <f>U37+U39</f>
        <v>202314000</v>
      </c>
      <c r="V40" s="326">
        <f>V37+V39</f>
        <v>184699000</v>
      </c>
      <c r="W40" s="328">
        <f>W37+W39</f>
        <v>173400000</v>
      </c>
      <c r="X40" s="327">
        <f>X37+X39</f>
        <v>806457000</v>
      </c>
      <c r="Y40" s="161"/>
      <c r="Z40" s="529" t="s">
        <v>215</v>
      </c>
      <c r="AA40" s="530"/>
      <c r="AB40" s="326">
        <f>AB37+AB39</f>
        <v>185390000</v>
      </c>
      <c r="AC40" s="326">
        <f>AC37+AC39</f>
        <v>182834000</v>
      </c>
      <c r="AD40" s="326">
        <f>AD37+AD39</f>
        <v>172634000</v>
      </c>
      <c r="AE40" s="328">
        <f>AE37+AE39</f>
        <v>255038000</v>
      </c>
      <c r="AF40" s="327">
        <f>AF37+AF39</f>
        <v>795896000</v>
      </c>
    </row>
    <row r="41" spans="2:32" ht="13.9" thickBot="1">
      <c r="B41" s="532" t="s">
        <v>311</v>
      </c>
      <c r="C41" s="533"/>
      <c r="D41" s="329">
        <f>D36+D40</f>
        <v>773934000</v>
      </c>
      <c r="E41" s="329">
        <f>E36+E40</f>
        <v>772899000</v>
      </c>
      <c r="F41" s="329">
        <f>F36+F40</f>
        <v>772899000</v>
      </c>
      <c r="G41" s="329">
        <f>G36+G40</f>
        <v>772899000</v>
      </c>
      <c r="H41" s="330">
        <f>H36+H40</f>
        <v>3092631000</v>
      </c>
      <c r="J41" s="532" t="s">
        <v>311</v>
      </c>
      <c r="K41" s="533"/>
      <c r="L41" s="329">
        <f>L36+L40</f>
        <v>998912000</v>
      </c>
      <c r="M41" s="329">
        <f>M36+M40</f>
        <v>1045286000</v>
      </c>
      <c r="N41" s="329">
        <f>N36+N40</f>
        <v>1036224000</v>
      </c>
      <c r="O41" s="329">
        <f>O36+O40</f>
        <v>1231222000</v>
      </c>
      <c r="P41" s="330">
        <f>P36+P40</f>
        <v>4311644000</v>
      </c>
      <c r="Q41" s="291"/>
      <c r="R41" s="534" t="s">
        <v>311</v>
      </c>
      <c r="S41" s="535"/>
      <c r="T41" s="329">
        <f>T36+T40</f>
        <v>1114619000</v>
      </c>
      <c r="U41" s="329">
        <f>U36+U40</f>
        <v>872761000</v>
      </c>
      <c r="V41" s="329">
        <f>V36+V40</f>
        <v>920940000</v>
      </c>
      <c r="W41" s="329">
        <f>W36+W40</f>
        <v>1008938000</v>
      </c>
      <c r="X41" s="330">
        <f>X36+X40</f>
        <v>3917258000</v>
      </c>
      <c r="Y41" s="291"/>
      <c r="Z41" s="534" t="s">
        <v>311</v>
      </c>
      <c r="AA41" s="535"/>
      <c r="AB41" s="329">
        <f>AB36+AB40</f>
        <v>987908000</v>
      </c>
      <c r="AC41" s="329">
        <f>AC36+AC40</f>
        <v>801365000</v>
      </c>
      <c r="AD41" s="329">
        <f>AD36+AD40</f>
        <v>822940000</v>
      </c>
      <c r="AE41" s="329">
        <f>AE36+AE40</f>
        <v>990672000</v>
      </c>
      <c r="AF41" s="330">
        <f>AF36+AF40</f>
        <v>3602885000</v>
      </c>
    </row>
    <row r="42" spans="2:32" ht="13.5" customHeight="1">
      <c r="B42" s="536" t="s">
        <v>312</v>
      </c>
      <c r="C42" s="537"/>
      <c r="D42" s="331">
        <v>1241410000</v>
      </c>
      <c r="E42" s="331">
        <v>1269244000</v>
      </c>
      <c r="F42" s="331">
        <v>1308090000</v>
      </c>
      <c r="G42" s="331">
        <v>1225641000</v>
      </c>
      <c r="H42" s="333">
        <f>D42+E42+F42+G42</f>
        <v>5044385000</v>
      </c>
      <c r="J42" s="536" t="s">
        <v>312</v>
      </c>
      <c r="K42" s="537"/>
      <c r="L42" s="331">
        <v>1061660000</v>
      </c>
      <c r="M42" s="331">
        <v>1129049000</v>
      </c>
      <c r="N42" s="331">
        <v>1063064000</v>
      </c>
      <c r="O42" s="332">
        <v>1104438000</v>
      </c>
      <c r="P42" s="333">
        <f>L42+M42+N42+O42</f>
        <v>4358211000</v>
      </c>
      <c r="Q42" s="334"/>
      <c r="R42" s="538" t="s">
        <v>312</v>
      </c>
      <c r="S42" s="539"/>
      <c r="T42" s="331">
        <v>981389000</v>
      </c>
      <c r="U42" s="331">
        <v>1038624000</v>
      </c>
      <c r="V42" s="331">
        <v>1068489000</v>
      </c>
      <c r="W42" s="332">
        <v>1057654000</v>
      </c>
      <c r="X42" s="333">
        <v>4146156000</v>
      </c>
      <c r="Y42" s="334"/>
      <c r="Z42" s="538" t="s">
        <v>312</v>
      </c>
      <c r="AA42" s="539"/>
      <c r="AB42" s="331">
        <v>929619000</v>
      </c>
      <c r="AC42" s="331">
        <v>897939000</v>
      </c>
      <c r="AD42" s="331">
        <v>911861000</v>
      </c>
      <c r="AE42" s="332">
        <v>910316000</v>
      </c>
      <c r="AF42" s="333">
        <f>AB42+AC42+AD42+AE42</f>
        <v>3649735000</v>
      </c>
    </row>
    <row r="43" spans="2:32" ht="13.9" thickBot="1">
      <c r="B43" s="335"/>
      <c r="C43" s="336" t="s">
        <v>209</v>
      </c>
      <c r="D43" s="337">
        <f>D41/D42</f>
        <v>0.62343142072320989</v>
      </c>
      <c r="E43" s="337">
        <f>E41/E42</f>
        <v>0.60894437948889257</v>
      </c>
      <c r="F43" s="337">
        <f>F41/F42</f>
        <v>0.59086072059261974</v>
      </c>
      <c r="G43" s="337">
        <f>G41/G42</f>
        <v>0.63060798390393269</v>
      </c>
      <c r="H43" s="339">
        <f>H41/H42</f>
        <v>0.61308385462251591</v>
      </c>
      <c r="J43" s="335"/>
      <c r="K43" s="336" t="s">
        <v>209</v>
      </c>
      <c r="L43" s="337">
        <f>L41/L42</f>
        <v>0.94089633215907165</v>
      </c>
      <c r="M43" s="337">
        <f>M41/M42</f>
        <v>0.92581101440238645</v>
      </c>
      <c r="N43" s="337">
        <f>N41/N42</f>
        <v>0.97475222564210617</v>
      </c>
      <c r="O43" s="338">
        <f>O41/O42</f>
        <v>1.1147950360273733</v>
      </c>
      <c r="P43" s="339">
        <f>P41/P42</f>
        <v>0.98931511117749926</v>
      </c>
      <c r="Q43" s="340"/>
      <c r="R43" s="341"/>
      <c r="S43" s="342" t="s">
        <v>209</v>
      </c>
      <c r="T43" s="343">
        <f>T41/T42</f>
        <v>1.1357565654393926</v>
      </c>
      <c r="U43" s="343">
        <f>U41/U42</f>
        <v>0.84030505746064021</v>
      </c>
      <c r="V43" s="343">
        <f>V41/V42</f>
        <v>0.86190873279930813</v>
      </c>
      <c r="W43" s="344">
        <f>W41/W42</f>
        <v>0.95393956813854053</v>
      </c>
      <c r="X43" s="345">
        <f>X41/X42</f>
        <v>0.94479271884608296</v>
      </c>
      <c r="Y43" s="340"/>
      <c r="Z43" s="341" t="s">
        <v>313</v>
      </c>
      <c r="AA43" s="342"/>
      <c r="AB43" s="343">
        <f>AB41/AB42</f>
        <v>1.0627020316925535</v>
      </c>
      <c r="AC43" s="343">
        <f>AC41/AC42</f>
        <v>0.89244926437096506</v>
      </c>
      <c r="AD43" s="343">
        <f>AD41/AD42</f>
        <v>0.90248404087903744</v>
      </c>
      <c r="AE43" s="343">
        <f>AE41/AE42</f>
        <v>1.088272643785235</v>
      </c>
      <c r="AF43" s="346">
        <f>AF41/AF42</f>
        <v>0.98716345159306085</v>
      </c>
    </row>
    <row r="44" spans="2:32" ht="16.899999999999999">
      <c r="B44" s="540" t="s">
        <v>293</v>
      </c>
      <c r="C44" s="347" t="s">
        <v>317</v>
      </c>
      <c r="D44" s="348">
        <f>D22-D30-D31-D37</f>
        <v>716771000</v>
      </c>
      <c r="E44" s="348">
        <f>E22-E30-E31-E37</f>
        <v>48828000</v>
      </c>
      <c r="F44" s="348">
        <f>F22-F30-F31-F37</f>
        <v>48828000</v>
      </c>
      <c r="G44" s="381">
        <f>G22-G30-G31-G37</f>
        <v>48828000</v>
      </c>
      <c r="H44" s="384">
        <f>H22-H30-H31-H37</f>
        <v>863255000</v>
      </c>
      <c r="J44" s="540" t="s">
        <v>293</v>
      </c>
      <c r="K44" s="347" t="s">
        <v>302</v>
      </c>
      <c r="L44" s="348">
        <f>L22-L30-L37</f>
        <v>173144000</v>
      </c>
      <c r="M44" s="348">
        <f>M22-M30-M37</f>
        <v>50450000</v>
      </c>
      <c r="N44" s="348">
        <f>N22-N30-N37</f>
        <v>-181588000</v>
      </c>
      <c r="O44" s="348">
        <f>O22-O30-O37</f>
        <v>194119000</v>
      </c>
      <c r="P44" s="349">
        <f>P22-P30-P37</f>
        <v>236125000</v>
      </c>
      <c r="Q44" s="350"/>
      <c r="R44" s="543" t="s">
        <v>293</v>
      </c>
      <c r="S44" s="351" t="s">
        <v>302</v>
      </c>
      <c r="T44" s="352">
        <f>T22-T30-T37</f>
        <v>101957000</v>
      </c>
      <c r="U44" s="352">
        <f>U22-U30-U37</f>
        <v>-176732000</v>
      </c>
      <c r="V44" s="352">
        <f>V22-V30-V37</f>
        <v>-160229000</v>
      </c>
      <c r="W44" s="352">
        <f>W22-W30-W37</f>
        <v>556171000</v>
      </c>
      <c r="X44" s="353">
        <f>X22-X30-X37</f>
        <v>321167000</v>
      </c>
      <c r="Y44" s="350"/>
      <c r="Z44" s="543" t="s">
        <v>293</v>
      </c>
      <c r="AA44" s="351" t="s">
        <v>303</v>
      </c>
      <c r="AB44" s="352">
        <v>200722000</v>
      </c>
      <c r="AC44" s="352">
        <v>252586000</v>
      </c>
      <c r="AD44" s="352">
        <v>79311000</v>
      </c>
      <c r="AE44" s="352">
        <v>250148000</v>
      </c>
      <c r="AF44" s="353">
        <f>AF22-AF30-AF37</f>
        <v>782767000</v>
      </c>
    </row>
    <row r="45" spans="2:32" ht="16.899999999999999">
      <c r="B45" s="541"/>
      <c r="C45" s="369" t="s">
        <v>238</v>
      </c>
      <c r="D45" s="352">
        <f>D25-D32-D38</f>
        <v>-67273000</v>
      </c>
      <c r="E45" s="352">
        <f>E25-E32-E38</f>
        <v>-38523000</v>
      </c>
      <c r="F45" s="352">
        <f>F25-F32-F38</f>
        <v>-38523000</v>
      </c>
      <c r="G45" s="382">
        <f>G25-G32-G38</f>
        <v>-38523000</v>
      </c>
      <c r="H45" s="385">
        <f>H25-H32-H38</f>
        <v>-182842000</v>
      </c>
      <c r="J45" s="541"/>
      <c r="K45" s="369"/>
      <c r="L45" s="354"/>
      <c r="M45" s="354"/>
      <c r="N45" s="354"/>
      <c r="O45" s="354"/>
      <c r="P45" s="370"/>
      <c r="Q45" s="350"/>
      <c r="R45" s="544"/>
      <c r="S45" s="351"/>
      <c r="T45" s="354"/>
      <c r="U45" s="354"/>
      <c r="V45" s="354"/>
      <c r="W45" s="354"/>
      <c r="X45" s="353"/>
      <c r="Y45" s="350"/>
      <c r="Z45" s="544"/>
      <c r="AA45" s="351"/>
      <c r="AB45" s="354"/>
      <c r="AC45" s="354"/>
      <c r="AD45" s="354"/>
      <c r="AE45" s="354"/>
      <c r="AF45" s="353"/>
    </row>
    <row r="46" spans="2:32" ht="16.899999999999999">
      <c r="B46" s="542"/>
      <c r="C46" s="351" t="s">
        <v>316</v>
      </c>
      <c r="D46" s="354">
        <f>D28-D33-D34-D35-D39</f>
        <v>-108122000</v>
      </c>
      <c r="E46" s="354">
        <f>E28-E33-E34-E35-E39</f>
        <v>20184000</v>
      </c>
      <c r="F46" s="354">
        <f>F28-F33-F34-F35-F39</f>
        <v>20184000</v>
      </c>
      <c r="G46" s="383">
        <f>G28-G33-G34-G35-G39</f>
        <v>20184000</v>
      </c>
      <c r="H46" s="386">
        <f>H28-H33-H34-H35-H39</f>
        <v>-47570000</v>
      </c>
      <c r="J46" s="542"/>
      <c r="K46" s="351" t="s">
        <v>304</v>
      </c>
      <c r="L46" s="354">
        <f>L25-L35-L39</f>
        <v>58190000</v>
      </c>
      <c r="M46" s="354">
        <f>M25-M35-M39</f>
        <v>-30979000</v>
      </c>
      <c r="N46" s="354">
        <f>N25-N35-N39</f>
        <v>69358000</v>
      </c>
      <c r="O46" s="354">
        <f>O25-O35-O39</f>
        <v>208560000</v>
      </c>
      <c r="P46" s="355">
        <f>P25-P35-P39</f>
        <v>305129000</v>
      </c>
      <c r="Q46" s="350"/>
      <c r="R46" s="545"/>
      <c r="S46" s="351" t="s">
        <v>304</v>
      </c>
      <c r="T46" s="354">
        <f>T25-T35-T39</f>
        <v>-44739000</v>
      </c>
      <c r="U46" s="354">
        <f>U25-U35-U39</f>
        <v>-34490000</v>
      </c>
      <c r="V46" s="354">
        <f>V25-V35-V39</f>
        <v>149831000</v>
      </c>
      <c r="W46" s="354">
        <f>W25-W35-W39</f>
        <v>88599000</v>
      </c>
      <c r="X46" s="353">
        <f>X25-X35-X39</f>
        <v>159201000</v>
      </c>
      <c r="Y46" s="350"/>
      <c r="Z46" s="545"/>
      <c r="AA46" s="351" t="s">
        <v>305</v>
      </c>
      <c r="AB46" s="354">
        <v>-103300000</v>
      </c>
      <c r="AC46" s="354">
        <v>35694000</v>
      </c>
      <c r="AD46" s="354">
        <v>-182427000</v>
      </c>
      <c r="AE46" s="354">
        <v>640680000</v>
      </c>
      <c r="AF46" s="353">
        <f>AF25-AF35-AF39</f>
        <v>390647000</v>
      </c>
    </row>
    <row r="47" spans="2:32" ht="17.25" thickBot="1">
      <c r="B47" s="546" t="s">
        <v>293</v>
      </c>
      <c r="C47" s="547"/>
      <c r="D47" s="356">
        <f>D44+D45+D46</f>
        <v>541376000</v>
      </c>
      <c r="E47" s="356">
        <f>E44+E45+E46</f>
        <v>30489000</v>
      </c>
      <c r="F47" s="356">
        <f>F44+F45+F46</f>
        <v>30489000</v>
      </c>
      <c r="G47" s="357">
        <f>G44+G45+G46</f>
        <v>30489000</v>
      </c>
      <c r="H47" s="387">
        <f>H44+H45+H46</f>
        <v>632843000</v>
      </c>
      <c r="J47" s="546" t="s">
        <v>293</v>
      </c>
      <c r="K47" s="547"/>
      <c r="L47" s="356">
        <f>L44+L46</f>
        <v>231334000</v>
      </c>
      <c r="M47" s="356">
        <f>M44+M46</f>
        <v>19471000</v>
      </c>
      <c r="N47" s="356">
        <f>N44+N46</f>
        <v>-112230000</v>
      </c>
      <c r="O47" s="357">
        <f>O44+O46</f>
        <v>402679000</v>
      </c>
      <c r="P47" s="358">
        <f>P44+P46</f>
        <v>541254000</v>
      </c>
      <c r="Q47" s="350"/>
      <c r="R47" s="548" t="s">
        <v>293</v>
      </c>
      <c r="S47" s="549"/>
      <c r="T47" s="359">
        <f>T44+T46</f>
        <v>57218000</v>
      </c>
      <c r="U47" s="359">
        <f>U44+U46</f>
        <v>-211222000</v>
      </c>
      <c r="V47" s="359">
        <f>V44+V46</f>
        <v>-10398000</v>
      </c>
      <c r="W47" s="360">
        <f>W44+W46</f>
        <v>644770000</v>
      </c>
      <c r="X47" s="361">
        <f>X44+X46</f>
        <v>480368000</v>
      </c>
      <c r="Y47" s="350"/>
      <c r="Z47" s="548" t="s">
        <v>216</v>
      </c>
      <c r="AA47" s="549"/>
      <c r="AB47" s="359">
        <f>AB44+AB46</f>
        <v>97422000</v>
      </c>
      <c r="AC47" s="359">
        <f>AC44+AC46</f>
        <v>288280000</v>
      </c>
      <c r="AD47" s="359">
        <f>AD44+AD46</f>
        <v>-103116000</v>
      </c>
      <c r="AE47" s="360">
        <f>AE44+AE46</f>
        <v>890828000</v>
      </c>
      <c r="AF47" s="361">
        <f>AF44+AF46</f>
        <v>1173414000</v>
      </c>
    </row>
  </sheetData>
  <mergeCells count="52">
    <mergeCell ref="B44:B46"/>
    <mergeCell ref="B47:C47"/>
    <mergeCell ref="B20:B28"/>
    <mergeCell ref="B30:B35"/>
    <mergeCell ref="B36:C36"/>
    <mergeCell ref="B37:B39"/>
    <mergeCell ref="B40:C40"/>
    <mergeCell ref="B41:C41"/>
    <mergeCell ref="B42:C42"/>
    <mergeCell ref="B6:B11"/>
    <mergeCell ref="B12:C12"/>
    <mergeCell ref="B13:B18"/>
    <mergeCell ref="B19:C19"/>
    <mergeCell ref="B29:C29"/>
    <mergeCell ref="J44:J46"/>
    <mergeCell ref="R44:R46"/>
    <mergeCell ref="Z44:Z46"/>
    <mergeCell ref="J47:K47"/>
    <mergeCell ref="R47:S47"/>
    <mergeCell ref="Z47:AA47"/>
    <mergeCell ref="J41:K41"/>
    <mergeCell ref="R41:S41"/>
    <mergeCell ref="Z41:AA41"/>
    <mergeCell ref="J42:K42"/>
    <mergeCell ref="R42:S42"/>
    <mergeCell ref="Z42:AA42"/>
    <mergeCell ref="J37:J39"/>
    <mergeCell ref="R37:R39"/>
    <mergeCell ref="Z37:Z39"/>
    <mergeCell ref="J40:K40"/>
    <mergeCell ref="R40:S40"/>
    <mergeCell ref="Z40:AA40"/>
    <mergeCell ref="J30:J35"/>
    <mergeCell ref="R30:R35"/>
    <mergeCell ref="Z30:Z35"/>
    <mergeCell ref="J36:K36"/>
    <mergeCell ref="R36:S36"/>
    <mergeCell ref="Z36:AA36"/>
    <mergeCell ref="J20:J25"/>
    <mergeCell ref="R20:R25"/>
    <mergeCell ref="Z20:Z25"/>
    <mergeCell ref="J29:K29"/>
    <mergeCell ref="R29:S29"/>
    <mergeCell ref="Z29:AA29"/>
    <mergeCell ref="J19:K19"/>
    <mergeCell ref="R19:S19"/>
    <mergeCell ref="Z19:AA19"/>
    <mergeCell ref="J6:J11"/>
    <mergeCell ref="J12:K12"/>
    <mergeCell ref="R12:S12"/>
    <mergeCell ref="Z12:AA12"/>
    <mergeCell ref="J13:J18"/>
  </mergeCells>
  <phoneticPr fontId="8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20</vt:i4>
      </vt:variant>
      <vt:variant>
        <vt:lpstr>이름 지정된 범위</vt:lpstr>
      </vt:variant>
      <vt:variant>
        <vt:i4>32</vt:i4>
      </vt:variant>
    </vt:vector>
  </HeadingPairs>
  <TitlesOfParts>
    <vt:vector size="52" baseType="lpstr">
      <vt:lpstr>목표</vt:lpstr>
      <vt:lpstr>팀별실적</vt:lpstr>
      <vt:lpstr>SDT</vt:lpstr>
      <vt:lpstr>TST1</vt:lpstr>
      <vt:lpstr>TST2</vt:lpstr>
      <vt:lpstr>MKT</vt:lpstr>
      <vt:lpstr>JGChoi</vt:lpstr>
      <vt:lpstr>SYShin</vt:lpstr>
      <vt:lpstr>TST</vt:lpstr>
      <vt:lpstr>EST1</vt:lpstr>
      <vt:lpstr>EST2</vt:lpstr>
      <vt:lpstr>EST3</vt:lpstr>
      <vt:lpstr>JHAHN</vt:lpstr>
      <vt:lpstr>TSG</vt:lpstr>
      <vt:lpstr>SBLEE</vt:lpstr>
      <vt:lpstr>FNA</vt:lpstr>
      <vt:lpstr>간접</vt:lpstr>
      <vt:lpstr>total</vt:lpstr>
      <vt:lpstr>경영현황비교</vt:lpstr>
      <vt:lpstr>실적(23~26)</vt:lpstr>
      <vt:lpstr>'EST1'!Print_Area</vt:lpstr>
      <vt:lpstr>'EST2'!Print_Area</vt:lpstr>
      <vt:lpstr>'EST3'!Print_Area</vt:lpstr>
      <vt:lpstr>FNA!Print_Area</vt:lpstr>
      <vt:lpstr>JGChoi!Print_Area</vt:lpstr>
      <vt:lpstr>JHAHN!Print_Area</vt:lpstr>
      <vt:lpstr>MKT!Print_Area</vt:lpstr>
      <vt:lpstr>SBLEE!Print_Area</vt:lpstr>
      <vt:lpstr>SDT!Print_Area</vt:lpstr>
      <vt:lpstr>SYShin!Print_Area</vt:lpstr>
      <vt:lpstr>total!Print_Area</vt:lpstr>
      <vt:lpstr>TSG!Print_Area</vt:lpstr>
      <vt:lpstr>TST!Print_Area</vt:lpstr>
      <vt:lpstr>'TST1'!Print_Area</vt:lpstr>
      <vt:lpstr>'TST2'!Print_Area</vt:lpstr>
      <vt:lpstr>간접!Print_Area</vt:lpstr>
      <vt:lpstr>'EST1'!Print_Titles</vt:lpstr>
      <vt:lpstr>'EST2'!Print_Titles</vt:lpstr>
      <vt:lpstr>'EST3'!Print_Titles</vt:lpstr>
      <vt:lpstr>FNA!Print_Titles</vt:lpstr>
      <vt:lpstr>JGChoi!Print_Titles</vt:lpstr>
      <vt:lpstr>JHAHN!Print_Titles</vt:lpstr>
      <vt:lpstr>MKT!Print_Titles</vt:lpstr>
      <vt:lpstr>SBLEE!Print_Titles</vt:lpstr>
      <vt:lpstr>SDT!Print_Titles</vt:lpstr>
      <vt:lpstr>SYShin!Print_Titles</vt:lpstr>
      <vt:lpstr>total!Print_Titles</vt:lpstr>
      <vt:lpstr>TSG!Print_Titles</vt:lpstr>
      <vt:lpstr>TST!Print_Titles</vt:lpstr>
      <vt:lpstr>'TST1'!Print_Titles</vt:lpstr>
      <vt:lpstr>'TST2'!Print_Titles</vt:lpstr>
      <vt:lpstr>간접!Print_Titles</vt:lpstr>
    </vt:vector>
  </TitlesOfParts>
  <Company>MSC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 Kwon</dc:creator>
  <cp:lastModifiedBy>라온엑스_15_SW_CW_GG</cp:lastModifiedBy>
  <cp:lastPrinted>2023-09-13T05:38:26Z</cp:lastPrinted>
  <dcterms:created xsi:type="dcterms:W3CDTF">2006-05-07T10:50:43Z</dcterms:created>
  <dcterms:modified xsi:type="dcterms:W3CDTF">2026-03-11T01:47:01Z</dcterms:modified>
</cp:coreProperties>
</file>